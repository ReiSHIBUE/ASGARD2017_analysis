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buerei/Desktop/"/>
    </mc:Choice>
  </mc:AlternateContent>
  <xr:revisionPtr revIDLastSave="0" documentId="13_ncr:1_{2E942620-7D9C-CE40-8639-6533BCE079FD}" xr6:coauthVersionLast="47" xr6:coauthVersionMax="47" xr10:uidLastSave="{00000000-0000-0000-0000-000000000000}"/>
  <bookViews>
    <workbookView xWindow="0" yWindow="760" windowWidth="25960" windowHeight="16960" tabRatio="500" xr2:uid="{00000000-000D-0000-FFFF-FFFF00000000}"/>
  </bookViews>
  <sheets>
    <sheet name="metaRDS.csv" sheetId="1" r:id="rId1"/>
    <sheet name="Sheet1" sheetId="2" r:id="rId2"/>
    <sheet name="Sheet3" sheetId="3" r:id="rId3"/>
    <sheet name="Sheet4" sheetId="4" r:id="rId4"/>
    <sheet name="tmp" sheetId="5" r:id="rId5"/>
  </sheets>
  <definedNames>
    <definedName name="_xlnm._FilterDatabase" localSheetId="0" hidden="1">metaRDS.csv!$E$1:$E$1451</definedName>
    <definedName name="_xlnm._FilterDatabase" localSheetId="1" hidden="1">Sheet1!$G$1:$G$291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" i="5" l="1"/>
  <c r="C180" i="5" s="1"/>
  <c r="J179" i="5"/>
  <c r="C179" i="5" s="1"/>
  <c r="J178" i="5"/>
  <c r="C178" i="5" s="1"/>
  <c r="J177" i="5"/>
  <c r="C177" i="5" s="1"/>
  <c r="J176" i="5"/>
  <c r="C176" i="5" s="1"/>
  <c r="J175" i="5"/>
  <c r="C175" i="5" s="1"/>
  <c r="J174" i="5"/>
  <c r="C174" i="5" s="1"/>
  <c r="J173" i="5"/>
  <c r="C173" i="5" s="1"/>
  <c r="J172" i="5"/>
  <c r="C172" i="5" s="1"/>
  <c r="J171" i="5"/>
  <c r="C171" i="5" s="1"/>
  <c r="J170" i="5"/>
  <c r="C170" i="5" s="1"/>
  <c r="J169" i="5"/>
  <c r="C169" i="5" s="1"/>
  <c r="J168" i="5"/>
  <c r="C168" i="5" s="1"/>
  <c r="J167" i="5"/>
  <c r="C167" i="5" s="1"/>
  <c r="J166" i="5"/>
  <c r="C166" i="5" s="1"/>
  <c r="J165" i="5"/>
  <c r="C165" i="5" s="1"/>
  <c r="J164" i="5"/>
  <c r="C164" i="5" s="1"/>
  <c r="J163" i="5"/>
  <c r="C163" i="5" s="1"/>
  <c r="J162" i="5"/>
  <c r="C162" i="5" s="1"/>
  <c r="J161" i="5"/>
  <c r="C161" i="5" s="1"/>
  <c r="J160" i="5"/>
  <c r="C160" i="5" s="1"/>
  <c r="J159" i="5"/>
  <c r="C159" i="5" s="1"/>
  <c r="J158" i="5"/>
  <c r="C158" i="5" s="1"/>
  <c r="J157" i="5"/>
  <c r="C157" i="5" s="1"/>
  <c r="J156" i="5"/>
  <c r="C156" i="5" s="1"/>
  <c r="J155" i="5"/>
  <c r="C155" i="5" s="1"/>
  <c r="J154" i="5"/>
  <c r="C154" i="5" s="1"/>
  <c r="J153" i="5"/>
  <c r="C153" i="5" s="1"/>
  <c r="J152" i="5"/>
  <c r="C152" i="5" s="1"/>
  <c r="J151" i="5"/>
  <c r="C151" i="5" s="1"/>
  <c r="J150" i="5"/>
  <c r="C150" i="5" s="1"/>
  <c r="J149" i="5"/>
  <c r="C149" i="5" s="1"/>
  <c r="J148" i="5"/>
  <c r="C148" i="5" s="1"/>
  <c r="J147" i="5"/>
  <c r="C147" i="5" s="1"/>
  <c r="J146" i="5"/>
  <c r="C146" i="5" s="1"/>
  <c r="J145" i="5"/>
  <c r="C145" i="5" s="1"/>
  <c r="J144" i="5"/>
  <c r="C144" i="5" s="1"/>
  <c r="J143" i="5"/>
  <c r="C143" i="5" s="1"/>
  <c r="J142" i="5"/>
  <c r="C142" i="5" s="1"/>
  <c r="J141" i="5"/>
  <c r="C141" i="5" s="1"/>
  <c r="J140" i="5"/>
  <c r="C140" i="5" s="1"/>
  <c r="J139" i="5"/>
  <c r="C139" i="5" s="1"/>
  <c r="J138" i="5"/>
  <c r="C138" i="5" s="1"/>
  <c r="J137" i="5"/>
  <c r="C137" i="5" s="1"/>
  <c r="J136" i="5"/>
  <c r="C136" i="5" s="1"/>
  <c r="J135" i="5"/>
  <c r="C135" i="5" s="1"/>
  <c r="J134" i="5"/>
  <c r="C134" i="5" s="1"/>
  <c r="J133" i="5"/>
  <c r="C133" i="5" s="1"/>
  <c r="J132" i="5"/>
  <c r="C132" i="5" s="1"/>
  <c r="J131" i="5"/>
  <c r="C131" i="5" s="1"/>
  <c r="J130" i="5"/>
  <c r="C130" i="5" s="1"/>
  <c r="J129" i="5"/>
  <c r="C129" i="5" s="1"/>
  <c r="J128" i="5"/>
  <c r="C128" i="5" s="1"/>
  <c r="J127" i="5"/>
  <c r="C127" i="5" s="1"/>
  <c r="J126" i="5"/>
  <c r="C126" i="5" s="1"/>
  <c r="J125" i="5"/>
  <c r="C125" i="5" s="1"/>
  <c r="J124" i="5"/>
  <c r="C124" i="5" s="1"/>
  <c r="J123" i="5"/>
  <c r="C123" i="5" s="1"/>
  <c r="J122" i="5"/>
  <c r="C122" i="5" s="1"/>
  <c r="J121" i="5"/>
  <c r="C121" i="5" s="1"/>
  <c r="J120" i="5"/>
  <c r="C120" i="5" s="1"/>
  <c r="J119" i="5"/>
  <c r="C119" i="5" s="1"/>
  <c r="J118" i="5"/>
  <c r="C118" i="5" s="1"/>
  <c r="J117" i="5"/>
  <c r="C117" i="5" s="1"/>
  <c r="J116" i="5"/>
  <c r="C116" i="5" s="1"/>
  <c r="J115" i="5"/>
  <c r="C115" i="5" s="1"/>
  <c r="J114" i="5"/>
  <c r="C114" i="5" s="1"/>
  <c r="J113" i="5"/>
  <c r="C113" i="5" s="1"/>
  <c r="J112" i="5"/>
  <c r="C112" i="5" s="1"/>
  <c r="J111" i="5"/>
  <c r="C111" i="5" s="1"/>
  <c r="J110" i="5"/>
  <c r="C110" i="5" s="1"/>
  <c r="J109" i="5"/>
  <c r="C109" i="5" s="1"/>
  <c r="J108" i="5"/>
  <c r="C108" i="5" s="1"/>
  <c r="J107" i="5"/>
  <c r="C107" i="5" s="1"/>
  <c r="J106" i="5"/>
  <c r="C106" i="5" s="1"/>
  <c r="J105" i="5"/>
  <c r="C105" i="5" s="1"/>
  <c r="J104" i="5"/>
  <c r="C104" i="5" s="1"/>
  <c r="J103" i="5"/>
  <c r="C103" i="5" s="1"/>
  <c r="J102" i="5"/>
  <c r="C102" i="5" s="1"/>
  <c r="J101" i="5"/>
  <c r="C101" i="5" s="1"/>
  <c r="J100" i="5"/>
  <c r="C100" i="5" s="1"/>
  <c r="J99" i="5"/>
  <c r="C99" i="5" s="1"/>
  <c r="J98" i="5"/>
  <c r="C98" i="5" s="1"/>
  <c r="J97" i="5"/>
  <c r="C97" i="5" s="1"/>
  <c r="J96" i="5"/>
  <c r="C96" i="5" s="1"/>
  <c r="J95" i="5"/>
  <c r="C95" i="5" s="1"/>
  <c r="J94" i="5"/>
  <c r="C94" i="5" s="1"/>
  <c r="J93" i="5"/>
  <c r="C93" i="5" s="1"/>
  <c r="J92" i="5"/>
  <c r="C92" i="5" s="1"/>
  <c r="J91" i="5"/>
  <c r="C91" i="5" s="1"/>
  <c r="J90" i="5"/>
  <c r="C90" i="5" s="1"/>
  <c r="J89" i="5"/>
  <c r="C89" i="5" s="1"/>
  <c r="J88" i="5"/>
  <c r="C88" i="5" s="1"/>
  <c r="J87" i="5"/>
  <c r="C87" i="5" s="1"/>
  <c r="J86" i="5"/>
  <c r="C86" i="5" s="1"/>
  <c r="J85" i="5"/>
  <c r="C85" i="5" s="1"/>
  <c r="J84" i="5"/>
  <c r="C84" i="5" s="1"/>
  <c r="J83" i="5"/>
  <c r="C83" i="5" s="1"/>
  <c r="J82" i="5"/>
  <c r="C82" i="5" s="1"/>
  <c r="J81" i="5"/>
  <c r="C81" i="5" s="1"/>
  <c r="J80" i="5"/>
  <c r="C80" i="5" s="1"/>
  <c r="J79" i="5"/>
  <c r="C79" i="5" s="1"/>
  <c r="J78" i="5"/>
  <c r="C78" i="5" s="1"/>
  <c r="J77" i="5"/>
  <c r="C77" i="5" s="1"/>
  <c r="J76" i="5"/>
  <c r="C76" i="5" s="1"/>
  <c r="J75" i="5"/>
  <c r="C75" i="5" s="1"/>
  <c r="J74" i="5"/>
  <c r="C74" i="5" s="1"/>
  <c r="J73" i="5"/>
  <c r="C73" i="5" s="1"/>
  <c r="J72" i="5"/>
  <c r="C72" i="5" s="1"/>
  <c r="J71" i="5"/>
  <c r="C71" i="5" s="1"/>
  <c r="J70" i="5"/>
  <c r="C70" i="5" s="1"/>
  <c r="J69" i="5"/>
  <c r="C69" i="5" s="1"/>
  <c r="J68" i="5"/>
  <c r="C68" i="5" s="1"/>
  <c r="J67" i="5"/>
  <c r="C67" i="5" s="1"/>
  <c r="J66" i="5"/>
  <c r="C66" i="5" s="1"/>
  <c r="J65" i="5"/>
  <c r="C65" i="5" s="1"/>
  <c r="J64" i="5"/>
  <c r="C64" i="5" s="1"/>
  <c r="J63" i="5"/>
  <c r="C63" i="5" s="1"/>
  <c r="J62" i="5"/>
  <c r="C62" i="5" s="1"/>
  <c r="J61" i="5"/>
  <c r="C61" i="5" s="1"/>
  <c r="J60" i="5"/>
  <c r="C60" i="5" s="1"/>
  <c r="J59" i="5"/>
  <c r="C59" i="5" s="1"/>
  <c r="J58" i="5"/>
  <c r="C58" i="5" s="1"/>
  <c r="J57" i="5"/>
  <c r="C57" i="5" s="1"/>
  <c r="J56" i="5"/>
  <c r="C56" i="5" s="1"/>
  <c r="J55" i="5"/>
  <c r="C55" i="5" s="1"/>
  <c r="J54" i="5"/>
  <c r="C54" i="5" s="1"/>
  <c r="J53" i="5"/>
  <c r="C53" i="5" s="1"/>
  <c r="J52" i="5"/>
  <c r="C52" i="5" s="1"/>
  <c r="J51" i="5"/>
  <c r="C51" i="5" s="1"/>
  <c r="J50" i="5"/>
  <c r="C50" i="5" s="1"/>
  <c r="J49" i="5"/>
  <c r="C49" i="5" s="1"/>
  <c r="J48" i="5"/>
  <c r="C48" i="5" s="1"/>
  <c r="J47" i="5"/>
  <c r="C47" i="5" s="1"/>
  <c r="J46" i="5"/>
  <c r="C46" i="5" s="1"/>
  <c r="J45" i="5"/>
  <c r="C45" i="5" s="1"/>
  <c r="J44" i="5"/>
  <c r="C44" i="5" s="1"/>
  <c r="J43" i="5"/>
  <c r="C43" i="5" s="1"/>
  <c r="J42" i="5"/>
  <c r="C42" i="5" s="1"/>
  <c r="J41" i="5"/>
  <c r="C41" i="5" s="1"/>
  <c r="J40" i="5"/>
  <c r="C40" i="5" s="1"/>
  <c r="J39" i="5"/>
  <c r="C39" i="5" s="1"/>
  <c r="J38" i="5"/>
  <c r="C38" i="5" s="1"/>
  <c r="J37" i="5"/>
  <c r="C37" i="5" s="1"/>
  <c r="J36" i="5"/>
  <c r="C36" i="5" s="1"/>
  <c r="J35" i="5"/>
  <c r="C35" i="5" s="1"/>
  <c r="J34" i="5"/>
  <c r="C34" i="5" s="1"/>
  <c r="J33" i="5"/>
  <c r="C33" i="5" s="1"/>
  <c r="J32" i="5"/>
  <c r="C32" i="5" s="1"/>
  <c r="J31" i="5"/>
  <c r="C31" i="5" s="1"/>
  <c r="J30" i="5"/>
  <c r="C30" i="5" s="1"/>
  <c r="J29" i="5"/>
  <c r="C29" i="5" s="1"/>
  <c r="J28" i="5"/>
  <c r="C28" i="5" s="1"/>
  <c r="J27" i="5"/>
  <c r="C27" i="5" s="1"/>
  <c r="J26" i="5"/>
  <c r="C26" i="5" s="1"/>
  <c r="J25" i="5"/>
  <c r="C25" i="5" s="1"/>
  <c r="J24" i="5"/>
  <c r="C24" i="5" s="1"/>
  <c r="J23" i="5"/>
  <c r="C23" i="5" s="1"/>
  <c r="J22" i="5"/>
  <c r="C22" i="5" s="1"/>
  <c r="J21" i="5"/>
  <c r="C21" i="5" s="1"/>
  <c r="J20" i="5"/>
  <c r="C20" i="5" s="1"/>
  <c r="J19" i="5"/>
  <c r="C19" i="5" s="1"/>
  <c r="J18" i="5"/>
  <c r="C18" i="5" s="1"/>
  <c r="J17" i="5"/>
  <c r="C17" i="5" s="1"/>
  <c r="J16" i="5"/>
  <c r="C16" i="5" s="1"/>
  <c r="J15" i="5"/>
  <c r="C15" i="5" s="1"/>
  <c r="J14" i="5"/>
  <c r="C14" i="5" s="1"/>
  <c r="J13" i="5"/>
  <c r="C13" i="5" s="1"/>
  <c r="J12" i="5"/>
  <c r="C12" i="5" s="1"/>
  <c r="J11" i="5"/>
  <c r="C11" i="5" s="1"/>
  <c r="J10" i="5"/>
  <c r="C10" i="5" s="1"/>
  <c r="J9" i="5"/>
  <c r="C9" i="5" s="1"/>
  <c r="J8" i="5"/>
  <c r="C8" i="5" s="1"/>
  <c r="J7" i="5"/>
  <c r="C7" i="5" s="1"/>
  <c r="J6" i="5"/>
  <c r="C6" i="5" s="1"/>
  <c r="J5" i="5"/>
  <c r="C5" i="5" s="1"/>
  <c r="J4" i="5"/>
  <c r="C4" i="5" s="1"/>
  <c r="J3" i="5"/>
  <c r="C3" i="5" s="1"/>
  <c r="J2" i="5"/>
  <c r="C2" i="5" s="1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" i="3"/>
</calcChain>
</file>

<file path=xl/sharedStrings.xml><?xml version="1.0" encoding="utf-8"?>
<sst xmlns="http://schemas.openxmlformats.org/spreadsheetml/2006/main" count="23967" uniqueCount="5330">
  <si>
    <t>secondary_number</t>
  </si>
  <si>
    <t>cellid</t>
  </si>
  <si>
    <t>side</t>
  </si>
  <si>
    <t>project</t>
  </si>
  <si>
    <t>station</t>
  </si>
  <si>
    <t>station_type</t>
  </si>
  <si>
    <t>date</t>
  </si>
  <si>
    <t>CTD_number</t>
  </si>
  <si>
    <t>filter</t>
  </si>
  <si>
    <t>depth_original</t>
  </si>
  <si>
    <t>depth_type</t>
  </si>
  <si>
    <t>depth_m</t>
  </si>
  <si>
    <t>bottom_depth</t>
  </si>
  <si>
    <t>lat</t>
  </si>
  <si>
    <t>lon</t>
  </si>
  <si>
    <t>temp</t>
  </si>
  <si>
    <t>salinity</t>
  </si>
  <si>
    <t>DO</t>
  </si>
  <si>
    <t>POC (ug/L)</t>
  </si>
  <si>
    <t>PON (ug/L)</t>
  </si>
  <si>
    <t>SPM (ug/L)</t>
  </si>
  <si>
    <t>FlECO-AFL(mg/m^3)</t>
  </si>
  <si>
    <t>chl depth</t>
  </si>
  <si>
    <t>chl (ug/l)</t>
  </si>
  <si>
    <t>phaeo (ug/l)</t>
  </si>
  <si>
    <t>PO4(uM)</t>
  </si>
  <si>
    <t>Sil(uM)</t>
  </si>
  <si>
    <t>NO3(uM)</t>
  </si>
  <si>
    <t>NO2(uM)</t>
  </si>
  <si>
    <t>NH4(uM)</t>
  </si>
  <si>
    <t>N+N (umol/L)</t>
  </si>
  <si>
    <t>mass</t>
  </si>
  <si>
    <t>log_name</t>
  </si>
  <si>
    <t>bottle</t>
  </si>
  <si>
    <t>niskin_id_meta</t>
  </si>
  <si>
    <t>volume_filtered_l</t>
  </si>
  <si>
    <t>transmission_pct</t>
  </si>
  <si>
    <t>niskin_id_nutrients</t>
  </si>
  <si>
    <t>poc_pon_ratio</t>
  </si>
  <si>
    <t>poc_pon_ratio_redfield</t>
  </si>
  <si>
    <t>cast_depth</t>
  </si>
  <si>
    <t>delO18</t>
  </si>
  <si>
    <t>sedchla_mg_m2</t>
  </si>
  <si>
    <t>notes</t>
  </si>
  <si>
    <t>notes2</t>
  </si>
  <si>
    <t>BOX_2_24</t>
  </si>
  <si>
    <t>6-10-17 10 CBE1 P SURFACE</t>
  </si>
  <si>
    <t>ASGARD2017</t>
  </si>
  <si>
    <t>CBE1</t>
  </si>
  <si>
    <t>P</t>
  </si>
  <si>
    <t>Jun 10 2017 15:59</t>
  </si>
  <si>
    <t>Surf</t>
  </si>
  <si>
    <t>surf</t>
  </si>
  <si>
    <t>8_19</t>
  </si>
  <si>
    <t>170610CBE1 P surf</t>
  </si>
  <si>
    <t>BOX_6_88</t>
  </si>
  <si>
    <t>6-10-17 13 CBE1 P 3UM SURF</t>
  </si>
  <si>
    <t>170610CBE1 P 3surf</t>
  </si>
  <si>
    <t>surf filter stack leaked about 2.5 L of water at the 20 um filter</t>
  </si>
  <si>
    <t>BOX_6_76</t>
  </si>
  <si>
    <t>6-10-17 16 CBE1 P 20UM SURFACE</t>
  </si>
  <si>
    <t>170610CBE1 P 20surf</t>
  </si>
  <si>
    <t>BOX_2_25</t>
  </si>
  <si>
    <t>6-10-17 11 CBE1 P CHL MAX</t>
  </si>
  <si>
    <t>Chl m/pycnocline</t>
  </si>
  <si>
    <t>mid</t>
  </si>
  <si>
    <t>8_5</t>
  </si>
  <si>
    <t>170610CBE1 P chl</t>
  </si>
  <si>
    <t>chl max was also the pycnocline!</t>
  </si>
  <si>
    <t>BOX_6_44</t>
  </si>
  <si>
    <t>6-10-17 14 CBE1 P 3UM CHLMAX</t>
  </si>
  <si>
    <t>170610CBE1 P 3chlm</t>
  </si>
  <si>
    <t>BOX_6_87</t>
  </si>
  <si>
    <t>6-10-17 17 CBE1 P 20UM CHLMAX</t>
  </si>
  <si>
    <t>170610CBE1 P 20chl</t>
  </si>
  <si>
    <t>BOX_2_26</t>
  </si>
  <si>
    <t>6-10-17 12 CBE1 P DEEP</t>
  </si>
  <si>
    <t>Deep</t>
  </si>
  <si>
    <t>bottom</t>
  </si>
  <si>
    <t>8_1</t>
  </si>
  <si>
    <t>170610CBE1 P deep</t>
  </si>
  <si>
    <t>BOX_6_43</t>
  </si>
  <si>
    <t>6-10-17 15 CBE1 P 3UM DEEP</t>
  </si>
  <si>
    <t>170610CBE1 P 3deep</t>
  </si>
  <si>
    <t>chl m 20 um filter was dropped on counter (while folded, so sample side did not touch counter)</t>
  </si>
  <si>
    <t>BOX_6_78</t>
  </si>
  <si>
    <t>6-10-17 18 CBE1 P 20UM DEEP</t>
  </si>
  <si>
    <t>170610CBE1 P 20deep</t>
  </si>
  <si>
    <t>BOX_2_21</t>
  </si>
  <si>
    <t>6-09-17 1 CBE9 P SURFACE</t>
  </si>
  <si>
    <t>CBE9</t>
  </si>
  <si>
    <t>Jun 09 2017 23:06</t>
  </si>
  <si>
    <t>4_22</t>
  </si>
  <si>
    <t>170609CBE9 P surf</t>
  </si>
  <si>
    <t>4_24</t>
  </si>
  <si>
    <t>paused pumps to adjust tubing, inline filter holders leaked water before it reached sterivex (&gt; 1 L)</t>
  </si>
  <si>
    <t>BOX_6_91</t>
  </si>
  <si>
    <t>6-09-17 2 CBE9 P 3UM SURFACE</t>
  </si>
  <si>
    <t>170609CBE9 P 3 surf</t>
  </si>
  <si>
    <t>BOX_6_90</t>
  </si>
  <si>
    <t>6-09-17 3 CBE9 P 20UM SURFACE</t>
  </si>
  <si>
    <t>170609CBE9 P 20 Surf</t>
  </si>
  <si>
    <t>BOX_2_22</t>
  </si>
  <si>
    <t>6-09-17 4 CBE9 P CHL MAX</t>
  </si>
  <si>
    <t>Chl m</t>
  </si>
  <si>
    <t>4_1</t>
  </si>
  <si>
    <t>170609CBE9 P Chl</t>
  </si>
  <si>
    <t>4_8</t>
  </si>
  <si>
    <t>BOX_6_47</t>
  </si>
  <si>
    <t>6-09-17 5 CBE9 P 3UM CHLMAX</t>
  </si>
  <si>
    <t>170609CBE9 P 3 Chl</t>
  </si>
  <si>
    <t>BOX_6_45</t>
  </si>
  <si>
    <t>6-09-17 6 CBE9 P 20UM CHLMAX</t>
  </si>
  <si>
    <t>170609CBE9 P 20 Chl</t>
  </si>
  <si>
    <t>BOX_2_23</t>
  </si>
  <si>
    <t>6-09-17 7 CBE9 P DEEP</t>
  </si>
  <si>
    <t>170609CBE9 P Deep</t>
  </si>
  <si>
    <t>4_9</t>
  </si>
  <si>
    <t>BOX_6_46</t>
  </si>
  <si>
    <t>6-09-17 8 CBE9 P 3UM DEEP</t>
  </si>
  <si>
    <t>170609CBE9 P 3 Deep</t>
  </si>
  <si>
    <t>filter was not centered at all in holder and was bent around on itself</t>
  </si>
  <si>
    <t>BOX_6_89</t>
  </si>
  <si>
    <t>6-09-17 9 CBE9 P 20UM DEEP</t>
  </si>
  <si>
    <t>170609CBE9 P 20 Deep</t>
  </si>
  <si>
    <t>BOX_6_21</t>
  </si>
  <si>
    <t>6-11-17 20 CBW5 P 3UM SURFACE</t>
  </si>
  <si>
    <t>CBW5</t>
  </si>
  <si>
    <t>Jun 11 2017 16:25</t>
  </si>
  <si>
    <t>12_21</t>
  </si>
  <si>
    <t>170611CBW5 P surf 3</t>
  </si>
  <si>
    <t>12_24</t>
  </si>
  <si>
    <t>BOX_6_22</t>
  </si>
  <si>
    <t>6-11-17 19 CBW5 P 20UM SURFACE</t>
  </si>
  <si>
    <t>170611CBW5 P surf 20</t>
  </si>
  <si>
    <t>BOX_2_28</t>
  </si>
  <si>
    <t>6-11-17 26 CBW5 P CHL PYCNO</t>
  </si>
  <si>
    <t>pycno</t>
  </si>
  <si>
    <t>12_15</t>
  </si>
  <si>
    <t>170611CBW5 P chl</t>
  </si>
  <si>
    <t>12_16</t>
  </si>
  <si>
    <t>BOX_6_20</t>
  </si>
  <si>
    <t>6-11-17 22 CBW5 P 3UM CHLMAX</t>
  </si>
  <si>
    <t>170611CBW5 P chl 3</t>
  </si>
  <si>
    <t>BOX_6_86</t>
  </si>
  <si>
    <t>6-11-17 21 CBW5 P 20UM CHLMAX</t>
  </si>
  <si>
    <t>170611CBW5 P chl 20</t>
  </si>
  <si>
    <t>all pycno filters are labeled as chl (labeled before saw profiles--there was no chl max)</t>
  </si>
  <si>
    <t>BOX_11_18</t>
  </si>
  <si>
    <t>6-11-17 27 CBW5 P DEEP</t>
  </si>
  <si>
    <t>deep</t>
  </si>
  <si>
    <t>12_1</t>
  </si>
  <si>
    <t>170611CBW5 P deep</t>
  </si>
  <si>
    <t>12_3</t>
  </si>
  <si>
    <t>BOX_6_41</t>
  </si>
  <si>
    <t>6-11-17 24 CBW5 P 3UM DEEP</t>
  </si>
  <si>
    <t>170611CBW5 P deep 3</t>
  </si>
  <si>
    <t>BOX_6_19</t>
  </si>
  <si>
    <t>6-11-17 23 CBW5 P 20UM DEEP</t>
  </si>
  <si>
    <t>170611CBW5 P deep 20</t>
  </si>
  <si>
    <t>BOX_2_18</t>
  </si>
  <si>
    <t>6-18-17 95 CL1 P SURFACE</t>
  </si>
  <si>
    <t>CL1</t>
  </si>
  <si>
    <t>Jun 18 2017 18:55</t>
  </si>
  <si>
    <t>68_22</t>
  </si>
  <si>
    <t>170618 CL1 P surf</t>
  </si>
  <si>
    <t>68_23</t>
  </si>
  <si>
    <t>BOX_6_5</t>
  </si>
  <si>
    <t>6-18-17 98 CL1 P 3UM SURFACE</t>
  </si>
  <si>
    <t>170618 CL1 P 3 surf</t>
  </si>
  <si>
    <t>BOX_6_74</t>
  </si>
  <si>
    <t>6-18-17 103 CL1 P 20UM SURFACE</t>
  </si>
  <si>
    <t>170618 CL1 P 20 surf</t>
  </si>
  <si>
    <t>BOX_2_36</t>
  </si>
  <si>
    <t>6-18-17 96 CL1 P MID</t>
  </si>
  <si>
    <t>68_6</t>
  </si>
  <si>
    <t>170618 CL1 P mid</t>
  </si>
  <si>
    <t>68_8</t>
  </si>
  <si>
    <t>BOX_6_28</t>
  </si>
  <si>
    <t>6-18-17 99 CL1 P 3UM MID</t>
  </si>
  <si>
    <t>170618 CL1 P 3 mid</t>
  </si>
  <si>
    <t>BOX_6_27</t>
  </si>
  <si>
    <t>6-18-17 101 CL1 P 20UM MID</t>
  </si>
  <si>
    <t>170618 CL1 P 20 mid</t>
  </si>
  <si>
    <t>BOX_2_37</t>
  </si>
  <si>
    <t>6-18-17 97 CL1 P DEEP</t>
  </si>
  <si>
    <t>68_1</t>
  </si>
  <si>
    <t>170618 CL1 P deep</t>
  </si>
  <si>
    <t>BOX_6_4</t>
  </si>
  <si>
    <t>6-18-17 100 CL1 P 3UM DEEP</t>
  </si>
  <si>
    <t>170618 CL1 P 3 deep</t>
  </si>
  <si>
    <t>BOX_6_3</t>
  </si>
  <si>
    <t>6-18-17 102 CL1 P 20UM DEEP</t>
  </si>
  <si>
    <t>170618 CL1 P 20 deep</t>
  </si>
  <si>
    <t>BOX_2_15</t>
  </si>
  <si>
    <t>6-17-17 86 CL3 P SURFACE</t>
  </si>
  <si>
    <t>CL3</t>
  </si>
  <si>
    <t>Jun 17 2017 18:23</t>
  </si>
  <si>
    <t>58_22</t>
  </si>
  <si>
    <t>170617 CL3 P surf</t>
  </si>
  <si>
    <t>58_24</t>
  </si>
  <si>
    <t>label says CNL3 with N crossed out</t>
  </si>
  <si>
    <t>BOX_6_8</t>
  </si>
  <si>
    <t>6-17-17 89 CL3 P 3UM SURFACE</t>
  </si>
  <si>
    <t>170617 CL3 P 3 surf</t>
  </si>
  <si>
    <t>BOX_6_75</t>
  </si>
  <si>
    <t>6-17-17 92 CL3 P 20UM SURFACE</t>
  </si>
  <si>
    <t>170617 CL3 P 20 surf</t>
  </si>
  <si>
    <t>BOX_2_16</t>
  </si>
  <si>
    <t>6-17-17 87 CL3 P THERMO</t>
  </si>
  <si>
    <t>thermo*</t>
  </si>
  <si>
    <t>58_11</t>
  </si>
  <si>
    <t>170617 CL3 P thermo*</t>
  </si>
  <si>
    <t>58_14</t>
  </si>
  <si>
    <t>BOX_6_30</t>
  </si>
  <si>
    <t>6-17-17 90 CL3 P 3UM THERMO</t>
  </si>
  <si>
    <t>170617 CL3 P 3 thermo*</t>
  </si>
  <si>
    <t>*thermo = 2 meters below bottom of thermocline</t>
  </si>
  <si>
    <t>BOX_6_29</t>
  </si>
  <si>
    <t>6-17-17 93 CL3 P 20UM THERMO</t>
  </si>
  <si>
    <t>170617 CL3 P 20 thermo*</t>
  </si>
  <si>
    <t>BOX_2_17</t>
  </si>
  <si>
    <t>6-17-17 88 CL3 P DEEP</t>
  </si>
  <si>
    <t>58_1</t>
  </si>
  <si>
    <t>170617 CL3 P deep</t>
  </si>
  <si>
    <t>58_3</t>
  </si>
  <si>
    <t>BOX_6_7</t>
  </si>
  <si>
    <t>6-17-17 91 CL3 P 3UM DEEP</t>
  </si>
  <si>
    <t>170617 CL3 P 3 deep</t>
  </si>
  <si>
    <t>BOX_6_6</t>
  </si>
  <si>
    <t>6-17-17 94 CL3 P 20UM DEEP</t>
  </si>
  <si>
    <t>170617 CL3 P 20 deep</t>
  </si>
  <si>
    <t>BOX_11_15</t>
  </si>
  <si>
    <t>6-13-17 30 CNL3 P SURFACE</t>
  </si>
  <si>
    <t>CNL3</t>
  </si>
  <si>
    <t>Jun 14 2017 00:28</t>
  </si>
  <si>
    <t>18_21</t>
  </si>
  <si>
    <t>170613CNL3 P surf</t>
  </si>
  <si>
    <t>18_22</t>
  </si>
  <si>
    <t>no discernible chl max, looked like high flux of chlorophyll to bottom, took pycno instead (very abrupt)</t>
  </si>
  <si>
    <t>BOX_6_40</t>
  </si>
  <si>
    <t>6-13-17 33 CNL3 P 3UM SURFACE</t>
  </si>
  <si>
    <t>170613CNL3 P 3 surf</t>
  </si>
  <si>
    <t>BOX_6_38</t>
  </si>
  <si>
    <t>6-13-17 36 CNL3 P 20UM SURFACE</t>
  </si>
  <si>
    <t>170613CNL3 P 20 surf</t>
  </si>
  <si>
    <t>PON: 31.5991641104663</t>
  </si>
  <si>
    <t>BOX_2_49</t>
  </si>
  <si>
    <t>6-13-17 31 CNL3 P PYCNO</t>
  </si>
  <si>
    <t>18_12</t>
  </si>
  <si>
    <t>170613CNL3 P pycno</t>
  </si>
  <si>
    <t>18_13</t>
  </si>
  <si>
    <t>BOX_6_18</t>
  </si>
  <si>
    <t>6-13-17 34 CNL3 P 3UM PYCNO</t>
  </si>
  <si>
    <t>170613CNL3 P 3 pycno</t>
  </si>
  <si>
    <t>PON: 24.1056902647564</t>
  </si>
  <si>
    <t>BOX_6_37</t>
  </si>
  <si>
    <t>6-13-17 37 CNL3 P 20UM PYCNO</t>
  </si>
  <si>
    <t>170613CNL3 P 20 pycno</t>
  </si>
  <si>
    <t>BOX_11_16</t>
  </si>
  <si>
    <t>6-13-17 32 CNL3 P DEEP CHL MAX</t>
  </si>
  <si>
    <t>deep/chl</t>
  </si>
  <si>
    <t>18_1</t>
  </si>
  <si>
    <t>170613CNL3 P deep</t>
  </si>
  <si>
    <t>BOX_6_39</t>
  </si>
  <si>
    <t>6-13-17 35 CNL3 P 3UM DEEP</t>
  </si>
  <si>
    <t>170613CNL3 P 3 deep</t>
  </si>
  <si>
    <t>BOX_6_17</t>
  </si>
  <si>
    <t>6-13-17 38 CNL3 P 20UM DEEP</t>
  </si>
  <si>
    <t>170613CNL3 P 20 deep</t>
  </si>
  <si>
    <t>BOX_6_48</t>
  </si>
  <si>
    <t>6-24-17 220 DBO2.4 P SURFACE</t>
  </si>
  <si>
    <t>DBO2.4</t>
  </si>
  <si>
    <t>Jun 24 2017 23:33</t>
  </si>
  <si>
    <t>129_22</t>
  </si>
  <si>
    <t>170624 DBO2.4 P surf</t>
  </si>
  <si>
    <t>BOX_6_2</t>
  </si>
  <si>
    <t>6-24-17 223 DBO2.4 P 3UM SURFACE</t>
  </si>
  <si>
    <t>170624 DBO2.4 P 3 surf</t>
  </si>
  <si>
    <t>BOX_6_72</t>
  </si>
  <si>
    <t>6-24-17 226 DBO2.4 P 20UM SURFACE</t>
  </si>
  <si>
    <t>170624 DBO2.4 P 20 surf</t>
  </si>
  <si>
    <t>BOX_6_49</t>
  </si>
  <si>
    <t>6-24-17 221 DBO2.4 P MID</t>
  </si>
  <si>
    <t>129_11</t>
  </si>
  <si>
    <t>170624 DBO2.4 P mid</t>
  </si>
  <si>
    <t>BOX_6_24</t>
  </si>
  <si>
    <t>6-24-17 224 DBO2.4 P 3UM MID</t>
  </si>
  <si>
    <t>170624 DBO2.4 P 3 mid</t>
  </si>
  <si>
    <t>BOX_5_100</t>
  </si>
  <si>
    <t>6-24-17 227 DBO2.4 P 20UM MID</t>
  </si>
  <si>
    <t>170624 DBO2.4 P 20 mid</t>
  </si>
  <si>
    <t>BOX_6_50</t>
  </si>
  <si>
    <t>6-24-17 222 DBO2.4 P DEEP</t>
  </si>
  <si>
    <t>129_1</t>
  </si>
  <si>
    <t>170624 DBO2.4 P deep</t>
  </si>
  <si>
    <t>BOX_6_1</t>
  </si>
  <si>
    <t>6-24-17 225 DBO2.4 P 3UM DEEP</t>
  </si>
  <si>
    <t>170624 DBO2.4 P 3 deep</t>
  </si>
  <si>
    <t>BOX_6_73</t>
  </si>
  <si>
    <t>6-24-17 228 DBO2.4 P 20UM DEEP</t>
  </si>
  <si>
    <t>170624 DBO2.4 P 20 deep</t>
  </si>
  <si>
    <t>BOX_2_20</t>
  </si>
  <si>
    <t>6-16-17 77 DBO3.3 P SURFACE</t>
  </si>
  <si>
    <t>DBO3.3</t>
  </si>
  <si>
    <t>Jun 16 2017 18:22</t>
  </si>
  <si>
    <t>43_22</t>
  </si>
  <si>
    <t>170616 DBO3.3 P surf</t>
  </si>
  <si>
    <t>43_23</t>
  </si>
  <si>
    <t>BOX_6_32</t>
  </si>
  <si>
    <t>6-16-17 80 DBO3.3 P 3UM SURFACE</t>
  </si>
  <si>
    <t>170616 DBO3.3 P 3 surf</t>
  </si>
  <si>
    <t>BOX_6_10</t>
  </si>
  <si>
    <t>6-16-17 83 DBO3.3 P 20UM SURFACE</t>
  </si>
  <si>
    <t>170616 DBO3.3 P 20 surf</t>
  </si>
  <si>
    <t>BOX_2_13</t>
  </si>
  <si>
    <t>6-16-17 78 DBO3.3 P THERM</t>
  </si>
  <si>
    <t>43_11</t>
  </si>
  <si>
    <t>170616 DBO3.3 P thermo*</t>
  </si>
  <si>
    <t>43_14</t>
  </si>
  <si>
    <t>*thermo = about 1 to 2 meters below thermocline</t>
  </si>
  <si>
    <t>BOX_6_42</t>
  </si>
  <si>
    <t>6-16-17 81 DBO3.3 P 3UM THERMO</t>
  </si>
  <si>
    <t>170616 DBO3.3 P 3 thermo*</t>
  </si>
  <si>
    <t>BOX_6_9</t>
  </si>
  <si>
    <t>6-16-17 84 DBO3.3 P 20UM THERMO</t>
  </si>
  <si>
    <t>170616 DBO3.3 P 20 thermo*</t>
  </si>
  <si>
    <t>BOX_2_14</t>
  </si>
  <si>
    <t>6-16-17 79 DBO3.3 P DEEP</t>
  </si>
  <si>
    <t>43_1</t>
  </si>
  <si>
    <t>170616 DBO3.3 P deep</t>
  </si>
  <si>
    <t>43_2</t>
  </si>
  <si>
    <t>BOX_6_31</t>
  </si>
  <si>
    <t>6-16-17 82 DBO3.3 P 3UM DEEP</t>
  </si>
  <si>
    <t>170617 DBO3.3 P 3 deep</t>
  </si>
  <si>
    <t>dropped in filter in sink while removing from filter holder :(</t>
  </si>
  <si>
    <t>BOX_6_77</t>
  </si>
  <si>
    <t>6-16-17 85 DBO3.3 P 20UM DEEP</t>
  </si>
  <si>
    <t>170616 DBO3.3 P 20 deep</t>
  </si>
  <si>
    <t>BOX_2_19</t>
  </si>
  <si>
    <t>6-15-17 65 DBO3.8A P SURFACE</t>
  </si>
  <si>
    <t>DBO3.8A</t>
  </si>
  <si>
    <t>Jun 15 2017 19:24</t>
  </si>
  <si>
    <t>36_22</t>
  </si>
  <si>
    <t>170615 DBO3.8A P surf</t>
  </si>
  <si>
    <t>36_24</t>
  </si>
  <si>
    <t>hit a phyto bloom, prominent chl max, high nitrate</t>
  </si>
  <si>
    <t>BOX_6_35</t>
  </si>
  <si>
    <t>6-15-17 68 DBO3.8A P 3UM SURFACE</t>
  </si>
  <si>
    <t>170615 DBO3.8A P 3 surf</t>
  </si>
  <si>
    <t>BOX_6_33</t>
  </si>
  <si>
    <t>6-15-17 71 DBO3.8A P 20UM SURFACE</t>
  </si>
  <si>
    <t>170615 DBO3.8A P 20 surf</t>
  </si>
  <si>
    <t>BOX_2_64</t>
  </si>
  <si>
    <t>6-15-17 66 DBO3.8A P MID</t>
  </si>
  <si>
    <t>chl</t>
  </si>
  <si>
    <t>36_4</t>
  </si>
  <si>
    <t>170615 DBO3.8A  P chl</t>
  </si>
  <si>
    <t>36_6</t>
  </si>
  <si>
    <t>BOX_6_34</t>
  </si>
  <si>
    <t>6-15-17 69 DBO3.8A P 3UM CHLMAX</t>
  </si>
  <si>
    <t>170615 DBO3.8A P 3 chl</t>
  </si>
  <si>
    <t>BOX_6_79</t>
  </si>
  <si>
    <t>6-15-17 72 DBO3.8A P 20UM CHLMAX</t>
  </si>
  <si>
    <t>170615 DBO3.8A P 20 chl</t>
  </si>
  <si>
    <t>BOX_2_55</t>
  </si>
  <si>
    <t>6-15-17 67 DBO3.8A P DEEP</t>
  </si>
  <si>
    <t>36_1</t>
  </si>
  <si>
    <t>170615 DBO3.8A P deep</t>
  </si>
  <si>
    <t>36_3</t>
  </si>
  <si>
    <t>BOX_6_12</t>
  </si>
  <si>
    <t>6-15-17 70 DBO3.8A P 3UM DEEP</t>
  </si>
  <si>
    <t>170615 DBO3.8A P 3 deep</t>
  </si>
  <si>
    <t>BOX_6_11</t>
  </si>
  <si>
    <t>6-15-17 73 DBO3.8A P 20UM DEEP</t>
  </si>
  <si>
    <t>170615 DBO3.8A P 20 deep</t>
  </si>
  <si>
    <t>BOX_6_82</t>
  </si>
  <si>
    <t>6-15-17 59 IL1.1 P 3UM SURFACE</t>
  </si>
  <si>
    <t>IL1.1</t>
  </si>
  <si>
    <t>Jun 14 2017 23:49</t>
  </si>
  <si>
    <t>24_9</t>
  </si>
  <si>
    <t>170615 IL 1.1 3 surf</t>
  </si>
  <si>
    <t>24_10</t>
  </si>
  <si>
    <t>BOX_6_36</t>
  </si>
  <si>
    <t>6-15-17 62 IL1.1 P 20UM SURFACE</t>
  </si>
  <si>
    <t>170615 IL 1.1 20 surf</t>
  </si>
  <si>
    <t>BOX_9_22</t>
  </si>
  <si>
    <t>6-15-17 56 IL1.1 PYCNO</t>
  </si>
  <si>
    <t>24_6</t>
  </si>
  <si>
    <t>170615 IL1.1 pycno</t>
  </si>
  <si>
    <t>24_5</t>
  </si>
  <si>
    <t>sea ice!!! No UVP :( (LISST on though)</t>
  </si>
  <si>
    <t>BOX_6_81</t>
  </si>
  <si>
    <t>6-15-17 60 IL1.1 P 3UM PYCNO</t>
  </si>
  <si>
    <t>170615 IL 1.1 3 pycno</t>
  </si>
  <si>
    <t>BOX_6_80</t>
  </si>
  <si>
    <t>6-15-17 63 IL1.1 P 20UM PYCNO</t>
  </si>
  <si>
    <t>170615 IL 1.1 20 pycno</t>
  </si>
  <si>
    <t>BOX_9_21</t>
  </si>
  <si>
    <t>6-15-17 58 IL1.1 DEEP CHL MAX</t>
  </si>
  <si>
    <t>24_1</t>
  </si>
  <si>
    <t>170615 IL1.1 deep/chl</t>
  </si>
  <si>
    <t>24_2</t>
  </si>
  <si>
    <t>BOX_6_23</t>
  </si>
  <si>
    <t>6-15-17 61 IL1.1 P 3UM DEEPCHL</t>
  </si>
  <si>
    <t>170615 IL1.1 3 deep/chl</t>
  </si>
  <si>
    <t>BOX_6_13</t>
  </si>
  <si>
    <t>6-15-17 64 IL1.1 P 20UM DEEPCHL</t>
  </si>
  <si>
    <t>170615 IL 1.1 20 deep/chl</t>
  </si>
  <si>
    <t>BOX_2_50</t>
  </si>
  <si>
    <t>6-14-17 39 IL2 P SURFACE</t>
  </si>
  <si>
    <t>IL2</t>
  </si>
  <si>
    <t>Jun 14 2017 17:49</t>
  </si>
  <si>
    <t>22_19</t>
  </si>
  <si>
    <t>170614 IL2 P surf</t>
  </si>
  <si>
    <t>22_20</t>
  </si>
  <si>
    <t>no discernible chl max, looked like high flux of chlorophyll to bottom, took pycno/thermo instead (very abrupt)</t>
  </si>
  <si>
    <t>BOX_6_16</t>
  </si>
  <si>
    <t>6-14-17 42 IL2 P 3UM SURFACE</t>
  </si>
  <si>
    <t>170614 IL2 P 3 surf</t>
  </si>
  <si>
    <t>BOX_6_84</t>
  </si>
  <si>
    <t>6-14-17 45 IL2 P 20UM SURFACE</t>
  </si>
  <si>
    <t>170614 IL2 P 20 surf</t>
  </si>
  <si>
    <t>BOX_2_27</t>
  </si>
  <si>
    <t>6-14-17 41 IL2 P PYCNO</t>
  </si>
  <si>
    <t>pycno/thermo</t>
  </si>
  <si>
    <t>22_14</t>
  </si>
  <si>
    <t>170614 IL2 P pycno/thermo</t>
  </si>
  <si>
    <t>22_15</t>
  </si>
  <si>
    <t>BOX_6_85</t>
  </si>
  <si>
    <t>6-14-17 43 IL2 P 3UM PYCNO</t>
  </si>
  <si>
    <t>170614 IL2 P 3 p/t</t>
  </si>
  <si>
    <t>BOX_6_14</t>
  </si>
  <si>
    <t>6-14-17 46 IL2 P 20UM PYCNO</t>
  </si>
  <si>
    <t>170614 IL 2 P 20 p/t</t>
  </si>
  <si>
    <t>BOX_11_17</t>
  </si>
  <si>
    <t>6-14-17 40 IL2 P DEEP</t>
  </si>
  <si>
    <t>22_1</t>
  </si>
  <si>
    <t>170614 IL2 P deep</t>
  </si>
  <si>
    <t>22_2</t>
  </si>
  <si>
    <t>BOX_6_15</t>
  </si>
  <si>
    <t>6-14-17 44 IL2 P 3UM DEEPCHL</t>
  </si>
  <si>
    <t>170614 IL2 P 3 d/c</t>
  </si>
  <si>
    <t>BOX_6_83</t>
  </si>
  <si>
    <t>6-14-17 47 IL2 P 20UM DEEPCHL</t>
  </si>
  <si>
    <t>170614 IL2 P 20 d/c</t>
  </si>
  <si>
    <t>BOX_6_26</t>
  </si>
  <si>
    <t>6-26-17 247 TOTE SLIME 3UM</t>
  </si>
  <si>
    <t>incubation</t>
  </si>
  <si>
    <t>Tote slime 3</t>
  </si>
  <si>
    <t>BOX_6_25</t>
  </si>
  <si>
    <t>6-26-17 246 TOTE SLIME 20UM</t>
  </si>
  <si>
    <t>Tote slime 20</t>
  </si>
  <si>
    <t>BOX_9_31</t>
  </si>
  <si>
    <t>6-11-17 28 CB1 SURFACE</t>
  </si>
  <si>
    <t>CB1</t>
  </si>
  <si>
    <t>S</t>
  </si>
  <si>
    <t>Jun 11 2017 23:51</t>
  </si>
  <si>
    <t>13_6</t>
  </si>
  <si>
    <t>170611CB1 surf</t>
  </si>
  <si>
    <t>opportunistic CTD casts in between process stations due to being ahead of schedule</t>
  </si>
  <si>
    <t>BOX_9_30</t>
  </si>
  <si>
    <t>6-11-17 29 CB1 DEEP</t>
  </si>
  <si>
    <t>13_1</t>
  </si>
  <si>
    <t>170611CB1 deep</t>
  </si>
  <si>
    <t>BOX_9_47</t>
  </si>
  <si>
    <t>6-27-17 268 CBE1 S SURFACE</t>
  </si>
  <si>
    <t>Jun 28 2017 03:25</t>
  </si>
  <si>
    <t>160_5</t>
  </si>
  <si>
    <t>170627 CBE1 S surf</t>
  </si>
  <si>
    <t>BOX_9_46</t>
  </si>
  <si>
    <t>6-27-17 269 CBE1 S MID</t>
  </si>
  <si>
    <t>160_4</t>
  </si>
  <si>
    <t>170627 CBE1 S mid</t>
  </si>
  <si>
    <t>BOX_5_45</t>
  </si>
  <si>
    <t>6-27-17 270 CBE1 S DEEP</t>
  </si>
  <si>
    <t>160_1</t>
  </si>
  <si>
    <t>170627 CBE1 S deep</t>
  </si>
  <si>
    <t>BOX_6_65</t>
  </si>
  <si>
    <t>6-27-17 256 CBE10 S SURFACE</t>
  </si>
  <si>
    <t>CBE10</t>
  </si>
  <si>
    <t>Jun 27 2017 12:53</t>
  </si>
  <si>
    <t>151_3</t>
  </si>
  <si>
    <t>170627 CBE10 S surf</t>
  </si>
  <si>
    <t>BOX_8_64</t>
  </si>
  <si>
    <t>6-27-17 257 CBE10 S PYCNO</t>
  </si>
  <si>
    <t>clines</t>
  </si>
  <si>
    <t>151_2</t>
  </si>
  <si>
    <t>170627 CBE10 S clines</t>
  </si>
  <si>
    <t>no particle filter for clines</t>
  </si>
  <si>
    <t>BOX_8_65</t>
  </si>
  <si>
    <t>6-27-17 258 CBE10 S DEEP</t>
  </si>
  <si>
    <t>151_1</t>
  </si>
  <si>
    <t>170627 CBE10 S deep</t>
  </si>
  <si>
    <t>BOX_6_64</t>
  </si>
  <si>
    <t>6-27-17 255 CBE11 S SURFACE</t>
  </si>
  <si>
    <t>CBE11</t>
  </si>
  <si>
    <t>Jun 27 2017 11:18</t>
  </si>
  <si>
    <t>150_3</t>
  </si>
  <si>
    <t>170627 CBE11 S surf</t>
  </si>
  <si>
    <t>BOX_8_63</t>
  </si>
  <si>
    <t>6-27-17 254 CBE11 S DEEP</t>
  </si>
  <si>
    <t>150_1</t>
  </si>
  <si>
    <t>170627 CBE11 S deep</t>
  </si>
  <si>
    <t>BOX_5_46</t>
  </si>
  <si>
    <t>6-27-17 265 CBE2 S SURFACE</t>
  </si>
  <si>
    <t>CBE2</t>
  </si>
  <si>
    <t>Jun 28 2017 01:57</t>
  </si>
  <si>
    <t>159_7</t>
  </si>
  <si>
    <t>170627 CBE2 S surf</t>
  </si>
  <si>
    <t>BOX_5_50</t>
  </si>
  <si>
    <t>6-27-17 266 CBE2 S 1M CHL MAX</t>
  </si>
  <si>
    <t>chl m</t>
  </si>
  <si>
    <t>159_4</t>
  </si>
  <si>
    <t>170627 CBE2 S chl m</t>
  </si>
  <si>
    <t>BOX_6_68</t>
  </si>
  <si>
    <t>6-27-17 267 CBE2 S DEEP</t>
  </si>
  <si>
    <t>159_1</t>
  </si>
  <si>
    <t>170627 CBE2 S deep</t>
  </si>
  <si>
    <t>BOX_8_99</t>
  </si>
  <si>
    <t>6-27-17 262 CBE3 S SURF</t>
  </si>
  <si>
    <t>CBE3</t>
  </si>
  <si>
    <t>Jun 28 2017 00:19</t>
  </si>
  <si>
    <t>158_5</t>
  </si>
  <si>
    <t>170627 CBE3 S surf</t>
  </si>
  <si>
    <t>BOX_5_49</t>
  </si>
  <si>
    <t>6-27-17 263 CBE3 S CHL MAX</t>
  </si>
  <si>
    <t>158_3</t>
  </si>
  <si>
    <t>170627 CBE3 S chl m</t>
  </si>
  <si>
    <t>BOX_8_100</t>
  </si>
  <si>
    <t>6-27-17 264 CBE3 S DEEP</t>
  </si>
  <si>
    <t>158_1</t>
  </si>
  <si>
    <t>170627 CBE3 S deep</t>
  </si>
  <si>
    <t>BOX_6_66</t>
  </si>
  <si>
    <t>6-27-17 259 CBE5 S SURFACE</t>
  </si>
  <si>
    <t>CBE5</t>
  </si>
  <si>
    <t>Jun 27 2017 21:11</t>
  </si>
  <si>
    <t>156_4</t>
  </si>
  <si>
    <t>170627 CBE5 S surf</t>
  </si>
  <si>
    <t>BOX_5_47</t>
  </si>
  <si>
    <t>6-27-17 260 CBE5 S MID</t>
  </si>
  <si>
    <t>156_2</t>
  </si>
  <si>
    <t>170627 CBE5 S mid</t>
  </si>
  <si>
    <t>BOX_6_67</t>
  </si>
  <si>
    <t>6-27-17 261 CBE5 S DEEP</t>
  </si>
  <si>
    <t>156_1</t>
  </si>
  <si>
    <t>170625 CBE5 S deep</t>
  </si>
  <si>
    <t>BOX_7_67</t>
  </si>
  <si>
    <t>6-24-17 215 CBW12 S SURFACE</t>
  </si>
  <si>
    <t>CBW12</t>
  </si>
  <si>
    <t>Jun 24 2017 17:08</t>
  </si>
  <si>
    <t>127_6</t>
  </si>
  <si>
    <t>170624 CBW12 S surf</t>
  </si>
  <si>
    <t>BOX_7_68</t>
  </si>
  <si>
    <t>6-24-17 216 CBW12 S DEEP</t>
  </si>
  <si>
    <t>127_1</t>
  </si>
  <si>
    <t>170624 CBW12 S deep</t>
  </si>
  <si>
    <t>BOX_7_65</t>
  </si>
  <si>
    <t>6-24-17 213 CBW14 S SURFACE</t>
  </si>
  <si>
    <t>CBW14</t>
  </si>
  <si>
    <t>Jun 24 2017 13:15</t>
  </si>
  <si>
    <t>125_6</t>
  </si>
  <si>
    <t>170624 CBW14 S surf</t>
  </si>
  <si>
    <t>BOX_7_66</t>
  </si>
  <si>
    <t>6-24-17 214 CBW14 S DEEP</t>
  </si>
  <si>
    <t>125_1</t>
  </si>
  <si>
    <t>170624 CBW14 S deep</t>
  </si>
  <si>
    <t>BOX_7_63</t>
  </si>
  <si>
    <t>6-24-17 211 CBW15 S SURFACE</t>
  </si>
  <si>
    <t>CBW15</t>
  </si>
  <si>
    <t>Jun 24 2017 11:15</t>
  </si>
  <si>
    <t>124_6</t>
  </si>
  <si>
    <t>170624 CBW15 S surf</t>
  </si>
  <si>
    <t>CBW15 no particle filters</t>
  </si>
  <si>
    <t>BOX_7_64</t>
  </si>
  <si>
    <t>6-24-17 212 CBW15 S DEEP</t>
  </si>
  <si>
    <t>124_1</t>
  </si>
  <si>
    <t>170624 CBW15 S deep</t>
  </si>
  <si>
    <t>BOX_6_55</t>
  </si>
  <si>
    <t>6-25-17 235 CBW3 S SURFACE</t>
  </si>
  <si>
    <t>CBW3</t>
  </si>
  <si>
    <t>Jun 25 2017 20:10</t>
  </si>
  <si>
    <t>139_7</t>
  </si>
  <si>
    <t>170625 CBW3 S surf</t>
  </si>
  <si>
    <t>BOX_6_56</t>
  </si>
  <si>
    <t>6-25-17 236 CBW3 S PYCNO</t>
  </si>
  <si>
    <t>139_5</t>
  </si>
  <si>
    <t>170625 CBW3 S clines</t>
  </si>
  <si>
    <t>thermocline! Halocline! Stratification!</t>
  </si>
  <si>
    <t>BOX_6_57</t>
  </si>
  <si>
    <t>6-25-17 237 CBW3 S CHLMAX</t>
  </si>
  <si>
    <t>139_4</t>
  </si>
  <si>
    <t>170625 CBW3 S chl m</t>
  </si>
  <si>
    <t>BOX_8_57</t>
  </si>
  <si>
    <t>6-25-17 238 CBW3 S DEEP</t>
  </si>
  <si>
    <t>139_1</t>
  </si>
  <si>
    <t>170625 CBW3 S deep</t>
  </si>
  <si>
    <t>BOX_8_55</t>
  </si>
  <si>
    <t>6-25-17 232 CBW5 S SURF</t>
  </si>
  <si>
    <t>Jun 25 2017 15:46</t>
  </si>
  <si>
    <t>136_7</t>
  </si>
  <si>
    <t>170625 CBW5 S surf</t>
  </si>
  <si>
    <t>first signs of returning stratification -- especially in thermocline</t>
  </si>
  <si>
    <t>BOX_6_54</t>
  </si>
  <si>
    <t>6-25-17 233 CBW5 S MID</t>
  </si>
  <si>
    <t>136_6</t>
  </si>
  <si>
    <t>170625 CBW5 S mid</t>
  </si>
  <si>
    <t>136_5</t>
  </si>
  <si>
    <t>also revisiting process station as survey station (cast 012)</t>
  </si>
  <si>
    <t>BOX_8_56</t>
  </si>
  <si>
    <t>6-25-17 234 CBW5 S DEEP</t>
  </si>
  <si>
    <t>136_1</t>
  </si>
  <si>
    <t>170625 CBW5 S deep</t>
  </si>
  <si>
    <t>BOX_6_51</t>
  </si>
  <si>
    <t>6-25-17 229 CBW9 S SURFACE</t>
  </si>
  <si>
    <t>CBW9</t>
  </si>
  <si>
    <t>Jun 25 2017 08:14</t>
  </si>
  <si>
    <t>132_5</t>
  </si>
  <si>
    <t>170625 CBW9 S surf</t>
  </si>
  <si>
    <t>bit of thermal graident starting to form around 15 meters, everything else still looks mixed</t>
  </si>
  <si>
    <t>BOX_6_52</t>
  </si>
  <si>
    <t>6-25-17 230 CBW9 S MID</t>
  </si>
  <si>
    <t>132_3</t>
  </si>
  <si>
    <t>170625 CBW9 S mid</t>
  </si>
  <si>
    <t>BOX_6_53</t>
  </si>
  <si>
    <t>6-25-17 231 CBW9 S DEEP</t>
  </si>
  <si>
    <t>132_1</t>
  </si>
  <si>
    <t>170625 CBW9 S deep</t>
  </si>
  <si>
    <t>BOX_5_32</t>
  </si>
  <si>
    <t>6-19-17 105 CL0 S SURFACE</t>
  </si>
  <si>
    <t>CL0</t>
  </si>
  <si>
    <t>Jun 19 2017 08:00</t>
  </si>
  <si>
    <t>70_4</t>
  </si>
  <si>
    <t>170619 CL0 S surf</t>
  </si>
  <si>
    <t>BOX_5_42</t>
  </si>
  <si>
    <t>6-19-17 104 CL0 S MID</t>
  </si>
  <si>
    <t>70_2</t>
  </si>
  <si>
    <t>170619 CL0 S mid</t>
  </si>
  <si>
    <t>BOX_5_37</t>
  </si>
  <si>
    <t>6-19-17 105 CL0 S DEEP</t>
  </si>
  <si>
    <t>70_1</t>
  </si>
  <si>
    <t>170619 CL0 S deep</t>
  </si>
  <si>
    <t>BOX_5_34</t>
  </si>
  <si>
    <t>6-19-17 106 CL1 S SURFACE</t>
  </si>
  <si>
    <t>Jun 19 2017 10:19</t>
  </si>
  <si>
    <t>71_6</t>
  </si>
  <si>
    <t>170619 CL1 S surf</t>
  </si>
  <si>
    <t>BOX_5_43</t>
  </si>
  <si>
    <t>6-19-17 107 CL1 S PYCNO</t>
  </si>
  <si>
    <t>71_4</t>
  </si>
  <si>
    <t>170619 CL1 S clines</t>
  </si>
  <si>
    <t>*cline = thermo and pycnoclines and increase in O2</t>
  </si>
  <si>
    <t>BOX_5_44</t>
  </si>
  <si>
    <t>6-19-17 108 CL1 S DEEP</t>
  </si>
  <si>
    <t>71_1</t>
  </si>
  <si>
    <t>170619 CL1 S deep</t>
  </si>
  <si>
    <t>BOX_5_40</t>
  </si>
  <si>
    <t>6-19-17 109 CL1.5 S SURFACE</t>
  </si>
  <si>
    <t>CL1.5</t>
  </si>
  <si>
    <t>Jun 19 2017 12:27</t>
  </si>
  <si>
    <t>72_5</t>
  </si>
  <si>
    <t>170619 CL1.5 S surf</t>
  </si>
  <si>
    <t>BOX_5_30</t>
  </si>
  <si>
    <t>6-19-17 110 CL1.5 S 20M</t>
  </si>
  <si>
    <t>72_3</t>
  </si>
  <si>
    <t>170619 CL1.5 S clines</t>
  </si>
  <si>
    <t>BOX_5_39</t>
  </si>
  <si>
    <t>6-19-17 111 CL1.5 S MID</t>
  </si>
  <si>
    <t>72_2</t>
  </si>
  <si>
    <t>170619 CL1.5 S mid</t>
  </si>
  <si>
    <t>BOX_5_51</t>
  </si>
  <si>
    <t>6-19-17 112 CL1.5 S DEEP</t>
  </si>
  <si>
    <t>72_1</t>
  </si>
  <si>
    <t>170619 CL1.5 S deep</t>
  </si>
  <si>
    <t>BOX_5_38</t>
  </si>
  <si>
    <t>6-19-17 113 CL2 S SURFACE</t>
  </si>
  <si>
    <t>CL2</t>
  </si>
  <si>
    <t>Jun 19 2017 14:38</t>
  </si>
  <si>
    <t>73_11</t>
  </si>
  <si>
    <t>170619 CL2 S surf</t>
  </si>
  <si>
    <t>BOX_5_41</t>
  </si>
  <si>
    <t>6-19-17 114 CL2 S PYCNO</t>
  </si>
  <si>
    <t>73_9</t>
  </si>
  <si>
    <t>170619 CL2 cline</t>
  </si>
  <si>
    <t>BOX_5_35</t>
  </si>
  <si>
    <t>6-19-17 115 CL2 S DEEP</t>
  </si>
  <si>
    <t>73_1</t>
  </si>
  <si>
    <t>170619 CL2 deep</t>
  </si>
  <si>
    <t>BOX_8_68</t>
  </si>
  <si>
    <t>6-19-17 116 CL2.5 S SURF</t>
  </si>
  <si>
    <t>CL2.5</t>
  </si>
  <si>
    <t>Jun 19 2017 16:51</t>
  </si>
  <si>
    <t>74_6</t>
  </si>
  <si>
    <t>170619 CL2.5 surf</t>
  </si>
  <si>
    <t>BOX_8_69</t>
  </si>
  <si>
    <t>6-19-17 117 CL2.5 S PYCNO</t>
  </si>
  <si>
    <t>74_5</t>
  </si>
  <si>
    <t>170619 CL2.5 clines</t>
  </si>
  <si>
    <t>*clines = thermo and pycnoclines</t>
  </si>
  <si>
    <t>BOX_8_70</t>
  </si>
  <si>
    <t>6-19-17 118 CL2.5 S CHLMAX</t>
  </si>
  <si>
    <t>74_4</t>
  </si>
  <si>
    <t>170619 CL2.5 chl m</t>
  </si>
  <si>
    <t>BOX_8_71</t>
  </si>
  <si>
    <t>6-19-17 119 CL2.5 S DEEP</t>
  </si>
  <si>
    <t>74_1</t>
  </si>
  <si>
    <t>170619 CL2.5 deep</t>
  </si>
  <si>
    <t>BOX_8_72</t>
  </si>
  <si>
    <t>6-19-17 120 CL3 S SURF</t>
  </si>
  <si>
    <t>Jun 19 2017 18:56</t>
  </si>
  <si>
    <t>75_8</t>
  </si>
  <si>
    <t>170619 CL3 S surf</t>
  </si>
  <si>
    <t>BOX_8_73</t>
  </si>
  <si>
    <t>6-19-17 121 CL3 S PYCNO</t>
  </si>
  <si>
    <t>75_6</t>
  </si>
  <si>
    <t>170619 CL3 S clines</t>
  </si>
  <si>
    <t>**duplicate particle filters, same genetic sample</t>
  </si>
  <si>
    <t>BOX_8_75</t>
  </si>
  <si>
    <t>6-19-17 122 CL3 S BLIP</t>
  </si>
  <si>
    <t>75_4</t>
  </si>
  <si>
    <t>170619 CL3 S blip</t>
  </si>
  <si>
    <t>75_3</t>
  </si>
  <si>
    <t>BOX_8_74</t>
  </si>
  <si>
    <t>6-19-17 123 CL3 S DEEP</t>
  </si>
  <si>
    <t>75_1</t>
  </si>
  <si>
    <t>170619 CL3 S deep</t>
  </si>
  <si>
    <t>BOX_7_60</t>
  </si>
  <si>
    <t>6-23-17 208 CNL1 S SURFACE</t>
  </si>
  <si>
    <t>CNL1</t>
  </si>
  <si>
    <t>Jun 23 2017 23:01</t>
  </si>
  <si>
    <t>111_7</t>
  </si>
  <si>
    <t>170623 CNL1 S surf</t>
  </si>
  <si>
    <t>BOX_7_61</t>
  </si>
  <si>
    <t>6-23-17 209 CNL1 S CHLMAX</t>
  </si>
  <si>
    <t>111_5</t>
  </si>
  <si>
    <t>170623 CNL1 S chl m</t>
  </si>
  <si>
    <t>BOX_7_62</t>
  </si>
  <si>
    <t>6-23-17 210 CNL1 S DEEP</t>
  </si>
  <si>
    <t>111_1</t>
  </si>
  <si>
    <t>170623 CNL1 S deep</t>
  </si>
  <si>
    <t>BOX_8_77</t>
  </si>
  <si>
    <t>6-19-17 127 CNL10 S SURF</t>
  </si>
  <si>
    <t>CNL10</t>
  </si>
  <si>
    <t>Jun 20 2017 01:53</t>
  </si>
  <si>
    <t>78_11</t>
  </si>
  <si>
    <t>170619 CNL10 S surf</t>
  </si>
  <si>
    <t>BOX_8_92</t>
  </si>
  <si>
    <t>6-19-17 128 CNL10 S CHLMAX</t>
  </si>
  <si>
    <t>78_8</t>
  </si>
  <si>
    <t>170619 CNL10 S chlm</t>
  </si>
  <si>
    <t>BOX_8_78</t>
  </si>
  <si>
    <t>6-19-17 129 CNL10 S DEEP</t>
  </si>
  <si>
    <t>78_1</t>
  </si>
  <si>
    <t>170619 CNL10 S deep</t>
  </si>
  <si>
    <t>BOX_5_29</t>
  </si>
  <si>
    <t>6-19-17 124 CNL12 S SURF</t>
  </si>
  <si>
    <t>CNL12</t>
  </si>
  <si>
    <t>Jun 19 2017 21:22</t>
  </si>
  <si>
    <t>76_7</t>
  </si>
  <si>
    <t>170619 CNL12 S surf</t>
  </si>
  <si>
    <t>BOX_8_76</t>
  </si>
  <si>
    <t>6-19-17 125 CNL12 S PYCNO</t>
  </si>
  <si>
    <t>76_5</t>
  </si>
  <si>
    <t>170619 CNL12 S cline</t>
  </si>
  <si>
    <t>BOX_5_36</t>
  </si>
  <si>
    <t>6-19-17 126 CNL12 S DEEP</t>
  </si>
  <si>
    <t>76_1</t>
  </si>
  <si>
    <t>170619 CNL12 S deep</t>
  </si>
  <si>
    <t>BOX_7_57</t>
  </si>
  <si>
    <t>6-23-17 204 CNL2 S SURFACE</t>
  </si>
  <si>
    <t>CNL2</t>
  </si>
  <si>
    <t>Jun 23 2017 20:21</t>
  </si>
  <si>
    <t>110_10</t>
  </si>
  <si>
    <t>170623 CNL2 S surf</t>
  </si>
  <si>
    <t>BOX_7_58</t>
  </si>
  <si>
    <t>6-23-17 205 CNL2 S CHLMAX</t>
  </si>
  <si>
    <t>110_8</t>
  </si>
  <si>
    <t>170623 CNL2 S chl m</t>
  </si>
  <si>
    <t>BOX_8_54</t>
  </si>
  <si>
    <t>6-23-17 206 CNL2 S 2x CHLMAX</t>
  </si>
  <si>
    <t>2x chl m</t>
  </si>
  <si>
    <t>110_5</t>
  </si>
  <si>
    <t>170623 CNL2 S 2x chl m</t>
  </si>
  <si>
    <t>BOX_7_59</t>
  </si>
  <si>
    <t>6-23-17 207 CNL2 S DEEP</t>
  </si>
  <si>
    <t>110_1</t>
  </si>
  <si>
    <t>170623 CNL2 S deep</t>
  </si>
  <si>
    <t>BOX_8_44</t>
  </si>
  <si>
    <t>6-22-17 184 CNL5 S SURF</t>
  </si>
  <si>
    <t>CNL5</t>
  </si>
  <si>
    <t>Jun 22 2017 12:33</t>
  </si>
  <si>
    <t>99_8</t>
  </si>
  <si>
    <t>170622 CNL5 S surf</t>
  </si>
  <si>
    <t>99_9</t>
  </si>
  <si>
    <t>BOX_8_45</t>
  </si>
  <si>
    <t>6-22-17 185 CNL5 S MID</t>
  </si>
  <si>
    <t>99_4</t>
  </si>
  <si>
    <t>170622 CNL5 S mid</t>
  </si>
  <si>
    <t>99_5</t>
  </si>
  <si>
    <t>BOX_8_46</t>
  </si>
  <si>
    <t>6-22-17 186 CNL5 S DEEP</t>
  </si>
  <si>
    <t>99_1</t>
  </si>
  <si>
    <t>170622 CNL5 S deep</t>
  </si>
  <si>
    <t>BOX_5_31</t>
  </si>
  <si>
    <t>6-16-17 76 CNL7 S SURFACE</t>
  </si>
  <si>
    <t>CNL7</t>
  </si>
  <si>
    <t>Jun 16 2017 08:52</t>
  </si>
  <si>
    <t>39_11</t>
  </si>
  <si>
    <t>170615 CNL7 surf</t>
  </si>
  <si>
    <t>39_12</t>
  </si>
  <si>
    <t>BOX_5_33</t>
  </si>
  <si>
    <t>6-16-17 75 CNL7 S THERMO</t>
  </si>
  <si>
    <t>39_9</t>
  </si>
  <si>
    <t>170615 CNL7 thermo*</t>
  </si>
  <si>
    <t>39_10</t>
  </si>
  <si>
    <t>*very bottom of thermocline</t>
  </si>
  <si>
    <t>BOX_5_28</t>
  </si>
  <si>
    <t>6-16-17 74 CNL7 S DEEP</t>
  </si>
  <si>
    <t>39_1</t>
  </si>
  <si>
    <t>170616 CNL7 deep</t>
  </si>
  <si>
    <t>39_2</t>
  </si>
  <si>
    <t>BOX_8_79</t>
  </si>
  <si>
    <t>6-19-17 130 CNL9 S SURF</t>
  </si>
  <si>
    <t>CNL9</t>
  </si>
  <si>
    <t>Jun 20 2017 04:08</t>
  </si>
  <si>
    <t>79_6</t>
  </si>
  <si>
    <t>170619 CNL9 S surf</t>
  </si>
  <si>
    <t>BOX_8_80</t>
  </si>
  <si>
    <t>6-19-17 131 CNL9 S CHLMAX</t>
  </si>
  <si>
    <t>79_4</t>
  </si>
  <si>
    <t>170619 CNL9 S chl m</t>
  </si>
  <si>
    <t>BOX_8_81</t>
  </si>
  <si>
    <t>6-19-17 132 CNL9 S THERMO</t>
  </si>
  <si>
    <t>thermo blip</t>
  </si>
  <si>
    <t>79_3</t>
  </si>
  <si>
    <t>170619 CNL9 S thermo blip</t>
  </si>
  <si>
    <t>BOX_8_82</t>
  </si>
  <si>
    <t>6-19-17 133 CNL9 S DEEP</t>
  </si>
  <si>
    <t>79_1</t>
  </si>
  <si>
    <t>170619 CNL9 S deep</t>
  </si>
  <si>
    <t>BOX_7_56</t>
  </si>
  <si>
    <t>6-23-17 202 CNL1 S SURFACE</t>
  </si>
  <si>
    <t>CPL1</t>
  </si>
  <si>
    <t>Jun 23 2017 09:29</t>
  </si>
  <si>
    <t>109_2</t>
  </si>
  <si>
    <t>170623 CPL1 S surf</t>
  </si>
  <si>
    <t>BOX_8_53</t>
  </si>
  <si>
    <t>6-23-17 203 CNL1 S DEEP</t>
  </si>
  <si>
    <t>109_1</t>
  </si>
  <si>
    <t>170623 CPL1 S deep</t>
  </si>
  <si>
    <t>BOX_7_54</t>
  </si>
  <si>
    <t>6-22-17 200 CPL2 S SURF</t>
  </si>
  <si>
    <t>CPL2</t>
  </si>
  <si>
    <t>Jun 23 2017 07:49</t>
  </si>
  <si>
    <t>108_2</t>
  </si>
  <si>
    <t>170622 CPL2 S surf</t>
  </si>
  <si>
    <t>BOX_7_55</t>
  </si>
  <si>
    <t>6-22-17 201 CPL2 S DEEP</t>
  </si>
  <si>
    <t>108_1</t>
  </si>
  <si>
    <t>170622 CPL2 S deep</t>
  </si>
  <si>
    <t>BOX_7_53</t>
  </si>
  <si>
    <t>6-22-17 198 CPL3 S SURFACE</t>
  </si>
  <si>
    <t>CPL3</t>
  </si>
  <si>
    <t>Jun 23 2017 06:14</t>
  </si>
  <si>
    <t>107_2</t>
  </si>
  <si>
    <t>170622 CPL3 S surf</t>
  </si>
  <si>
    <t>BOX_8_52</t>
  </si>
  <si>
    <t>6-22-17 199 CPL3 S DEEP</t>
  </si>
  <si>
    <t>107_1</t>
  </si>
  <si>
    <t>170622 CPL3 S deep</t>
  </si>
  <si>
    <t>BOX_7_52</t>
  </si>
  <si>
    <t>6-22-17 196 CPL5 S SURFACE</t>
  </si>
  <si>
    <t>CPL5</t>
  </si>
  <si>
    <t>Jun 23 2017 03:03</t>
  </si>
  <si>
    <t>105_3</t>
  </si>
  <si>
    <t>170622 CPL5 S surf</t>
  </si>
  <si>
    <t>BOX_8_49</t>
  </si>
  <si>
    <t>6-22-17 193 CPL6 S SURF</t>
  </si>
  <si>
    <t>CPL6</t>
  </si>
  <si>
    <t>Jun 23 2017 00:21</t>
  </si>
  <si>
    <t>104_15</t>
  </si>
  <si>
    <t>170622 CPL6 S surf</t>
  </si>
  <si>
    <t>104_24</t>
  </si>
  <si>
    <t>BOX_8_50</t>
  </si>
  <si>
    <t>6-22-17 194 CPL6 S MID</t>
  </si>
  <si>
    <t>104_11</t>
  </si>
  <si>
    <t>170622 CPL6 S mid</t>
  </si>
  <si>
    <t>BOX_7_51</t>
  </si>
  <si>
    <t>6-22-17 195 CPL6 S DEEP</t>
  </si>
  <si>
    <t>104_1</t>
  </si>
  <si>
    <t>170622 CPL6 S deep</t>
  </si>
  <si>
    <t>BOX_8_47</t>
  </si>
  <si>
    <t>6-22-17 190 CPL7 S SURF</t>
  </si>
  <si>
    <t>CPL7</t>
  </si>
  <si>
    <t>Jun 22 2017 22:33</t>
  </si>
  <si>
    <t>103_4</t>
  </si>
  <si>
    <t>170622 CPL7 S surf</t>
  </si>
  <si>
    <t>BOX_7_71</t>
  </si>
  <si>
    <t>6-22-17 191 CPL7 S MID</t>
  </si>
  <si>
    <t>103_2</t>
  </si>
  <si>
    <t>170622 CPL7 S mid</t>
  </si>
  <si>
    <t>BOX_8_48</t>
  </si>
  <si>
    <t>6-22-17 192 CPL7 S DEEP</t>
  </si>
  <si>
    <t>deep/chl pile</t>
  </si>
  <si>
    <t>103_1</t>
  </si>
  <si>
    <t>170622 CPL7 S deep</t>
  </si>
  <si>
    <t>BOX_7_48</t>
  </si>
  <si>
    <t>6-22-17 187 CPL8 S SURFACE</t>
  </si>
  <si>
    <t>CPL8</t>
  </si>
  <si>
    <t>Jun 22 2017 19:06</t>
  </si>
  <si>
    <t>102_8</t>
  </si>
  <si>
    <t>170622 CPL8 S surf</t>
  </si>
  <si>
    <t>BOX_7_49</t>
  </si>
  <si>
    <t>6-22-17 188 CPL8 S MID</t>
  </si>
  <si>
    <t>102_4</t>
  </si>
  <si>
    <t>170622 CPL8 S mid</t>
  </si>
  <si>
    <t>BOX_7_50</t>
  </si>
  <si>
    <t>6-22-17 189 CPL8 S DEEP</t>
  </si>
  <si>
    <t>near deep</t>
  </si>
  <si>
    <t>102_3</t>
  </si>
  <si>
    <t>170622 CPL8 S near deep</t>
  </si>
  <si>
    <t>BOX_6_58</t>
  </si>
  <si>
    <t>6-25-17 239 DBO1.10 S SURFACE</t>
  </si>
  <si>
    <t>DBO1.10</t>
  </si>
  <si>
    <t>Jun 26 2017 00:00</t>
  </si>
  <si>
    <t>141_12</t>
  </si>
  <si>
    <t>170625 DBO1.10 S surf</t>
  </si>
  <si>
    <t>141_14</t>
  </si>
  <si>
    <t>surface water was taken from ships underway seawater flow through positioned @ 6 m down</t>
  </si>
  <si>
    <t>BOX_8_58</t>
  </si>
  <si>
    <t>6-25-17 240 DBO1.10 S PYCNO</t>
  </si>
  <si>
    <t>141_11</t>
  </si>
  <si>
    <t>170625 DBO1.10 S clines</t>
  </si>
  <si>
    <t>CTD non-cooperative--bottles for depths above 13 did not fire</t>
  </si>
  <si>
    <t>BOX_6_59</t>
  </si>
  <si>
    <t>6-25-17 241 DBO1.10 S CHLMAX</t>
  </si>
  <si>
    <t>141_7</t>
  </si>
  <si>
    <t>170625 DBO1.10 S chl m</t>
  </si>
  <si>
    <t>BOX_6_60</t>
  </si>
  <si>
    <t>6-25-17 242 DBO1.10 S DEEP</t>
  </si>
  <si>
    <t>141_1</t>
  </si>
  <si>
    <t>170625 DBO1.10 S deep</t>
  </si>
  <si>
    <t>BOX_8_59</t>
  </si>
  <si>
    <t>6-26-17 243 DBO2.2 S SURF</t>
  </si>
  <si>
    <t>DBO2.2</t>
  </si>
  <si>
    <t>Jun 26 2017 21:24</t>
  </si>
  <si>
    <t>144_22</t>
  </si>
  <si>
    <t>170626 DBO2.2 S surf</t>
  </si>
  <si>
    <t>BOX_8_66</t>
  </si>
  <si>
    <t>6-26-17 244 DBO2.2 S CHLMAX</t>
  </si>
  <si>
    <t>144_6</t>
  </si>
  <si>
    <t>170626 DBO2.2 S chl m</t>
  </si>
  <si>
    <t>**oringally logged as DBO2.1, when it is actually station DB2.2</t>
  </si>
  <si>
    <t>BOX_8_60</t>
  </si>
  <si>
    <t>6-26-17 245 DBO2.2 S DEEP</t>
  </si>
  <si>
    <t>144_1</t>
  </si>
  <si>
    <t>170626 DBO2.2 S deep</t>
  </si>
  <si>
    <t>BOX_6_61</t>
  </si>
  <si>
    <t>6-26-17 248 DBO2.3 S SURFACE</t>
  </si>
  <si>
    <t>DBO2.3</t>
  </si>
  <si>
    <t>Jun 27 2017 03:26</t>
  </si>
  <si>
    <t>surf/chl</t>
  </si>
  <si>
    <t>146_7</t>
  </si>
  <si>
    <t>170626 DBO2.3 S surf</t>
  </si>
  <si>
    <t>surf and 10 m have same levels of chl about</t>
  </si>
  <si>
    <t>BOX_8_67</t>
  </si>
  <si>
    <t>6-26-17 249 DBO2.3 S MID CHLMAX</t>
  </si>
  <si>
    <t>146_5</t>
  </si>
  <si>
    <t>170626 DBO2.3 S chl m</t>
  </si>
  <si>
    <t>BOX_6_62</t>
  </si>
  <si>
    <t>6-26-17 250 DBO2.3 S DEEP</t>
  </si>
  <si>
    <t>146_1</t>
  </si>
  <si>
    <t>170626 DBO2.3 S deep</t>
  </si>
  <si>
    <t>BOX_8_61</t>
  </si>
  <si>
    <t>6-27-17 251 DBO2.36 S SURF</t>
  </si>
  <si>
    <t>DBO2.36</t>
  </si>
  <si>
    <t>Jun 27 2017 08:23</t>
  </si>
  <si>
    <t>148_4</t>
  </si>
  <si>
    <t>170627 DBO2.36 S surf</t>
  </si>
  <si>
    <t>BOX_6_63</t>
  </si>
  <si>
    <t>6-27-17 252 DBO2.36 S MID</t>
  </si>
  <si>
    <t>148_3</t>
  </si>
  <si>
    <t>170627 DBO2.36 S clines</t>
  </si>
  <si>
    <t>BOX_8_62</t>
  </si>
  <si>
    <t>6-27-17 253 DBO2.36 S DEEP</t>
  </si>
  <si>
    <t>148_1</t>
  </si>
  <si>
    <t>170627 DBO2.36 S deep</t>
  </si>
  <si>
    <t>BOX_7_69</t>
  </si>
  <si>
    <t>6-24-17 217 DBO2.5 S SURFACE</t>
  </si>
  <si>
    <t>DBO2.5</t>
  </si>
  <si>
    <t>Jun 24 2017 19:15</t>
  </si>
  <si>
    <t>128_5</t>
  </si>
  <si>
    <t>170624 DBO2.5 S surf</t>
  </si>
  <si>
    <t>BOX_7_70</t>
  </si>
  <si>
    <t>6-24-17 218 DBO2.5 S DEEP</t>
  </si>
  <si>
    <t>128_1</t>
  </si>
  <si>
    <t>170624 DBO2.5 S deep</t>
  </si>
  <si>
    <t>BOX_9_56</t>
  </si>
  <si>
    <t>6-20-17 164 DBO3.1 S SURFACE</t>
  </si>
  <si>
    <t>DBO3.1</t>
  </si>
  <si>
    <t>Jun 21 2017 02:46</t>
  </si>
  <si>
    <t>88_5</t>
  </si>
  <si>
    <t>170620 DBO3.1 S surf</t>
  </si>
  <si>
    <t>BOX_9_18</t>
  </si>
  <si>
    <t>6-20-17 165 DBO3.1 S MID</t>
  </si>
  <si>
    <t>88_3</t>
  </si>
  <si>
    <t>170620 DBO3.1 S mid</t>
  </si>
  <si>
    <t>BOX_9_57</t>
  </si>
  <si>
    <t>6-20-17 166 DBO3.1 S DEEP</t>
  </si>
  <si>
    <t>88_1</t>
  </si>
  <si>
    <t>170620 DBO3.1 S deep</t>
  </si>
  <si>
    <t>BOX_9_19</t>
  </si>
  <si>
    <t>6-20-17 161 DBO3.2 S SURFACE</t>
  </si>
  <si>
    <t>DBO3.2</t>
  </si>
  <si>
    <t>Jun 21 2017 00:58</t>
  </si>
  <si>
    <t>87_5</t>
  </si>
  <si>
    <t>170620 DBO3.2 S surf</t>
  </si>
  <si>
    <t>BOX_9_54</t>
  </si>
  <si>
    <t>6-20-17 162 DBO3.2 S MID</t>
  </si>
  <si>
    <t>87_3</t>
  </si>
  <si>
    <t>170620 DBO3.2 S mid</t>
  </si>
  <si>
    <t>BOX_9_55</t>
  </si>
  <si>
    <t>6-20-17 163 DBO3.2 S DEEP</t>
  </si>
  <si>
    <t>87_1</t>
  </si>
  <si>
    <t>170620 DBO3.2 S deep</t>
  </si>
  <si>
    <t>BOX_9_51</t>
  </si>
  <si>
    <t>6-20-17 158 DBO3.3 S SURFACE</t>
  </si>
  <si>
    <t>Jun 20 2017 23:36</t>
  </si>
  <si>
    <t>86_5</t>
  </si>
  <si>
    <t>170620 DBO3.3 S surf</t>
  </si>
  <si>
    <t>BOX_9_53</t>
  </si>
  <si>
    <t>6-20-17 160 DBO3.3 S DEEP</t>
  </si>
  <si>
    <t>86_1</t>
  </si>
  <si>
    <t>170620 DBO3.3 S deep</t>
  </si>
  <si>
    <t>BOX_9_49</t>
  </si>
  <si>
    <t>6-20-17 153 DBO3.4 S SURFACE</t>
  </si>
  <si>
    <t>DBO3.4</t>
  </si>
  <si>
    <t>Jun 20 2017 22:12</t>
  </si>
  <si>
    <t>85_6</t>
  </si>
  <si>
    <t>170620 DBO3.4 S surf</t>
  </si>
  <si>
    <t>BOX_9_64</t>
  </si>
  <si>
    <t>6-20-17 154 DBO3.4 S ML</t>
  </si>
  <si>
    <t>mixed layer</t>
  </si>
  <si>
    <t>85_5</t>
  </si>
  <si>
    <t>170620 DBO3.4 S ML</t>
  </si>
  <si>
    <t>BOX_9_50</t>
  </si>
  <si>
    <t>6-20-17 155 DBO3.4 S PYCNO</t>
  </si>
  <si>
    <t>85_4</t>
  </si>
  <si>
    <t>170620 DBO3.4 S clines</t>
  </si>
  <si>
    <t>BOX_9_20</t>
  </si>
  <si>
    <t>6-20-17 156 DBO3.4 S MID</t>
  </si>
  <si>
    <t>85_3</t>
  </si>
  <si>
    <t>170620 DBO3.4 S mid</t>
  </si>
  <si>
    <t>BOX_9_52</t>
  </si>
  <si>
    <t>6-20-17 157 DBO3.4 S DEEP</t>
  </si>
  <si>
    <t>85_1</t>
  </si>
  <si>
    <t>170620 DBO3.4 S deep</t>
  </si>
  <si>
    <t>BOX_9_2</t>
  </si>
  <si>
    <t>6-20-17 149 DBO3.5 S SURFACE</t>
  </si>
  <si>
    <t>DBO3.5</t>
  </si>
  <si>
    <t>Jun 20 2017 20:22</t>
  </si>
  <si>
    <t>84_6</t>
  </si>
  <si>
    <t>170620 DBO3.5 S surf</t>
  </si>
  <si>
    <t>BOX_9_63</t>
  </si>
  <si>
    <t>6-20-17 150 DBO3.5 S PYCNO</t>
  </si>
  <si>
    <t>84_4</t>
  </si>
  <si>
    <t>170620 DBO3.5 S clines</t>
  </si>
  <si>
    <t>BOX_9_1</t>
  </si>
  <si>
    <t>6-20-17 151 DBO3.5 S MID</t>
  </si>
  <si>
    <t>84_3</t>
  </si>
  <si>
    <t>170620 DBO3.5 S mid</t>
  </si>
  <si>
    <t>BOX_9_48</t>
  </si>
  <si>
    <t>6-20-17 152 DBO3.5 S DEEP</t>
  </si>
  <si>
    <t>84_1</t>
  </si>
  <si>
    <t>170620 DBO3.5 S deep</t>
  </si>
  <si>
    <t>BOX_8_90</t>
  </si>
  <si>
    <t>6-20-17 142 DBO3.6 S SURF</t>
  </si>
  <si>
    <t>DBO3.6</t>
  </si>
  <si>
    <t>Jun 20 2017 11:13</t>
  </si>
  <si>
    <t>82_6</t>
  </si>
  <si>
    <t>170620 DBO3.6 S surf</t>
  </si>
  <si>
    <t>DBO3.6 - no particle filters</t>
  </si>
  <si>
    <t>BOX_8_96</t>
  </si>
  <si>
    <t>6-20-17 145 DBO3.6 S SURF 2</t>
  </si>
  <si>
    <t>Jun 20 2017 14:22</t>
  </si>
  <si>
    <t>83_22</t>
  </si>
  <si>
    <t>170620 DBO3.6 S surf2</t>
  </si>
  <si>
    <t>BOX_8_97</t>
  </si>
  <si>
    <t>6-20-17 146 DBO3.6 S A CHLMAX</t>
  </si>
  <si>
    <t>chlmax</t>
  </si>
  <si>
    <t>83_13</t>
  </si>
  <si>
    <t>170620 DBO3.6 S A</t>
  </si>
  <si>
    <t>revisited DBO3.8 later in the morning after finding a strong chl max earlier.</t>
  </si>
  <si>
    <t>BOX_8_94</t>
  </si>
  <si>
    <t>6-20-17 147 DBO3.6 S B CHLMAX</t>
  </si>
  <si>
    <t>83_5</t>
  </si>
  <si>
    <t>170620 DBO3.6 S B</t>
  </si>
  <si>
    <t>No UVP on DBO3.8 (was asleep)</t>
  </si>
  <si>
    <t>BOX_8_91</t>
  </si>
  <si>
    <t>6-20-17 143 DBO3.6 S MID</t>
  </si>
  <si>
    <t>82_4</t>
  </si>
  <si>
    <t>170620 DBO3.6 S mid</t>
  </si>
  <si>
    <t>BOX_8_98</t>
  </si>
  <si>
    <t>6-20-17 148 DBO3.6 S C CHLMAX</t>
  </si>
  <si>
    <t>83_1</t>
  </si>
  <si>
    <t>170620 DBO3.6 S C</t>
  </si>
  <si>
    <t>BOX_8_95</t>
  </si>
  <si>
    <t>6-20-17 144 DBO3.6 S DEEP</t>
  </si>
  <si>
    <t>82_1</t>
  </si>
  <si>
    <t>170620 DBO3.6 S deep</t>
  </si>
  <si>
    <t>BOX_8_86</t>
  </si>
  <si>
    <t>6-20-17 138 DBO3.7 S SURF</t>
  </si>
  <si>
    <t>DBO3.7</t>
  </si>
  <si>
    <t>Jun 20 2017 09:03</t>
  </si>
  <si>
    <t>surf/chl m</t>
  </si>
  <si>
    <t>81_6</t>
  </si>
  <si>
    <t>170620 DBO3.7 S surf</t>
  </si>
  <si>
    <t>DBO3.7 particle filters may not actually be accurate, numbers in data sheet were crossed off.</t>
  </si>
  <si>
    <t>BOX_8_87</t>
  </si>
  <si>
    <t>6-20-17 139 DBO3.7 S 10M</t>
  </si>
  <si>
    <t>81_5</t>
  </si>
  <si>
    <t>170620 DBO3.7 S 10</t>
  </si>
  <si>
    <t>BOX_8_88</t>
  </si>
  <si>
    <t>6-20-17 140 DBO3.7 S 20M</t>
  </si>
  <si>
    <t>81_4</t>
  </si>
  <si>
    <t>170620 DBO3.7 S 20</t>
  </si>
  <si>
    <t>no particle filters this depth</t>
  </si>
  <si>
    <t>BOX_8_89</t>
  </si>
  <si>
    <t>6-20-17 141 DBO3.7 S DEEP</t>
  </si>
  <si>
    <t>81_1</t>
  </si>
  <si>
    <t>170620 DBO3.7 S deep</t>
  </si>
  <si>
    <t>BOX_8_83</t>
  </si>
  <si>
    <t>6-19-17 134 DBO3.8 S SURF</t>
  </si>
  <si>
    <t>DBO3.8</t>
  </si>
  <si>
    <t>Jun 20 2017 07:06</t>
  </si>
  <si>
    <t>80_9</t>
  </si>
  <si>
    <t>170619 DBO3.8 S surf</t>
  </si>
  <si>
    <t>80_10</t>
  </si>
  <si>
    <t>lots of stuff in the water, reduced filtered volume to 1</t>
  </si>
  <si>
    <t>BOX_8_84</t>
  </si>
  <si>
    <t>6-19-17 135 DBO3.8 S CHLMAX</t>
  </si>
  <si>
    <t>80_5</t>
  </si>
  <si>
    <t>170619 DBO3.8 S chl m</t>
  </si>
  <si>
    <t>80_7</t>
  </si>
  <si>
    <t>BOX_8_85</t>
  </si>
  <si>
    <t>6-19-17 136 DBO3.8 S OXYGEN</t>
  </si>
  <si>
    <t>O2 drop</t>
  </si>
  <si>
    <t>80_4</t>
  </si>
  <si>
    <t>170619 DBO3.8 S O2</t>
  </si>
  <si>
    <t>BOX_8_93</t>
  </si>
  <si>
    <t>6-19-17 137 DBO3.8 S DEEP</t>
  </si>
  <si>
    <t>80_1</t>
  </si>
  <si>
    <t>170619 DBO3.8 S deep</t>
  </si>
  <si>
    <t>BOX_9_58</t>
  </si>
  <si>
    <t>6-21-17 167 IL1 S SURFACE</t>
  </si>
  <si>
    <t>IL1</t>
  </si>
  <si>
    <t>Jun 21 2017 11:20</t>
  </si>
  <si>
    <t>89_3</t>
  </si>
  <si>
    <t>170621 IL1 S surf</t>
  </si>
  <si>
    <t>BOX_9_65</t>
  </si>
  <si>
    <t>6-21-17 168 IL1 S MID</t>
  </si>
  <si>
    <t>89_2</t>
  </si>
  <si>
    <t>170621 IL1 S mid</t>
  </si>
  <si>
    <t>BOX_9_59</t>
  </si>
  <si>
    <t>6-21-17 169 IL1 S DEEP</t>
  </si>
  <si>
    <t>89_1</t>
  </si>
  <si>
    <t>170621 IL1 S deep</t>
  </si>
  <si>
    <t>BOX_9_66</t>
  </si>
  <si>
    <t>6-21-17 170 IL2 S SURFACE</t>
  </si>
  <si>
    <t>Jun 21 2017 13:37</t>
  </si>
  <si>
    <t>90_4</t>
  </si>
  <si>
    <t>170621 IL2 S surf</t>
  </si>
  <si>
    <t>BOX_9_17</t>
  </si>
  <si>
    <t>6-21-17 171 IL2 S MID</t>
  </si>
  <si>
    <t>90_2</t>
  </si>
  <si>
    <t>170621 IL2 S mid</t>
  </si>
  <si>
    <t>BOX_9_67</t>
  </si>
  <si>
    <t>6-21-17 172 IL2 S DEEP</t>
  </si>
  <si>
    <t>90_1</t>
  </si>
  <si>
    <t>170621 IL2 S deep</t>
  </si>
  <si>
    <t>BOX_9_68</t>
  </si>
  <si>
    <t>6-21-17 173 IL3 S SURFACE</t>
  </si>
  <si>
    <t>IL3</t>
  </si>
  <si>
    <t>Jun 21 2017 15:46</t>
  </si>
  <si>
    <t>91_4</t>
  </si>
  <si>
    <t>170621 IL3 S surf</t>
  </si>
  <si>
    <t>BOX_9_69</t>
  </si>
  <si>
    <t>6-21-17 174 IL3 S MID</t>
  </si>
  <si>
    <t>91_2</t>
  </si>
  <si>
    <t>170621 IL3 S mid</t>
  </si>
  <si>
    <t>BOX_9_60</t>
  </si>
  <si>
    <t>6-21-17 175 IL3 S DEEP</t>
  </si>
  <si>
    <t>91_1</t>
  </si>
  <si>
    <t>170621 IL3 S deep</t>
  </si>
  <si>
    <t>BOX_9_70</t>
  </si>
  <si>
    <t>6-21-17 176 IL5 S SURFACE</t>
  </si>
  <si>
    <t>IL5</t>
  </si>
  <si>
    <t>Jun 21 2017 21:56</t>
  </si>
  <si>
    <t>93_5</t>
  </si>
  <si>
    <t>170621 IL5 S surf</t>
  </si>
  <si>
    <t>BOX_9_71</t>
  </si>
  <si>
    <t>6-21-17 177 IL5 S MID</t>
  </si>
  <si>
    <t>93_3</t>
  </si>
  <si>
    <t>170621 IL5 S mid</t>
  </si>
  <si>
    <t>BOX_9_61</t>
  </si>
  <si>
    <t>6-21-17 178 IL5 S DEEP</t>
  </si>
  <si>
    <t>93_1</t>
  </si>
  <si>
    <t>170621 IL5 deep</t>
  </si>
  <si>
    <t>BOX_9_72</t>
  </si>
  <si>
    <t>6-21-17 179 IL7 S SURFACE</t>
  </si>
  <si>
    <t>IL7</t>
  </si>
  <si>
    <t>Jun 22 2017 02:11</t>
  </si>
  <si>
    <t>95_5</t>
  </si>
  <si>
    <t>170621 IL7 S surf</t>
  </si>
  <si>
    <t>BOX_9_73</t>
  </si>
  <si>
    <t>6-21-17 180 IL7 S MID</t>
  </si>
  <si>
    <t>95_2</t>
  </si>
  <si>
    <t>170621 IL7 S mid</t>
  </si>
  <si>
    <t>BOX_9_74</t>
  </si>
  <si>
    <t>6-21-17 181 IL7 S DEEP</t>
  </si>
  <si>
    <t>95_1</t>
  </si>
  <si>
    <t>170621 IL7 S deep</t>
  </si>
  <si>
    <t>BOX_9_62</t>
  </si>
  <si>
    <t>6-21-17 182 IL9 S SURFACE</t>
  </si>
  <si>
    <t>IL9</t>
  </si>
  <si>
    <t>Jun 22 2017 07:56</t>
  </si>
  <si>
    <t>97_4</t>
  </si>
  <si>
    <t>170621 IL9 S surf</t>
  </si>
  <si>
    <t>BOX_9_75</t>
  </si>
  <si>
    <t>6-21-17 183 IL9 S DEEP</t>
  </si>
  <si>
    <t>97_1</t>
  </si>
  <si>
    <t>170621 IL9 S deep</t>
  </si>
  <si>
    <t>BOX_9_32</t>
  </si>
  <si>
    <t>6-14-17 48 KL2 SURFACE</t>
  </si>
  <si>
    <t>KL2</t>
  </si>
  <si>
    <t>Jun 15 2017 03:14</t>
  </si>
  <si>
    <t>25_7</t>
  </si>
  <si>
    <t>170614 KL2 3m</t>
  </si>
  <si>
    <t>25_8</t>
  </si>
  <si>
    <t>KL transect is an extra nutrient and profile line en route to next process station</t>
  </si>
  <si>
    <t>BOX_9_28</t>
  </si>
  <si>
    <t>6-14-17 50 KL2 10M</t>
  </si>
  <si>
    <t>25_5</t>
  </si>
  <si>
    <t>170614 KL2 10m</t>
  </si>
  <si>
    <t>UVP not on for this cast</t>
  </si>
  <si>
    <t>BOX_9_29</t>
  </si>
  <si>
    <t>6-14-17 49 KL2 20M</t>
  </si>
  <si>
    <t>25_3</t>
  </si>
  <si>
    <t>170614 KL2 20m</t>
  </si>
  <si>
    <t>BOX_9_27</t>
  </si>
  <si>
    <t>6-14-17 51 KL2 33M DEEP</t>
  </si>
  <si>
    <t>25_1</t>
  </si>
  <si>
    <t>170614 KL2 33m</t>
  </si>
  <si>
    <t>25_2</t>
  </si>
  <si>
    <t>BOX_9_25</t>
  </si>
  <si>
    <t>6-14-17 53 KL4 SURFACE</t>
  </si>
  <si>
    <t>KL4</t>
  </si>
  <si>
    <t>Jun 15 2017 06:35</t>
  </si>
  <si>
    <t>27_5</t>
  </si>
  <si>
    <t>170614 KL4 surf</t>
  </si>
  <si>
    <t>BOX_9_24</t>
  </si>
  <si>
    <t>6-14-17 54 KL4 THERMO</t>
  </si>
  <si>
    <t>thermo</t>
  </si>
  <si>
    <t>27_4</t>
  </si>
  <si>
    <t>170614 KL4 thermo</t>
  </si>
  <si>
    <t>BOX_9_23</t>
  </si>
  <si>
    <t>6-14-17 55 KL4 20M</t>
  </si>
  <si>
    <t>27_3</t>
  </si>
  <si>
    <t>170614 KL4 20 m</t>
  </si>
  <si>
    <t>BOX_9_26</t>
  </si>
  <si>
    <t>6-14-17 52 KL4 DEEP</t>
  </si>
  <si>
    <t>27_1</t>
  </si>
  <si>
    <t>170614 KL4 deep</t>
  </si>
  <si>
    <t>UVP was on for this cast!</t>
  </si>
  <si>
    <t>BOX_9_45</t>
  </si>
  <si>
    <t>6-27-17 271 SLY2 S SURFACE</t>
  </si>
  <si>
    <t>SLY2</t>
  </si>
  <si>
    <t>Jun 28 2017 05:14</t>
  </si>
  <si>
    <t>161_3</t>
  </si>
  <si>
    <t>170627 SLY2 S surf</t>
  </si>
  <si>
    <t>SLY2 no particles</t>
  </si>
  <si>
    <t>BOX_9_44</t>
  </si>
  <si>
    <t>6-27-17 272 SLY2 S MID</t>
  </si>
  <si>
    <t>161_2</t>
  </si>
  <si>
    <t>170627 SLY2 S mid</t>
  </si>
  <si>
    <t>BOX_9_43</t>
  </si>
  <si>
    <t>6-27-17 273 SLY2 S DEEP</t>
  </si>
  <si>
    <t>161_1</t>
  </si>
  <si>
    <t>170627 SLY2 deep</t>
  </si>
  <si>
    <t>BOX_5_48</t>
  </si>
  <si>
    <t>6-28-17 274 SLY4 S SURFACE</t>
  </si>
  <si>
    <t>SLY4</t>
  </si>
  <si>
    <t>Jun 28 2017 08:23</t>
  </si>
  <si>
    <t>163_4</t>
  </si>
  <si>
    <t>170627 SLY4 S surf</t>
  </si>
  <si>
    <t>SLY4 no particles</t>
  </si>
  <si>
    <t>BOX_6_69</t>
  </si>
  <si>
    <t>6-28-17 275 SLY4 S MID</t>
  </si>
  <si>
    <t>163_3</t>
  </si>
  <si>
    <t>170627 SLY4 S mid</t>
  </si>
  <si>
    <t>BOX_6_70</t>
  </si>
  <si>
    <t>6-28-17 276 SLY4 S DEEP</t>
  </si>
  <si>
    <t>163_1</t>
  </si>
  <si>
    <t>170627 SLY4 S deep</t>
  </si>
  <si>
    <t>BOX_9_42</t>
  </si>
  <si>
    <t>6-28-17 277 SLY5 S SURFACE</t>
  </si>
  <si>
    <t>SLY5</t>
  </si>
  <si>
    <t>Jun 28 2017 09:53</t>
  </si>
  <si>
    <t>164_3</t>
  </si>
  <si>
    <t>170628 SLY5 S surf</t>
  </si>
  <si>
    <t>BOX_9_41</t>
  </si>
  <si>
    <t>6-28-17 278 SLY5 S PYCNO</t>
  </si>
  <si>
    <t>164_2</t>
  </si>
  <si>
    <t>170628 SLY5 S clines</t>
  </si>
  <si>
    <t>BOX_9_40</t>
  </si>
  <si>
    <t>6-28-17 279 SLY5 S DEEP</t>
  </si>
  <si>
    <t>164_1</t>
  </si>
  <si>
    <t>170628 SLY5 S deep</t>
  </si>
  <si>
    <t>BOX_9_16</t>
  </si>
  <si>
    <t>6-28-17 280 SLY6 S SURFACE</t>
  </si>
  <si>
    <t>SLY6</t>
  </si>
  <si>
    <t>Jun 28 2017 11:33</t>
  </si>
  <si>
    <t>165_3</t>
  </si>
  <si>
    <t>170628 SLY6 S surf</t>
  </si>
  <si>
    <t>SLY6 no particles</t>
  </si>
  <si>
    <t>BOX_9_39</t>
  </si>
  <si>
    <t>6-28-17 281 SLY6 S MID</t>
  </si>
  <si>
    <t>165_2</t>
  </si>
  <si>
    <t>170628 SLY6 S mid</t>
  </si>
  <si>
    <t>BOX_9_15</t>
  </si>
  <si>
    <t>6-28-17 282 SLY6 S DEEP</t>
  </si>
  <si>
    <t>165_1</t>
  </si>
  <si>
    <t>170628 SLY6 S deep</t>
  </si>
  <si>
    <t>BOX_9_14</t>
  </si>
  <si>
    <t>6-28-17 283 SLY7 S SURFACE</t>
  </si>
  <si>
    <t>SLY7</t>
  </si>
  <si>
    <t>Jun 28 2017 13:09</t>
  </si>
  <si>
    <t>166_3</t>
  </si>
  <si>
    <t>170628 SLY7 S surf</t>
  </si>
  <si>
    <t>BOX_9_13</t>
  </si>
  <si>
    <t>6-28-17 284 SLY7 S MID</t>
  </si>
  <si>
    <t>166_2</t>
  </si>
  <si>
    <t>170628 SLY7 S mid</t>
  </si>
  <si>
    <t>BOX_9_12</t>
  </si>
  <si>
    <t>6-28-17 285 SLY7 S DEEP</t>
  </si>
  <si>
    <t>166_1</t>
  </si>
  <si>
    <t>170628 SLY7 S deep</t>
  </si>
  <si>
    <t>BOX_9_38</t>
  </si>
  <si>
    <t>6-28-17 286 SLY8 S SURFACE</t>
  </si>
  <si>
    <t>SLY8</t>
  </si>
  <si>
    <t>Jun 28 2017 14:46</t>
  </si>
  <si>
    <t>167_3</t>
  </si>
  <si>
    <t>170628 SLY8 S surf</t>
  </si>
  <si>
    <t>SLY8 no particles</t>
  </si>
  <si>
    <t>BOX_9_11</t>
  </si>
  <si>
    <t>6-28-17 287 SLY8 S PYCNO</t>
  </si>
  <si>
    <t>167_2</t>
  </si>
  <si>
    <t>170628 SLY8 S clines</t>
  </si>
  <si>
    <t>no particle filters for SLY8</t>
  </si>
  <si>
    <t>BOX_9_10</t>
  </si>
  <si>
    <t>6-28-17 288 SLY8 S DEEP</t>
  </si>
  <si>
    <t>167_1</t>
  </si>
  <si>
    <t>170628 SLY8 S deep</t>
  </si>
  <si>
    <t>BOX_9_37</t>
  </si>
  <si>
    <t>6-28-17 289 SLY9 S SURFACE</t>
  </si>
  <si>
    <t>SLY9</t>
  </si>
  <si>
    <t>Jun 28 2017 16:24</t>
  </si>
  <si>
    <t>168_3</t>
  </si>
  <si>
    <t>170628 SLY9 S surf</t>
  </si>
  <si>
    <t>BOX_9_36</t>
  </si>
  <si>
    <t>6-28-17 290 SLY9 S PYCNO</t>
  </si>
  <si>
    <t>168_2</t>
  </si>
  <si>
    <t>170628 SLY9 S clines</t>
  </si>
  <si>
    <t>BOX_6_71</t>
  </si>
  <si>
    <t>6-28-17 291 SLY9 S DEEP</t>
  </si>
  <si>
    <t>168_1</t>
  </si>
  <si>
    <t>170628 SLY9 S deep</t>
  </si>
  <si>
    <t>BOX_9_35</t>
  </si>
  <si>
    <t>6-28-17 292 SLY9.5 S SURFACE</t>
  </si>
  <si>
    <t>SLY9.5</t>
  </si>
  <si>
    <t>Jun 28 2017 17:28</t>
  </si>
  <si>
    <t>169_3</t>
  </si>
  <si>
    <t>170628 SLY9.5 S surf</t>
  </si>
  <si>
    <t>BOX_9_34</t>
  </si>
  <si>
    <t>6-28-17 293 SLY9.5 S PYCNO</t>
  </si>
  <si>
    <t>169_2</t>
  </si>
  <si>
    <t>170628 SLY9.5 S clines</t>
  </si>
  <si>
    <t>no particle filters for SLY9.5</t>
  </si>
  <si>
    <t>BOX_9_33</t>
  </si>
  <si>
    <t>6-28-17 294 SLY9.5 S DEEP</t>
  </si>
  <si>
    <t>169_1</t>
  </si>
  <si>
    <t>170628 SLY9.5 S deep</t>
  </si>
  <si>
    <t>BOX_10_1</t>
  </si>
  <si>
    <t>8-29-17 DBO3.5 T72-1</t>
  </si>
  <si>
    <t>DBONCIS2017</t>
  </si>
  <si>
    <t>E</t>
  </si>
  <si>
    <t>BOX_10_2</t>
  </si>
  <si>
    <t>8-29-17 DBO3.5 T0-1</t>
  </si>
  <si>
    <t>BOX_10_3</t>
  </si>
  <si>
    <t>8-29-17 DBO3.5 T0-2</t>
  </si>
  <si>
    <t>BOX_9_100</t>
  </si>
  <si>
    <t>BOX_9_98</t>
  </si>
  <si>
    <t>8-29-17 DBO3.5 T48-1</t>
  </si>
  <si>
    <t>BOX_9_99</t>
  </si>
  <si>
    <t>8-29-17 DBO3.5 T48-2</t>
  </si>
  <si>
    <t>BOX_10_5</t>
  </si>
  <si>
    <t>8-31-17 DBO4.1 43M T0-1</t>
  </si>
  <si>
    <t>DBO4.1</t>
  </si>
  <si>
    <t>BOX_10_6</t>
  </si>
  <si>
    <t>8-31-17 DBO4.1 43M T72-1 PH</t>
  </si>
  <si>
    <t>BOX_10_7</t>
  </si>
  <si>
    <t>8-31-17 DBO4.1 43M T48-2 PH</t>
  </si>
  <si>
    <t>BOX_10_8</t>
  </si>
  <si>
    <t>8-31-17 DBO4.1 43M T48-2 CONTROL</t>
  </si>
  <si>
    <t>BOX_11_4</t>
  </si>
  <si>
    <t>8-31-17 DBO4.1 43M T72-1 CONTROL</t>
  </si>
  <si>
    <t>BOX_11_5</t>
  </si>
  <si>
    <t>8-31-17 DBO4.1 43M T72-2 CONTROL</t>
  </si>
  <si>
    <t>BOX_11_6</t>
  </si>
  <si>
    <t>8-31-17 DBO4.1 43M T72-2 PH</t>
  </si>
  <si>
    <t>BOX_4_95</t>
  </si>
  <si>
    <t>8-31-17 DBO4.1 43M T48-1 CONTROL</t>
  </si>
  <si>
    <t>BOX_4_96</t>
  </si>
  <si>
    <t>8-31-17 DBO4.1 43M T48-1 PH</t>
  </si>
  <si>
    <t>BOX_4_97</t>
  </si>
  <si>
    <t>8-31-17 DBO4.1 43M T0-2</t>
  </si>
  <si>
    <t>BOX_10_90</t>
  </si>
  <si>
    <t>9-6-17 NE1 T0-2</t>
  </si>
  <si>
    <t>NE-1</t>
  </si>
  <si>
    <t>BOX_10_93</t>
  </si>
  <si>
    <t>9-6-17 NE1 T0-1</t>
  </si>
  <si>
    <t>BOX_10_94</t>
  </si>
  <si>
    <t>9-4-17 NW4 T0-1</t>
  </si>
  <si>
    <t>NW-4</t>
  </si>
  <si>
    <t>BOX_10_95</t>
  </si>
  <si>
    <t>9-4-17 NW4 T0-2</t>
  </si>
  <si>
    <t>BOX_4_98</t>
  </si>
  <si>
    <t>9-4-17 NW4 T132-1</t>
  </si>
  <si>
    <t>BOX_4_99</t>
  </si>
  <si>
    <t>9-4-17 NW4 T132-2</t>
  </si>
  <si>
    <t>BOX_9_96</t>
  </si>
  <si>
    <t>9-2-17 W2 T0-2</t>
  </si>
  <si>
    <t>W-2</t>
  </si>
  <si>
    <t>BOX_9_97</t>
  </si>
  <si>
    <t>9-2-17 W2 T0-1</t>
  </si>
  <si>
    <t>BOX_10_100</t>
  </si>
  <si>
    <t xml:space="preserve">9-9-17 ?8 T72-1 PH </t>
  </si>
  <si>
    <t>BOX_10_88</t>
  </si>
  <si>
    <t>9-9-17 ?7 T48-1</t>
  </si>
  <si>
    <t>BOX_10_89</t>
  </si>
  <si>
    <t>9-9-17 ?8 T48-1</t>
  </si>
  <si>
    <t>BOX_10_96</t>
  </si>
  <si>
    <t xml:space="preserve">9-9-17 ?7 T48-2 </t>
  </si>
  <si>
    <t>BOX_10_97</t>
  </si>
  <si>
    <t>BOX_10_98</t>
  </si>
  <si>
    <t>9-9-17 ?7 T48-2</t>
  </si>
  <si>
    <t>BOX_10_99</t>
  </si>
  <si>
    <t xml:space="preserve">9-9-17 ?8 T48-1 PH </t>
  </si>
  <si>
    <t>BOX_11_1</t>
  </si>
  <si>
    <t>9-9-17 ?8 T72-1 CONTROL</t>
  </si>
  <si>
    <t>BOX_11_2</t>
  </si>
  <si>
    <t>9-9-17 ?8 T72-2 PH</t>
  </si>
  <si>
    <t>BOX_11_3</t>
  </si>
  <si>
    <t>9-9-17 ?8 T72-2 CONTROL</t>
  </si>
  <si>
    <t>AMBON_1_43</t>
  </si>
  <si>
    <t>8-21-17 BBL2 5M</t>
  </si>
  <si>
    <t>AMBON2017</t>
  </si>
  <si>
    <t>BBL2</t>
  </si>
  <si>
    <t>Aug 21 2017 01:16</t>
  </si>
  <si>
    <t>84_7</t>
  </si>
  <si>
    <t>84_4.912</t>
  </si>
  <si>
    <t>T = 8.5 degrees C</t>
  </si>
  <si>
    <t>BOX_6_98</t>
  </si>
  <si>
    <t>8-21-17 BBL2 3UM 5M</t>
  </si>
  <si>
    <t>BOX_6_99</t>
  </si>
  <si>
    <t>8-21-17 BBL2 20UM 5M</t>
  </si>
  <si>
    <t>AMBON_1_46</t>
  </si>
  <si>
    <t>8-21-17 BBL2 10M</t>
  </si>
  <si>
    <t>Aug 21 2017 01:15</t>
  </si>
  <si>
    <t>84_5</t>
  </si>
  <si>
    <t>84_9.842</t>
  </si>
  <si>
    <t>BOX_5_78</t>
  </si>
  <si>
    <t>8-21-17 BBL2 3UM 10M</t>
  </si>
  <si>
    <t>BOX_6_100</t>
  </si>
  <si>
    <t>8-21-17 BBL2 20UM 10M</t>
  </si>
  <si>
    <t>AMBON_1_45</t>
  </si>
  <si>
    <t>8-21-17 BBL2 16M CHLMAX</t>
  </si>
  <si>
    <t>Aug 21 2017 01:14</t>
  </si>
  <si>
    <t>chl max</t>
  </si>
  <si>
    <t>84_15.866</t>
  </si>
  <si>
    <t>BOX_5_77</t>
  </si>
  <si>
    <t>8-21-17 BBL2 3UM 16M</t>
  </si>
  <si>
    <t>BOX_5_90</t>
  </si>
  <si>
    <t>8-21-17 BBL2 20UM 16M</t>
  </si>
  <si>
    <t>volume filtered not recorded</t>
  </si>
  <si>
    <t>AMBON_1_48</t>
  </si>
  <si>
    <t>8-21-17 BBL2 20M</t>
  </si>
  <si>
    <t>Aug 21 2017 01:12</t>
  </si>
  <si>
    <t>84_20.8</t>
  </si>
  <si>
    <t>T = 3 degrees C</t>
  </si>
  <si>
    <t>BOX_8_33</t>
  </si>
  <si>
    <t>8-21-17 BBL2 3UM 20M</t>
  </si>
  <si>
    <t>BOX_7_95</t>
  </si>
  <si>
    <t>8-21-17 BBL2 20UM 20M</t>
  </si>
  <si>
    <t>Jellyfish station</t>
  </si>
  <si>
    <t>AMBON_1_47</t>
  </si>
  <si>
    <t>8-21-17 BBL6 SURF 5M</t>
  </si>
  <si>
    <t>BBL6</t>
  </si>
  <si>
    <t>Aug 21 2017 14:27</t>
  </si>
  <si>
    <t>88_9</t>
  </si>
  <si>
    <t>88_5.397</t>
  </si>
  <si>
    <t>BOX_7_10</t>
  </si>
  <si>
    <t>8-21-17 BBL6 3UM 5M SURFACE</t>
  </si>
  <si>
    <t>BOX_5_91</t>
  </si>
  <si>
    <t>8-21-17 BBL6 20UM 5M SURFACE</t>
  </si>
  <si>
    <t>AMBON_1_50</t>
  </si>
  <si>
    <t>8-21-17 BBL6 10M</t>
  </si>
  <si>
    <t>Aug 21 2017 14:25</t>
  </si>
  <si>
    <t>88_7</t>
  </si>
  <si>
    <t>88_8</t>
  </si>
  <si>
    <t>88_9.914</t>
  </si>
  <si>
    <t>BOX_8_3</t>
  </si>
  <si>
    <t>8-21-17 BBL6 3UM 10M</t>
  </si>
  <si>
    <t>BOX_8_39</t>
  </si>
  <si>
    <t>8-21-17 BBL6 20UM 10M</t>
  </si>
  <si>
    <t>3 micron filter crinkled and probably didn't filter anything out</t>
  </si>
  <si>
    <t>AMBON_1_49</t>
  </si>
  <si>
    <t>8-21-17 BBL6 20M CHLMAX</t>
  </si>
  <si>
    <t>Aug 21 2017 14:24</t>
  </si>
  <si>
    <t>88_21.463</t>
  </si>
  <si>
    <t>BOX_8_1</t>
  </si>
  <si>
    <t>8-21-17 BBL6 3UM 20M</t>
  </si>
  <si>
    <t>BOX_8_2</t>
  </si>
  <si>
    <t>8-21-17 BBL6 20UM 20M</t>
  </si>
  <si>
    <t>AMBON_1_51</t>
  </si>
  <si>
    <t>8-21-17 BBL6 30M</t>
  </si>
  <si>
    <t>Aug 21 2017 14:22</t>
  </si>
  <si>
    <t>88_30.294</t>
  </si>
  <si>
    <t>BOX_5_93</t>
  </si>
  <si>
    <t>8-21-17 BBL6 3UM 30M</t>
  </si>
  <si>
    <t>BOX_5_87</t>
  </si>
  <si>
    <t>8-21-17 BBL6 20UM 30M</t>
  </si>
  <si>
    <t>AMBON_1_52</t>
  </si>
  <si>
    <t>8-21-17 BBL6 37M BOTTOM</t>
  </si>
  <si>
    <t>Aug 21 2017 14:21</t>
  </si>
  <si>
    <t>88_35.81</t>
  </si>
  <si>
    <t>BOX_7_16</t>
  </si>
  <si>
    <t>8-21-17 BBL6 3UM 37M BOTTOM</t>
  </si>
  <si>
    <t>BOX_5_88</t>
  </si>
  <si>
    <t>8-21-17 BBL6 20UM 37M</t>
  </si>
  <si>
    <t>BOX_7_98</t>
  </si>
  <si>
    <t>8-8-17 CL3 3UM 5M</t>
  </si>
  <si>
    <t>Aug 08 2017 01:23</t>
  </si>
  <si>
    <t>9_13</t>
  </si>
  <si>
    <t>9_4.727</t>
  </si>
  <si>
    <t>BOX_7_99</t>
  </si>
  <si>
    <t>8-8-17 CL3 20UM 5M</t>
  </si>
  <si>
    <t>zoop from failed veritcal tow from 150 micron net, 500 ml of sample</t>
  </si>
  <si>
    <t>BOX_5_82</t>
  </si>
  <si>
    <t>8-8-17 CL3 3UM 10M</t>
  </si>
  <si>
    <t>Aug 08 2017 01:21</t>
  </si>
  <si>
    <t>9_11</t>
  </si>
  <si>
    <t>9_12</t>
  </si>
  <si>
    <t>9_10.631</t>
  </si>
  <si>
    <t>BOX_7_100</t>
  </si>
  <si>
    <t>8-8-17 CL3 20UM 10M</t>
  </si>
  <si>
    <t>BOX_7_93</t>
  </si>
  <si>
    <t>8-8-17 CL3 3UM 14M</t>
  </si>
  <si>
    <t>Aug 08 2017 01:20</t>
  </si>
  <si>
    <t>9_9</t>
  </si>
  <si>
    <t>9_14.383</t>
  </si>
  <si>
    <t>BOX_6_97</t>
  </si>
  <si>
    <t>8-8-17 CL3 20UM 14M</t>
  </si>
  <si>
    <t>BOX_6_96</t>
  </si>
  <si>
    <t>8-8-17 CL3 3UM 20M</t>
  </si>
  <si>
    <t>Aug 08 2017 01:18</t>
  </si>
  <si>
    <t>9_7</t>
  </si>
  <si>
    <t>9_20.682</t>
  </si>
  <si>
    <t>BOX_7_42</t>
  </si>
  <si>
    <t>8-8-17 CL3 20UM 20M</t>
  </si>
  <si>
    <t>BOX_7_94</t>
  </si>
  <si>
    <t>8-8-17 CL3 3UM 30M</t>
  </si>
  <si>
    <t>Aug 08 2017 01:16</t>
  </si>
  <si>
    <t>9_5</t>
  </si>
  <si>
    <t>9_29.792</t>
  </si>
  <si>
    <t>BOX_7_43</t>
  </si>
  <si>
    <t>8-8-17 CL3 20UM 30M</t>
  </si>
  <si>
    <t>BOX_8_41</t>
  </si>
  <si>
    <t>8-8-17 CL3 3UM 40M</t>
  </si>
  <si>
    <t>Aug 08 2017 01:15</t>
  </si>
  <si>
    <t>9_3</t>
  </si>
  <si>
    <t>9_40.849</t>
  </si>
  <si>
    <t>BOX_8_36</t>
  </si>
  <si>
    <t>8-8-17 CL3 20UM 40M</t>
  </si>
  <si>
    <t>BOX_7_1</t>
  </si>
  <si>
    <t>8-8-17 CL3 3UM 49M</t>
  </si>
  <si>
    <t>Aug 08 2017 01:13</t>
  </si>
  <si>
    <t>9_1</t>
  </si>
  <si>
    <t>9_48.797</t>
  </si>
  <si>
    <t>BOX_9_3</t>
  </si>
  <si>
    <t>8-8-17 CL3 20UM 49M</t>
  </si>
  <si>
    <t>BOX_10_35</t>
  </si>
  <si>
    <t>8-30-17 DBO3.1 B10 5M</t>
  </si>
  <si>
    <t>Aug 30 2017 10:17</t>
  </si>
  <si>
    <t>8_9</t>
  </si>
  <si>
    <t>8_30_17_DBO3_1_5m_B10_0.2</t>
  </si>
  <si>
    <t>3.366_34</t>
  </si>
  <si>
    <t>RNALater no</t>
  </si>
  <si>
    <t>BOX_6_95</t>
  </si>
  <si>
    <t>8-7-17 DBO3.1 3UM 5M SURFACE</t>
  </si>
  <si>
    <t>Aug 07 2017 17:15</t>
  </si>
  <si>
    <t>8_5.099</t>
  </si>
  <si>
    <t>BOX_5_79</t>
  </si>
  <si>
    <t>8-7-17 DBO3.1 20UM 5M SURFACE</t>
  </si>
  <si>
    <t>sediment core from DBO3.1</t>
  </si>
  <si>
    <t>BOX_7_89</t>
  </si>
  <si>
    <t>8-7-17 DBO3.1 3UM 9.1M</t>
  </si>
  <si>
    <t>Aug 07 2017 17:14</t>
  </si>
  <si>
    <t>8_7</t>
  </si>
  <si>
    <t>8_9.297</t>
  </si>
  <si>
    <t>BOX_8_4</t>
  </si>
  <si>
    <t>8-7-17 DBO3.1 20UM 9.5M</t>
  </si>
  <si>
    <t>BOX_8_5</t>
  </si>
  <si>
    <t>8-7-17 DBO3.1 3UM CHLMAX</t>
  </si>
  <si>
    <t>Aug 07 2017 17:12</t>
  </si>
  <si>
    <t>8_13.519</t>
  </si>
  <si>
    <t>BOX_8_6</t>
  </si>
  <si>
    <t>8-7-17 DBO3.1 20UM CHLMAX</t>
  </si>
  <si>
    <t>BOX_7_88</t>
  </si>
  <si>
    <t>8-7-17 DBO3.1 3UM 20M MID</t>
  </si>
  <si>
    <t>Aug 07 2017 17:11</t>
  </si>
  <si>
    <t>8_3</t>
  </si>
  <si>
    <t>8_4</t>
  </si>
  <si>
    <t>8_20.388</t>
  </si>
  <si>
    <t>BOX_7_90</t>
  </si>
  <si>
    <t>8-7-17 DBO3.1 20UM 20M MID</t>
  </si>
  <si>
    <t>BOX_10_36</t>
  </si>
  <si>
    <t>8-30-17 DBO3.1 B4 32M</t>
  </si>
  <si>
    <t>8_30_17_DBO3_1_32m_B4_0.2</t>
  </si>
  <si>
    <t>31.642_34</t>
  </si>
  <si>
    <t>BOX_7_17</t>
  </si>
  <si>
    <t>8-7-17 DBO3.1 3UM 31M BOTTOM</t>
  </si>
  <si>
    <t>Aug 07 2017 17:09</t>
  </si>
  <si>
    <t>8_31.754</t>
  </si>
  <si>
    <t>AMBON_1_14</t>
  </si>
  <si>
    <t>8-7-2017 DBO3.7 5M</t>
  </si>
  <si>
    <t>Aug 06 2017 22:11</t>
  </si>
  <si>
    <t>2_14</t>
  </si>
  <si>
    <t>2_4.918</t>
  </si>
  <si>
    <t>0 to 5 cm sediment taken at DBO3.7</t>
  </si>
  <si>
    <t>AMBON_1_2</t>
  </si>
  <si>
    <t>8-7-2017 DBO3.7 7M</t>
  </si>
  <si>
    <t>Aug 06 2017 22:09</t>
  </si>
  <si>
    <t>2_12</t>
  </si>
  <si>
    <t>2_7.318</t>
  </si>
  <si>
    <t>AMBON_1_1</t>
  </si>
  <si>
    <t>8-7-2017 DBO3.7 10M</t>
  </si>
  <si>
    <t>Aug 06 2017 22:07</t>
  </si>
  <si>
    <t>2_10</t>
  </si>
  <si>
    <t>2_10.172</t>
  </si>
  <si>
    <t>AMBON_2_47</t>
  </si>
  <si>
    <t>8-7-17 DBO3.7 17M</t>
  </si>
  <si>
    <t>Aug 06 2017 22:06</t>
  </si>
  <si>
    <t>2_9</t>
  </si>
  <si>
    <t>2_16.833</t>
  </si>
  <si>
    <t>AMBON_2_48</t>
  </si>
  <si>
    <t>8-7-17 DBO3.7 20M</t>
  </si>
  <si>
    <t>Aug 06 2017 22:04</t>
  </si>
  <si>
    <t>2_7</t>
  </si>
  <si>
    <t>2_19.963</t>
  </si>
  <si>
    <t>AMBON_2_49</t>
  </si>
  <si>
    <t>8-7-17 DBO3.7 30M</t>
  </si>
  <si>
    <t>Aug 06 2017 22:02</t>
  </si>
  <si>
    <t>2_5</t>
  </si>
  <si>
    <t>2_30.305</t>
  </si>
  <si>
    <t>AMBON_1_13</t>
  </si>
  <si>
    <t>8-7-2017 DBO3.7 40M</t>
  </si>
  <si>
    <t>Aug 06 2017 22:00</t>
  </si>
  <si>
    <t>2_3</t>
  </si>
  <si>
    <t>2_41.886</t>
  </si>
  <si>
    <t>AMBON_1_11</t>
  </si>
  <si>
    <t>8-7-2017 DBO3.7 47M BOTTOM</t>
  </si>
  <si>
    <t>Aug 06 2017 21:58</t>
  </si>
  <si>
    <t>2_1</t>
  </si>
  <si>
    <t>2_46.631</t>
  </si>
  <si>
    <t>BOX_10_78</t>
  </si>
  <si>
    <t>8-29-17 DBO3.8 B14 SURFACE</t>
  </si>
  <si>
    <t>Aug 29 2017 15:49</t>
  </si>
  <si>
    <t>surface</t>
  </si>
  <si>
    <t>1_13</t>
  </si>
  <si>
    <t>8_29_17_DBO3_8_Surface_B14_0.2</t>
  </si>
  <si>
    <t>3.769_50.7</t>
  </si>
  <si>
    <t>AMBON_1_12</t>
  </si>
  <si>
    <t>8-6-2017 DBO3.8 5M</t>
  </si>
  <si>
    <t>Aug 06 2017 17:35</t>
  </si>
  <si>
    <t>1_11</t>
  </si>
  <si>
    <t>1_5.459</t>
  </si>
  <si>
    <t>BOX_9_9</t>
  </si>
  <si>
    <t>8-6-17 DBO3.8 5M 3UM</t>
  </si>
  <si>
    <t>BOX_5_80</t>
  </si>
  <si>
    <t>8-6-17 DBO3.9 20UM 5M</t>
  </si>
  <si>
    <t>0 to 5 cm sediment taken at DBO3.8</t>
  </si>
  <si>
    <t>AMBON_1_10</t>
  </si>
  <si>
    <t>8-6-2017 DBO3.8 10M</t>
  </si>
  <si>
    <t>Aug 06 2017 17:34</t>
  </si>
  <si>
    <t>1_9</t>
  </si>
  <si>
    <t>1_10.559</t>
  </si>
  <si>
    <t>BOX_7_96</t>
  </si>
  <si>
    <t>8-6-17 DBO3.8 3UM 10M</t>
  </si>
  <si>
    <t>BOX_8_43</t>
  </si>
  <si>
    <t>8-6-17 DBO3.8 20UM 10M</t>
  </si>
  <si>
    <t>BOX_10_79</t>
  </si>
  <si>
    <t>8-29-17 DBO3.8 B12 10M</t>
  </si>
  <si>
    <t>8_29_17_DBO3_8_10m_B12_0.2</t>
  </si>
  <si>
    <t>10.911_50.7</t>
  </si>
  <si>
    <t>BOX_10_80</t>
  </si>
  <si>
    <t>8-29-17 DBO3.8 B10 20M</t>
  </si>
  <si>
    <t>8_29_17_DBO3_8_20m_B10_0.2</t>
  </si>
  <si>
    <t>20.27_50.7</t>
  </si>
  <si>
    <t>AMBON_1_9</t>
  </si>
  <si>
    <t>8-6-2017 DBO3.8 20M</t>
  </si>
  <si>
    <t>Aug 06 2017 17:32</t>
  </si>
  <si>
    <t>1_7</t>
  </si>
  <si>
    <t>1_20.654</t>
  </si>
  <si>
    <t>BOX_9_8</t>
  </si>
  <si>
    <t>8-6-17 DBO3.8 20M 3UM</t>
  </si>
  <si>
    <t>BOX_9_7</t>
  </si>
  <si>
    <t>8-6-17 DBO3.8 20M 20UM</t>
  </si>
  <si>
    <t>AMBON_1_8</t>
  </si>
  <si>
    <t>8-6-2017 DBO3.8 30M</t>
  </si>
  <si>
    <t>Aug 06 2017 17:31</t>
  </si>
  <si>
    <t>1_5</t>
  </si>
  <si>
    <t>1_29.254</t>
  </si>
  <si>
    <t>BOX_9_5</t>
  </si>
  <si>
    <t>8-6-17 DBO3.8 30M 3UM</t>
  </si>
  <si>
    <t>BOX_7_97</t>
  </si>
  <si>
    <t>8-6-17 DBO3.8 20UM 30M</t>
  </si>
  <si>
    <t>BOX_10_81</t>
  </si>
  <si>
    <t>8-29-17 DBO3.8 B8 30M</t>
  </si>
  <si>
    <t>8_29_17_DBO3_8_30m_B8_0.2</t>
  </si>
  <si>
    <t>29.806_50.7</t>
  </si>
  <si>
    <t>AMBON_1_7</t>
  </si>
  <si>
    <t>8-6-2017 DBO3.8 40M</t>
  </si>
  <si>
    <t>Aug 06 2017 17:29</t>
  </si>
  <si>
    <t>1_3</t>
  </si>
  <si>
    <t>1_40.288</t>
  </si>
  <si>
    <t>BOX_7_91</t>
  </si>
  <si>
    <t>8-6-17 DBO3.8 3UM 40M</t>
  </si>
  <si>
    <t>BOX_9_4</t>
  </si>
  <si>
    <t>8-6-17 DBO3.8 40M 20UM</t>
  </si>
  <si>
    <t>BOX_10_82</t>
  </si>
  <si>
    <t>8-29-17 DBO3.8 B6 40M</t>
  </si>
  <si>
    <t>8_29_17_DBO3_8_40m_B6_0.2</t>
  </si>
  <si>
    <t>40.693_50.7</t>
  </si>
  <si>
    <t>BOX_10_83</t>
  </si>
  <si>
    <t>8-29-17 DBO3.8 B4 BOTTOM</t>
  </si>
  <si>
    <t>8_29_17_DBO3_8_Bottom_B4_0.2</t>
  </si>
  <si>
    <t>48.672_50.7</t>
  </si>
  <si>
    <t>AMBON_1_6</t>
  </si>
  <si>
    <t>8-6-2017 DBO3.8 49M BOTTOM</t>
  </si>
  <si>
    <t>Aug 06 2017 17:27</t>
  </si>
  <si>
    <t>1_1</t>
  </si>
  <si>
    <t>1_49.273</t>
  </si>
  <si>
    <t>BOX_7_92</t>
  </si>
  <si>
    <t>8-6-17 DBO3.8 3UM 49M BOTTOM</t>
  </si>
  <si>
    <t>BOX_9_6</t>
  </si>
  <si>
    <t>8-6-17 DBO3.8 BOTTOM 20UM</t>
  </si>
  <si>
    <t>BOX_10_23</t>
  </si>
  <si>
    <t>8-30-17 DBO4.6 B12 5M</t>
  </si>
  <si>
    <t>DBO4.6</t>
  </si>
  <si>
    <t>Aug 31 2017 04:43</t>
  </si>
  <si>
    <t>10_11</t>
  </si>
  <si>
    <t>8_30_17_DBO4_6_5m_B12_0.2</t>
  </si>
  <si>
    <t>6.198_41.2</t>
  </si>
  <si>
    <t>BOX_10_46</t>
  </si>
  <si>
    <t>8-30-17 DBO4.6 B10 10M</t>
  </si>
  <si>
    <t>10_9</t>
  </si>
  <si>
    <t>8_30_17_DBO4_6_10m_B10_0.2</t>
  </si>
  <si>
    <t>10.472_41.2</t>
  </si>
  <si>
    <t>BOX_10_24</t>
  </si>
  <si>
    <t>8-30-17 DBO4.6 B6 30M</t>
  </si>
  <si>
    <t>10_5</t>
  </si>
  <si>
    <t>8_30_17_DBO4_6_30m_B6_0.2</t>
  </si>
  <si>
    <t>30.505_41.2</t>
  </si>
  <si>
    <t>BOX_10_25</t>
  </si>
  <si>
    <t>8-30-17 DBO4.6 B4 BOTTOM</t>
  </si>
  <si>
    <t>10_3</t>
  </si>
  <si>
    <t>8_30_17_DBO4_6_Bottom_B4_0.2</t>
  </si>
  <si>
    <t>38.192_41.2</t>
  </si>
  <si>
    <t>BOX_5_62</t>
  </si>
  <si>
    <t>9-1-17 DBO5.6 B18 4M</t>
  </si>
  <si>
    <t>DBO5.6</t>
  </si>
  <si>
    <t>Sep 01 2017 11:03</t>
  </si>
  <si>
    <t>25_17</t>
  </si>
  <si>
    <t>9_1_17_DBO5_6_4m_B18_0.2</t>
  </si>
  <si>
    <t>3.518_109.3</t>
  </si>
  <si>
    <t>BOX_5_21</t>
  </si>
  <si>
    <t>9-1-17 DBO5.6 B14 20M</t>
  </si>
  <si>
    <t>25_13</t>
  </si>
  <si>
    <t>9_1_17_DBO5_6_20m_B14_0.2</t>
  </si>
  <si>
    <t>21.032_109.3</t>
  </si>
  <si>
    <t>BOX_9_85</t>
  </si>
  <si>
    <t>9-1-17 DBO5.6 30M</t>
  </si>
  <si>
    <t>25_11</t>
  </si>
  <si>
    <t>9_1_17_DBO5_6_30m_B12_0.2</t>
  </si>
  <si>
    <t>30.623_109.3</t>
  </si>
  <si>
    <t>BOX_10_31</t>
  </si>
  <si>
    <t>9-1-17 DBO5.6 B10 40M</t>
  </si>
  <si>
    <t>25_9</t>
  </si>
  <si>
    <t>9_1_17_DBO5_6_40m_B10_0.2</t>
  </si>
  <si>
    <t>41.435_109.3</t>
  </si>
  <si>
    <t>BOX_5_63</t>
  </si>
  <si>
    <t>9-1-17 DBO5.6 76M</t>
  </si>
  <si>
    <t>9_1_17_DBO5_6_76m_B6_0.2</t>
  </si>
  <si>
    <t>76.251_109.3</t>
  </si>
  <si>
    <t>BOX_10_32</t>
  </si>
  <si>
    <t>9-1-17 DBO5.6 B4 104M</t>
  </si>
  <si>
    <t>9_1_17_DBO5_6_105m_B4_0.2</t>
  </si>
  <si>
    <t>104.878_109.3</t>
  </si>
  <si>
    <t>BOX_3_65</t>
  </si>
  <si>
    <t>8-19-17 ML1.13 5M</t>
  </si>
  <si>
    <t>ML1.13</t>
  </si>
  <si>
    <t>Aug 19 2017 04:12</t>
  </si>
  <si>
    <t>75_13</t>
  </si>
  <si>
    <t>75_4.784</t>
  </si>
  <si>
    <t>T = 6.5 degrees C</t>
  </si>
  <si>
    <t>BOX_8_32</t>
  </si>
  <si>
    <t>8-19-17 ML1.13 3UM 5M</t>
  </si>
  <si>
    <t>BOX_8_25</t>
  </si>
  <si>
    <t>8-19-17 ML1.13 20UM 5M</t>
  </si>
  <si>
    <t>5 m sample had a failed 3 micron filter fail, so it is on 0.2 sterivex</t>
  </si>
  <si>
    <t>BOX_7_72</t>
  </si>
  <si>
    <t>8-19-17 ML1.13 3UM 10M</t>
  </si>
  <si>
    <t>Aug 19 2017 04:11</t>
  </si>
  <si>
    <t>75_11</t>
  </si>
  <si>
    <t>75_10.119</t>
  </si>
  <si>
    <t>BOX_8_7</t>
  </si>
  <si>
    <t>8-19-17 ML1.13 20UM 10M</t>
  </si>
  <si>
    <t>BOX_7_14</t>
  </si>
  <si>
    <t>8-19-17 ML1.13 3UM 20M</t>
  </si>
  <si>
    <t>Aug 19 2017 04:09</t>
  </si>
  <si>
    <t>75_9</t>
  </si>
  <si>
    <t>75_20.388</t>
  </si>
  <si>
    <t>BOX_7_73</t>
  </si>
  <si>
    <t>8-19-17 ML1.13 20UM 20M</t>
  </si>
  <si>
    <t>BOX_9_88</t>
  </si>
  <si>
    <t>8-19-17 ML1.13 28M</t>
  </si>
  <si>
    <t>Aug 19 2017 04:08</t>
  </si>
  <si>
    <t>75_5</t>
  </si>
  <si>
    <t>75_7</t>
  </si>
  <si>
    <t>75_26.934</t>
  </si>
  <si>
    <t>BOX_9_89</t>
  </si>
  <si>
    <t>BOX_7_15</t>
  </si>
  <si>
    <t>8-19-17 ML1.13 3UM 28M</t>
  </si>
  <si>
    <t>BOX_7_20</t>
  </si>
  <si>
    <t>8-19-17 ML1.13 20UM 28M</t>
  </si>
  <si>
    <t>BOX_9_90</t>
  </si>
  <si>
    <t>8-19-17 ML1.13 30M</t>
  </si>
  <si>
    <t>Aug 19 2017 04:07</t>
  </si>
  <si>
    <t>75_29.822</t>
  </si>
  <si>
    <t>BOX_9_91</t>
  </si>
  <si>
    <t>BOX_5_86</t>
  </si>
  <si>
    <t>8-19-17 ML1.13 3UM 30M</t>
  </si>
  <si>
    <t>BOX_7_74</t>
  </si>
  <si>
    <t>8-19-17 ML1.13 20UM 30M</t>
  </si>
  <si>
    <t>BOX_3_66</t>
  </si>
  <si>
    <t>8-19-17 ML1.13 40M</t>
  </si>
  <si>
    <t>Aug 19 2017 04:06</t>
  </si>
  <si>
    <t>75_40.296</t>
  </si>
  <si>
    <t>BOX_8_13</t>
  </si>
  <si>
    <t>8-19-17 ML1.13 3UM 40M</t>
  </si>
  <si>
    <t>BOX_8_40</t>
  </si>
  <si>
    <t>8-19-17 ML1.13 20UM 40M</t>
  </si>
  <si>
    <t>BOX_9_92</t>
  </si>
  <si>
    <t>8-19-17 ML1.13 44M</t>
  </si>
  <si>
    <t>Aug 19 2017 04:04</t>
  </si>
  <si>
    <t>75_46.078</t>
  </si>
  <si>
    <t>BOX_5_99</t>
  </si>
  <si>
    <t>8-19-17 ML1.13 3UM 44M</t>
  </si>
  <si>
    <t>BOX_8_21</t>
  </si>
  <si>
    <t>8-19-17 ML1.13 20UM 46M</t>
  </si>
  <si>
    <t>BOX_8_29</t>
  </si>
  <si>
    <t>8-18-17 ML1.8 3UM 5M</t>
  </si>
  <si>
    <t>ML1.8</t>
  </si>
  <si>
    <t>Aug 18 2017 11:50</t>
  </si>
  <si>
    <t>70_9</t>
  </si>
  <si>
    <t>70_4.722</t>
  </si>
  <si>
    <t>BOX_7_21</t>
  </si>
  <si>
    <t>8-18-17 ML1.8 20UM 5M SURFACE</t>
  </si>
  <si>
    <t>BOX_3_40</t>
  </si>
  <si>
    <t>8-18-17 ML1.8 20M</t>
  </si>
  <si>
    <t>Aug 18 2017 11:48</t>
  </si>
  <si>
    <t>70_5</t>
  </si>
  <si>
    <t>70_19.644</t>
  </si>
  <si>
    <t>BOX_7_22</t>
  </si>
  <si>
    <t>8-18-17 ML1.8 3UM 20M</t>
  </si>
  <si>
    <t>BOX_7_11</t>
  </si>
  <si>
    <t>8-18-17 ML1.8 20UM 20M</t>
  </si>
  <si>
    <t>BOX_2_78</t>
  </si>
  <si>
    <t>8-18-17 ML1.8 29M CHL MAX</t>
  </si>
  <si>
    <t>Aug 18 2017 11:46</t>
  </si>
  <si>
    <t>70_3</t>
  </si>
  <si>
    <t>70_28.819</t>
  </si>
  <si>
    <t>BOX_7_23</t>
  </si>
  <si>
    <t>8-18-17 ML1.8 3UM 29M CHLMAX</t>
  </si>
  <si>
    <t>BOX_7_12</t>
  </si>
  <si>
    <t>8-18-17 ML1.8 20UM 29M CHLMAX</t>
  </si>
  <si>
    <t>BOX_3_20</t>
  </si>
  <si>
    <t>8-18-17 ML1.8 38M BOTTOM</t>
  </si>
  <si>
    <t>Aug 18 2017 11:45</t>
  </si>
  <si>
    <t>70_38.698</t>
  </si>
  <si>
    <t>BOX_7_13</t>
  </si>
  <si>
    <t>8-18-17 ML1.8 3UM BOTTOM 38M</t>
  </si>
  <si>
    <t>BOX_5_84</t>
  </si>
  <si>
    <t>8-18-17 ML1.8 20UM 38M BOTTOM</t>
  </si>
  <si>
    <t>BOX_3_14</t>
  </si>
  <si>
    <t>8-16-17 ML3.12 5M</t>
  </si>
  <si>
    <t>ML3.12</t>
  </si>
  <si>
    <t>Aug 15 2017 19:10</t>
  </si>
  <si>
    <t>45_11</t>
  </si>
  <si>
    <t>45_12</t>
  </si>
  <si>
    <t>45_4.581</t>
  </si>
  <si>
    <t>BOX_7_77</t>
  </si>
  <si>
    <t>8-16-17 ML3.12 3UM 5M</t>
  </si>
  <si>
    <t>BOX_8_20</t>
  </si>
  <si>
    <t>8-16-17 ML3.12 20UM 5M</t>
  </si>
  <si>
    <t>BOX_3_15</t>
  </si>
  <si>
    <t>8-16-17 ML3.12 10M</t>
  </si>
  <si>
    <t>Aug 15 2017 19:09</t>
  </si>
  <si>
    <t>45_9</t>
  </si>
  <si>
    <t>45_10</t>
  </si>
  <si>
    <t>45_9.735</t>
  </si>
  <si>
    <t>BOX_6_94</t>
  </si>
  <si>
    <t>8-16-17 ML3.12 3UM 10M</t>
  </si>
  <si>
    <t>BOX_7_26</t>
  </si>
  <si>
    <t>8-16-17 ML3.12 20UM 10M</t>
  </si>
  <si>
    <t>BOX_3_16</t>
  </si>
  <si>
    <t>8-16-17 ML3.12 20M</t>
  </si>
  <si>
    <t>Aug 15 2017 19:08</t>
  </si>
  <si>
    <t>45_7</t>
  </si>
  <si>
    <t>45_19.497</t>
  </si>
  <si>
    <t>BOX_8_8</t>
  </si>
  <si>
    <t>8-16-17 ML3.12 3UM 20M</t>
  </si>
  <si>
    <t>BOX_8_9</t>
  </si>
  <si>
    <t>8-16-17 ML3.12 20UM 20M</t>
  </si>
  <si>
    <t>BOX_3_17</t>
  </si>
  <si>
    <t>8-16-17 ML3.12 30M</t>
  </si>
  <si>
    <t>Aug 15 2017 19:06</t>
  </si>
  <si>
    <t>45_5</t>
  </si>
  <si>
    <t>45_29.657</t>
  </si>
  <si>
    <t>BOX_7_75</t>
  </si>
  <si>
    <t>8-16-17 ML3.12 3UM 30M</t>
  </si>
  <si>
    <t>BOX_7_76</t>
  </si>
  <si>
    <t>8-16-17 ML3.12 20UM 30M</t>
  </si>
  <si>
    <t>BOX_9_93</t>
  </si>
  <si>
    <t>8-16-17 ML3.12 32M CHL MAX</t>
  </si>
  <si>
    <t>Aug 15 2017 19:05</t>
  </si>
  <si>
    <t>45_1</t>
  </si>
  <si>
    <t>45_3</t>
  </si>
  <si>
    <t>45_33.324</t>
  </si>
  <si>
    <t>BOX_7_27</t>
  </si>
  <si>
    <t>8-16-17 ML3.12 3UM CHLMAX</t>
  </si>
  <si>
    <t>BOX_5_85</t>
  </si>
  <si>
    <t>8-16-17 ML3.12 20UM CHL MAX</t>
  </si>
  <si>
    <t>BOX_9_94</t>
  </si>
  <si>
    <t>8-16-17 ML3.12 36M BOTTOM</t>
  </si>
  <si>
    <t>Aug 15 2017 19:03</t>
  </si>
  <si>
    <t>45_36.193</t>
  </si>
  <si>
    <t>BOX_5_94</t>
  </si>
  <si>
    <t>8-16-17 ML3.12 3UM BOTTOM</t>
  </si>
  <si>
    <t>BOX_7_78</t>
  </si>
  <si>
    <t>8-16-17 ML3.12 20UM BOTTOM</t>
  </si>
  <si>
    <t>BOX_3_30</t>
  </si>
  <si>
    <t>8-17-17 ML3.4 5M</t>
  </si>
  <si>
    <t>ML3.4</t>
  </si>
  <si>
    <t>Aug 16 2017 22:00</t>
  </si>
  <si>
    <t>59_9</t>
  </si>
  <si>
    <t>59_4.886</t>
  </si>
  <si>
    <t>BOX_7_24</t>
  </si>
  <si>
    <t>8-17-17 ML3.4 3UM 5M</t>
  </si>
  <si>
    <t>BOX_8_23</t>
  </si>
  <si>
    <t>8-17-17 ML3.4 20UM 5M</t>
  </si>
  <si>
    <t>BOX_3_31</t>
  </si>
  <si>
    <t>8-17-17 ML3.4 10M</t>
  </si>
  <si>
    <t>Aug 16 2017 21:58</t>
  </si>
  <si>
    <t>59_7</t>
  </si>
  <si>
    <t>59_8.981</t>
  </si>
  <si>
    <t>BOX_7_25</t>
  </si>
  <si>
    <t>8-17-17 ML3.4 3UM 10M</t>
  </si>
  <si>
    <t>BOX_8_34</t>
  </si>
  <si>
    <t>8-17-17 ML3.4 20UM 10M</t>
  </si>
  <si>
    <t>BOX_3_32</t>
  </si>
  <si>
    <t>8-17-17 ML3.4 20M</t>
  </si>
  <si>
    <t>Aug 16 2017 21:57</t>
  </si>
  <si>
    <t>59_5</t>
  </si>
  <si>
    <t>59_19.573</t>
  </si>
  <si>
    <t>BOX_8_11</t>
  </si>
  <si>
    <t>8-17-17 ML3.4 3UM 20M</t>
  </si>
  <si>
    <t>BOX_5_96</t>
  </si>
  <si>
    <t>8-17-17 ML3.4 20UM 20M</t>
  </si>
  <si>
    <t>BOX_3_36</t>
  </si>
  <si>
    <t>8-17-17 ML3.4 30M</t>
  </si>
  <si>
    <t>Aug 16 2017 21:56</t>
  </si>
  <si>
    <t>59_3</t>
  </si>
  <si>
    <t>59_30.295</t>
  </si>
  <si>
    <t>BOX_7_28</t>
  </si>
  <si>
    <t>8-17-17 ML3.4 3UM 30M</t>
  </si>
  <si>
    <t>BOX_7_79</t>
  </si>
  <si>
    <t>8-17-17 ML3.4 20UM 30M</t>
  </si>
  <si>
    <t>BOX_3_33</t>
  </si>
  <si>
    <t>8-17-17 ML3.4 43M</t>
  </si>
  <si>
    <t>Aug 16 2017 21:54</t>
  </si>
  <si>
    <t>59_1</t>
  </si>
  <si>
    <t>59_42.696</t>
  </si>
  <si>
    <t>well mixed across all depths</t>
  </si>
  <si>
    <t>BOX_6_92</t>
  </si>
  <si>
    <t>8-17-17 ML3.4 3UM 43M</t>
  </si>
  <si>
    <t>BOX_8_10</t>
  </si>
  <si>
    <t>8-17-17 ML3.4 20UM 43M</t>
  </si>
  <si>
    <t>AMBON_1_85</t>
  </si>
  <si>
    <t>8-13-17 ML4.11 5M SURFACE</t>
  </si>
  <si>
    <t>ML4.11</t>
  </si>
  <si>
    <t>Aug 13 2017 14:45</t>
  </si>
  <si>
    <t>35_9</t>
  </si>
  <si>
    <t>35_4.608</t>
  </si>
  <si>
    <t>no RNAlater…oops</t>
  </si>
  <si>
    <t>BOX_7_29</t>
  </si>
  <si>
    <t>8-13-17 ML4.11 3UM 5M</t>
  </si>
  <si>
    <t>BOX_7_30</t>
  </si>
  <si>
    <t>8-13-17 ML4.11 20UM 5M</t>
  </si>
  <si>
    <t>AMBON_2_40</t>
  </si>
  <si>
    <t>8-13-17 ML4.11 10M</t>
  </si>
  <si>
    <t>Aug 13 2017 14:44</t>
  </si>
  <si>
    <t>35_7</t>
  </si>
  <si>
    <t>35_11.619</t>
  </si>
  <si>
    <t>BOX_6_93</t>
  </si>
  <si>
    <t>8-13-17 ML4.11 3UM 10M</t>
  </si>
  <si>
    <t>BOX_8_27</t>
  </si>
  <si>
    <t>8-13-17 ML4.11 20UM 10M</t>
  </si>
  <si>
    <t>AMBON_2_41</t>
  </si>
  <si>
    <t>8-13-17 ML4.11 20M</t>
  </si>
  <si>
    <t>Aug 13 2017 14:42</t>
  </si>
  <si>
    <t>35_5</t>
  </si>
  <si>
    <t>35_20.87</t>
  </si>
  <si>
    <t>BOX_8_37</t>
  </si>
  <si>
    <t>8-13-17 ML4.11 3UM 20M</t>
  </si>
  <si>
    <t>BOX_7_31</t>
  </si>
  <si>
    <t>8-13-17 ML4.11 20UM 20M</t>
  </si>
  <si>
    <t>AMBON_2_42</t>
  </si>
  <si>
    <t>8-13-17 ML4.11 30M CHLMAX</t>
  </si>
  <si>
    <t>Aug 13 2017 14:41</t>
  </si>
  <si>
    <t>35_3</t>
  </si>
  <si>
    <t>35_29.308</t>
  </si>
  <si>
    <t>thermocline at 30 m</t>
  </si>
  <si>
    <t>BOX_8_12</t>
  </si>
  <si>
    <t>8-13-17 ML4.11 3UM CHLMAX 30M</t>
  </si>
  <si>
    <t>BOX_5_81</t>
  </si>
  <si>
    <t>8-13-17 ML4.11 20UM 30M CHLMAX</t>
  </si>
  <si>
    <t>AMBON_2_43</t>
  </si>
  <si>
    <t>8-13-17 ML4.11 35M BOTTOM</t>
  </si>
  <si>
    <t>Aug 13 2017 14:39</t>
  </si>
  <si>
    <t>35_1</t>
  </si>
  <si>
    <t>35_34.516</t>
  </si>
  <si>
    <t>0 to 5 cm sediment from ML4.11</t>
  </si>
  <si>
    <t>BOX_8_30</t>
  </si>
  <si>
    <t>8-13-17 ML4.11 3UM 35M BOTTOM</t>
  </si>
  <si>
    <t>BOX_8_24</t>
  </si>
  <si>
    <t>8-13-17 ML4.11 20UM 35M BOTTOM</t>
  </si>
  <si>
    <t>AMBON_2_44</t>
  </si>
  <si>
    <t>8-14-17 ML4.12 5M</t>
  </si>
  <si>
    <t>ML4.12</t>
  </si>
  <si>
    <t>Aug 13 2017 18:50</t>
  </si>
  <si>
    <t>36_11</t>
  </si>
  <si>
    <t>36_5.198</t>
  </si>
  <si>
    <t>BOX_8_14</t>
  </si>
  <si>
    <t>8-14-17 ML4.12 3UM 5M</t>
  </si>
  <si>
    <t>BOX_7_80</t>
  </si>
  <si>
    <t>8-14-17 ML4.12 20UM 5M</t>
  </si>
  <si>
    <t>AMBON_2_45</t>
  </si>
  <si>
    <t>8-14-17 ML4.12 20M</t>
  </si>
  <si>
    <t>Aug 13 2017 18:47</t>
  </si>
  <si>
    <t>36_7</t>
  </si>
  <si>
    <t>36_20.198</t>
  </si>
  <si>
    <t>BOX_5_97</t>
  </si>
  <si>
    <t>8-14-17 ML4.12 3UM 20M</t>
  </si>
  <si>
    <t>BOX_7_32</t>
  </si>
  <si>
    <t>8-14-17 ML4.12 20UM 20M</t>
  </si>
  <si>
    <t>AMBON_2_46</t>
  </si>
  <si>
    <t>8-14-17 ML4.12 32M CHLMAX</t>
  </si>
  <si>
    <t>Aug 13 2017 18:44</t>
  </si>
  <si>
    <t>36_5</t>
  </si>
  <si>
    <t>36_32.003</t>
  </si>
  <si>
    <t>BOX_7_81</t>
  </si>
  <si>
    <t>8-14-17 ML4.12 3UM 32M</t>
  </si>
  <si>
    <t>BOX_3_1</t>
  </si>
  <si>
    <t>8-13-17 ML4.12 35M BOTTOM</t>
  </si>
  <si>
    <t>Aug 13 2017 18:43</t>
  </si>
  <si>
    <t>36_2</t>
  </si>
  <si>
    <t>36_34.636</t>
  </si>
  <si>
    <t>BOX_8_35</t>
  </si>
  <si>
    <t>8-14-17 ML4.12 3UM 35M</t>
  </si>
  <si>
    <t>BOX_7_9</t>
  </si>
  <si>
    <t>8-14-17 ML4.12 20UM 35M</t>
  </si>
  <si>
    <t>0 to 5 cm sediment from ML4.12</t>
  </si>
  <si>
    <t>BOX_2_82</t>
  </si>
  <si>
    <t>8-20-17 ML5.1 5M SURFACE</t>
  </si>
  <si>
    <t>ML5.1</t>
  </si>
  <si>
    <t>Aug 20 2017 09:44</t>
  </si>
  <si>
    <t>82_9</t>
  </si>
  <si>
    <t>82_4.112</t>
  </si>
  <si>
    <t>BOX_5_76</t>
  </si>
  <si>
    <t>8-20-17 ML5.1 3UM SURFACE</t>
  </si>
  <si>
    <t>BOX_8_38</t>
  </si>
  <si>
    <t>8-20-17 ML5.1 20UM SURF</t>
  </si>
  <si>
    <t>BOX_2_83</t>
  </si>
  <si>
    <t>8-20-17 ML5.1 10M</t>
  </si>
  <si>
    <t>Aug 20 2017 09:43</t>
  </si>
  <si>
    <t>82_7</t>
  </si>
  <si>
    <t>82_10.862</t>
  </si>
  <si>
    <t>BOX_5_95</t>
  </si>
  <si>
    <t>8-20-17 ML5.1 3UM 10M</t>
  </si>
  <si>
    <t>BOX_8_15</t>
  </si>
  <si>
    <t>8-20-17 ML5.1 20UM 10M</t>
  </si>
  <si>
    <t>BOX_2_84</t>
  </si>
  <si>
    <t>8-20-17 ML5.1 CHL MAX</t>
  </si>
  <si>
    <t>Aug 20 2017 09:42</t>
  </si>
  <si>
    <t>82_5</t>
  </si>
  <si>
    <t>82_20.143</t>
  </si>
  <si>
    <t>BOX_7_82</t>
  </si>
  <si>
    <t>8-20-17 ML5.1 3UM 20M CHLMAX</t>
  </si>
  <si>
    <t>BOX_5_92</t>
  </si>
  <si>
    <t>8-20-17 ML5.1 20UM 20M</t>
  </si>
  <si>
    <t>BOX_2_85</t>
  </si>
  <si>
    <t>8-20-17 ML5.1 30M</t>
  </si>
  <si>
    <t>Aug 20 2017 09:40</t>
  </si>
  <si>
    <t>82_3</t>
  </si>
  <si>
    <t>82_30.805</t>
  </si>
  <si>
    <t>BOX_7_34</t>
  </si>
  <si>
    <t>8-20-17 ML5.1 3UM 30M</t>
  </si>
  <si>
    <t>BOX_7_33</t>
  </si>
  <si>
    <t>8-20-17 ML5.1 20UM 30M</t>
  </si>
  <si>
    <t>BOX_2_86</t>
  </si>
  <si>
    <t>8-20-17 ML5.1 40M BOTTOM</t>
  </si>
  <si>
    <t>Aug 20 2017 09:38</t>
  </si>
  <si>
    <t>82_39.642</t>
  </si>
  <si>
    <t>BOX_5_83</t>
  </si>
  <si>
    <t>8-20-17 ML5.1 3UM 40M BOTTOM</t>
  </si>
  <si>
    <t>BOX_8_42</t>
  </si>
  <si>
    <t>8-20-17 ML5.1 20UM 40M BOTTOM</t>
  </si>
  <si>
    <t>AMBON_1_60</t>
  </si>
  <si>
    <t>8-9-2017 ML6.1 5M SURFACE</t>
  </si>
  <si>
    <t>ML6.1</t>
  </si>
  <si>
    <t>Aug 09 2017 09:02</t>
  </si>
  <si>
    <t>15_9</t>
  </si>
  <si>
    <t>15_5.062</t>
  </si>
  <si>
    <t>BOX_7_35</t>
  </si>
  <si>
    <t>8-9-17 ML6.1 3UM SURFACE</t>
  </si>
  <si>
    <t>BOX_8_26</t>
  </si>
  <si>
    <t>8-9-17 ML6.1 20UM SURF</t>
  </si>
  <si>
    <t>BOX_7_3</t>
  </si>
  <si>
    <t>8-9-17 ML6.1 3UM 22M CHLMAX</t>
  </si>
  <si>
    <t>Aug 09 2017 08:58</t>
  </si>
  <si>
    <t>15_5</t>
  </si>
  <si>
    <t>15_4</t>
  </si>
  <si>
    <t>15_21.517</t>
  </si>
  <si>
    <t>BOX_7_4</t>
  </si>
  <si>
    <t>8-9-17 ML6.1 20UM 22M CHLMAX</t>
  </si>
  <si>
    <t>AMBON_1_63</t>
  </si>
  <si>
    <t>8-9-2017 ML6.1 28M BOTTOM</t>
  </si>
  <si>
    <t>Aug 09 2017 08:56</t>
  </si>
  <si>
    <t>15_1</t>
  </si>
  <si>
    <t>15_28.458</t>
  </si>
  <si>
    <t>0 to 5 cm sediment from ML6.1</t>
  </si>
  <si>
    <t>BOX_7_36</t>
  </si>
  <si>
    <t>8-9-17 ML6.1 3UM 30M</t>
  </si>
  <si>
    <t>BOX_7_2</t>
  </si>
  <si>
    <t>8-9-17 ML6.1 20UM 30M BOTTOM</t>
  </si>
  <si>
    <t>AMBON_2_13</t>
  </si>
  <si>
    <t>8-10-17 ML6.7 5M</t>
  </si>
  <si>
    <t>ML6.7</t>
  </si>
  <si>
    <t>Aug 10 2017 06:14</t>
  </si>
  <si>
    <t>21_9</t>
  </si>
  <si>
    <t>21_5.234</t>
  </si>
  <si>
    <t>BOX_7_6</t>
  </si>
  <si>
    <t>8-10-17 ML6.7 3UM 5M</t>
  </si>
  <si>
    <t>BOX_7_37</t>
  </si>
  <si>
    <t>8-10-17 ML6.7 20UM 5M</t>
  </si>
  <si>
    <t>AMBON_2_12</t>
  </si>
  <si>
    <t>8-10-17 ML6.7 10M</t>
  </si>
  <si>
    <t>Aug 10 2017 06:13</t>
  </si>
  <si>
    <t>21_7</t>
  </si>
  <si>
    <t>21_11.303</t>
  </si>
  <si>
    <t>BOX_8_22</t>
  </si>
  <si>
    <t>8-10-17 ML6.7 3UM 10M</t>
  </si>
  <si>
    <t>BOX_7_38</t>
  </si>
  <si>
    <t>8-10-17 ML6.7 20UM 10M</t>
  </si>
  <si>
    <t>AMBON_2_4</t>
  </si>
  <si>
    <t>8-10-17 ML6.7 20M</t>
  </si>
  <si>
    <t>Aug 10 2017 06:12</t>
  </si>
  <si>
    <t>pycnocline</t>
  </si>
  <si>
    <t>21_5</t>
  </si>
  <si>
    <t>21_21.395</t>
  </si>
  <si>
    <t>BOX_7_83</t>
  </si>
  <si>
    <t>8-10-17 ML6.7 3UM 20M</t>
  </si>
  <si>
    <t>BOX_7_84</t>
  </si>
  <si>
    <t>8-10-17 ML6.7 20UM 20M</t>
  </si>
  <si>
    <t>AMBON_2_6</t>
  </si>
  <si>
    <t>8-10-17 ML6.7 30M</t>
  </si>
  <si>
    <t>Aug 10 2017 06:11</t>
  </si>
  <si>
    <t>21_3</t>
  </si>
  <si>
    <t>21_4</t>
  </si>
  <si>
    <t>21_30.084</t>
  </si>
  <si>
    <t>BOX_7_39</t>
  </si>
  <si>
    <t>8-10-17 ML6.7 3UM 30M</t>
  </si>
  <si>
    <t>BOX_7_7</t>
  </si>
  <si>
    <t>8-10-17 ML6.7 20UM 30M</t>
  </si>
  <si>
    <t>AMBON_2_20</t>
  </si>
  <si>
    <t>8-10-17 ML6.7 42M</t>
  </si>
  <si>
    <t>Aug 10 2017 06:09</t>
  </si>
  <si>
    <t>21_1</t>
  </si>
  <si>
    <t>21_42.631</t>
  </si>
  <si>
    <t>BOX_7_8</t>
  </si>
  <si>
    <t>8-10-17 ML6.7 3UM 42M</t>
  </si>
  <si>
    <t>zooplankton collected from 150 micron vertical net tow</t>
  </si>
  <si>
    <t>BOX_5_98</t>
  </si>
  <si>
    <t>8-10-17 ML6.7 20UM 42M</t>
  </si>
  <si>
    <t>no chl max</t>
  </si>
  <si>
    <t>AMBON_1_86</t>
  </si>
  <si>
    <t>8-10-2017 ML6.9 4M SURFACE</t>
  </si>
  <si>
    <t>ML6.9</t>
  </si>
  <si>
    <t>Aug 10 2017 13:35</t>
  </si>
  <si>
    <t>23_14</t>
  </si>
  <si>
    <t>23_4.438</t>
  </si>
  <si>
    <t>BOX_7_5</t>
  </si>
  <si>
    <t>8-10-17 ML6.9 3UM SURFACE</t>
  </si>
  <si>
    <t>BOX_8_31</t>
  </si>
  <si>
    <t>8-10-17 ML6.9 20UM SURF</t>
  </si>
  <si>
    <t>AMBON_2_1</t>
  </si>
  <si>
    <t>8-10-17 ML6.9 12M</t>
  </si>
  <si>
    <t>Aug 10 2017 13:34</t>
  </si>
  <si>
    <t>23_11</t>
  </si>
  <si>
    <t>23_12.432</t>
  </si>
  <si>
    <t>BOX_7_85</t>
  </si>
  <si>
    <t>8-10-17 ML6.9 3UM 12M</t>
  </si>
  <si>
    <t>BOX_7_40</t>
  </si>
  <si>
    <t>8-10-17 ML6.9 20UM 12M</t>
  </si>
  <si>
    <t>AMBON_2_10</t>
  </si>
  <si>
    <t>8-10-17 ML6.9 22M</t>
  </si>
  <si>
    <t>Aug 10 2017 13:32</t>
  </si>
  <si>
    <t>23_9</t>
  </si>
  <si>
    <t>23_10</t>
  </si>
  <si>
    <t>23_22.113</t>
  </si>
  <si>
    <t>BOX_5_89</t>
  </si>
  <si>
    <t>8-10-17 ML6.9 3UM 22M</t>
  </si>
  <si>
    <t>AMBON_2_9</t>
  </si>
  <si>
    <t>8-10-17 ML6.9 30M</t>
  </si>
  <si>
    <t>Aug 10 2017 13:31</t>
  </si>
  <si>
    <t>thermocline</t>
  </si>
  <si>
    <t>23_7</t>
  </si>
  <si>
    <t>23_31.549</t>
  </si>
  <si>
    <t>BOX_8_19</t>
  </si>
  <si>
    <t>8-10-17 ML6.9 3UM 30M</t>
  </si>
  <si>
    <t>BOX_8_18</t>
  </si>
  <si>
    <t>8-10-17 ML6.9 20UM 30M</t>
  </si>
  <si>
    <t>AMBON_2_8</t>
  </si>
  <si>
    <t>8-10-17 ML6.9 35M</t>
  </si>
  <si>
    <t>Aug 10 2017 13:30</t>
  </si>
  <si>
    <t>23_5</t>
  </si>
  <si>
    <t>23_35.866</t>
  </si>
  <si>
    <t>BOX_8_17</t>
  </si>
  <si>
    <t>8-10-17 ML6.9 3UM 35M</t>
  </si>
  <si>
    <t>BOX_7_86</t>
  </si>
  <si>
    <t>8-10-17 ML6.9 20UM 35M</t>
  </si>
  <si>
    <t>AMBON_1_88</t>
  </si>
  <si>
    <t>8-10-2017 ML6.8 41M</t>
  </si>
  <si>
    <t>Aug 10 2017 13:29</t>
  </si>
  <si>
    <t>23_3</t>
  </si>
  <si>
    <t>23_41.769</t>
  </si>
  <si>
    <t>BOX_7_41</t>
  </si>
  <si>
    <t>8-10-17 ML6.9 3UM 41M</t>
  </si>
  <si>
    <t>BOX_8_28</t>
  </si>
  <si>
    <t>8-10-17 ML6.9 20UM 41M</t>
  </si>
  <si>
    <t>AMBON_2_5</t>
  </si>
  <si>
    <t>8-10-17 ML6.9 49M BOTTOM</t>
  </si>
  <si>
    <t>Aug 10 2017 13:28</t>
  </si>
  <si>
    <t>23_1</t>
  </si>
  <si>
    <t>23_2</t>
  </si>
  <si>
    <t>23_49.093</t>
  </si>
  <si>
    <t>BOX_8_16</t>
  </si>
  <si>
    <t>8-10-17 ML6.9 3UM 49M BOTTOM</t>
  </si>
  <si>
    <t>well mixed to 15 m</t>
  </si>
  <si>
    <t>BOX_7_87</t>
  </si>
  <si>
    <t>8-10-17 ML6.9 20UM 49M BOTTOM</t>
  </si>
  <si>
    <t>colder Arctic(?) water ~2 degrees C</t>
  </si>
  <si>
    <t>BOX_4_2</t>
  </si>
  <si>
    <t>9-6-17 NE1 C83 B24 0M</t>
  </si>
  <si>
    <t>Sep 06 2017 13:23</t>
  </si>
  <si>
    <t>9_6_17_NE_1_0m_B24_0.2</t>
  </si>
  <si>
    <t>2.966_3034.3</t>
  </si>
  <si>
    <t>83_24</t>
  </si>
  <si>
    <t>BOX_4_3</t>
  </si>
  <si>
    <t>9-6-17 NE1 C83 B21 30M</t>
  </si>
  <si>
    <t>9_6_17_NE_1_30m_B21_0.2</t>
  </si>
  <si>
    <t>29.807_3034.3</t>
  </si>
  <si>
    <t>83_21</t>
  </si>
  <si>
    <t>BOX_4_73</t>
  </si>
  <si>
    <t>9-6-17 NE1 C83 B20 50M</t>
  </si>
  <si>
    <t>9_6_17_NE_1_50m_B20_0.2</t>
  </si>
  <si>
    <t>49.687_3034.3</t>
  </si>
  <si>
    <t>83_20</t>
  </si>
  <si>
    <t>BOX_4_4</t>
  </si>
  <si>
    <t>9-6-17 NE1 C83 B18 75M</t>
  </si>
  <si>
    <t>9_6_17_NE_1_75m_B18_0.2</t>
  </si>
  <si>
    <t>74.688_3034.3</t>
  </si>
  <si>
    <t>?</t>
  </si>
  <si>
    <t>83_18</t>
  </si>
  <si>
    <t>BOX_4_5</t>
  </si>
  <si>
    <t>9-6-17 NE1 C83 B14 200M</t>
  </si>
  <si>
    <t>9_6_17_NE_1_200m_B14_0.2</t>
  </si>
  <si>
    <t>199.637_3034.3</t>
  </si>
  <si>
    <t>83_14</t>
  </si>
  <si>
    <t>BOX_4_6</t>
  </si>
  <si>
    <t>9-6-17 NE1 C83 B12 250M</t>
  </si>
  <si>
    <t>9_6_17_NE_1_250m_B12_0.2</t>
  </si>
  <si>
    <t>250.047_3034.3</t>
  </si>
  <si>
    <t>83_12</t>
  </si>
  <si>
    <t>BOX_4_74</t>
  </si>
  <si>
    <t>9-6-17 NE1 C83 B10 450M</t>
  </si>
  <si>
    <t>9_6_17_NE_1_450m_B10_0.2</t>
  </si>
  <si>
    <t>449.524_3034.3</t>
  </si>
  <si>
    <t>83_10</t>
  </si>
  <si>
    <t>BOX_4_75</t>
  </si>
  <si>
    <t>9-6-17 NE1 C83 B8 1000M</t>
  </si>
  <si>
    <t>9_6_17_NE_1_1000m_B8_0.2</t>
  </si>
  <si>
    <t>1000.17_3034.3</t>
  </si>
  <si>
    <t>83_8</t>
  </si>
  <si>
    <t>BOX_4_1</t>
  </si>
  <si>
    <t>9-6-17 NE1 C83 B6 2000M</t>
  </si>
  <si>
    <t>9_6_17_NE_1_2000m_B6_0.2</t>
  </si>
  <si>
    <t>1999.83_3034.3</t>
  </si>
  <si>
    <t>83_6</t>
  </si>
  <si>
    <t>BOX_4_7</t>
  </si>
  <si>
    <t>9-6-17 NE1 C83 B2 3025M</t>
  </si>
  <si>
    <t>9_6_17_NE_1_3025m_B2_0.2</t>
  </si>
  <si>
    <t>3025.331_3034.3</t>
  </si>
  <si>
    <t>83_2</t>
  </si>
  <si>
    <t>BOX_4_70</t>
  </si>
  <si>
    <t>9-5-17 NNE18 B24 3M</t>
  </si>
  <si>
    <t>NNE-18</t>
  </si>
  <si>
    <t>Sep 06 2017 02:51</t>
  </si>
  <si>
    <t>80_23</t>
  </si>
  <si>
    <t>9_5_17_NNE_18_3m_B24_0.2</t>
  </si>
  <si>
    <t>2.887_2228.1</t>
  </si>
  <si>
    <t>BOX_3_90</t>
  </si>
  <si>
    <t>9-5-17 NNE18 B18 50M</t>
  </si>
  <si>
    <t>80_17</t>
  </si>
  <si>
    <t>9_5_17_NNE_18_50m_B18_0.2</t>
  </si>
  <si>
    <t>49.844_2228.1</t>
  </si>
  <si>
    <t>BOX_3_91</t>
  </si>
  <si>
    <t>9-5-17 NNE18 B16 125M</t>
  </si>
  <si>
    <t>9_5_17_NNE_18_125m_B16_0.2</t>
  </si>
  <si>
    <t>125.402_2228.1</t>
  </si>
  <si>
    <t>80_16</t>
  </si>
  <si>
    <t>BOX_3_92</t>
  </si>
  <si>
    <t>9-5-17 NNE18 B14 200M</t>
  </si>
  <si>
    <t>80_13</t>
  </si>
  <si>
    <t>9_5_17_NNE_18_200m_B14_0.2</t>
  </si>
  <si>
    <t>199.989_2228.1</t>
  </si>
  <si>
    <t>BOX_3_93</t>
  </si>
  <si>
    <t>9-5-17 NNE18 B12 300M</t>
  </si>
  <si>
    <t>80_11</t>
  </si>
  <si>
    <t>9_5_17_NNE_18_300m_B12_0.2</t>
  </si>
  <si>
    <t>299.868_2228.1</t>
  </si>
  <si>
    <t>BOX_4_71</t>
  </si>
  <si>
    <t>9-5-17 NNE18 B10 500M</t>
  </si>
  <si>
    <t>9_5_17_NNE_18_500m_B10_0.2</t>
  </si>
  <si>
    <t>500.071_2228.1</t>
  </si>
  <si>
    <t>BOX_4_72</t>
  </si>
  <si>
    <t>9-5-17 NNE18 B8 750M</t>
  </si>
  <si>
    <t>9_5_17_NNE_18_750m_B8_0.2</t>
  </si>
  <si>
    <t>749.477_2228.1</t>
  </si>
  <si>
    <t>BOX_4_79</t>
  </si>
  <si>
    <t>9-5-17 NNE14 B6 1000M</t>
  </si>
  <si>
    <t>9_5_17_NNE_18_1000m_B6_0.2</t>
  </si>
  <si>
    <t>1000.188_2228.1</t>
  </si>
  <si>
    <t>BOX_3_94</t>
  </si>
  <si>
    <t>9-5-17 NNE18 B4 1800M</t>
  </si>
  <si>
    <t>80_3</t>
  </si>
  <si>
    <t>9_5_17_NNE_18_1800m_B4_0.2</t>
  </si>
  <si>
    <t>1800.236_2228.1</t>
  </si>
  <si>
    <t>BOX_3_95</t>
  </si>
  <si>
    <t>9-5-17 NNE18 B2 2207M</t>
  </si>
  <si>
    <t>9_5_17_NNE_18_2207m_B2_0.2</t>
  </si>
  <si>
    <t>2206.979_2228.1</t>
  </si>
  <si>
    <t>BOX_4_60</t>
  </si>
  <si>
    <t>9-4-17 NNE8 C70 B16 3M</t>
  </si>
  <si>
    <t>NNE-8</t>
  </si>
  <si>
    <t>Sep 05 2017 03:28</t>
  </si>
  <si>
    <t>70_15</t>
  </si>
  <si>
    <t>9_4_17_NNE_8_3m_B16_0.2</t>
  </si>
  <si>
    <t>2.732_70.4</t>
  </si>
  <si>
    <t>BOX_4_61</t>
  </si>
  <si>
    <t>9-4-17 NNE8 C70 B12 20M</t>
  </si>
  <si>
    <t>9_4_17_NNE_8_20m_B12_0.2</t>
  </si>
  <si>
    <t>19.983_70.4</t>
  </si>
  <si>
    <t>70_12</t>
  </si>
  <si>
    <t>BOX_4_62</t>
  </si>
  <si>
    <t>9-4-17 NNE8 C70 B10 30M</t>
  </si>
  <si>
    <t>9_4_17_NNE_8_30m_B10_0.2</t>
  </si>
  <si>
    <t>30.204_70.4</t>
  </si>
  <si>
    <t>BOX_4_63</t>
  </si>
  <si>
    <t>9-4-17 NNE8 C70 B8 40M</t>
  </si>
  <si>
    <t>9_4_17_NNE_8_40m_B8_0.2</t>
  </si>
  <si>
    <t>39.952_70.4</t>
  </si>
  <si>
    <t>70_8</t>
  </si>
  <si>
    <t>BOX_3_88</t>
  </si>
  <si>
    <t>9-4-17 NNE8 B6 50M</t>
  </si>
  <si>
    <t>9_4_17_NNE_8_50m_B6_0.2</t>
  </si>
  <si>
    <t>50.604_70.4</t>
  </si>
  <si>
    <t>BOX_4_64</t>
  </si>
  <si>
    <t>9-4-17 NNE8 C70 B4 69M</t>
  </si>
  <si>
    <t>9_4_17_NNE_8_69m_B4_0.2</t>
  </si>
  <si>
    <t>68.778_70.4</t>
  </si>
  <si>
    <t>BOX_4_86</t>
  </si>
  <si>
    <t>9-3-17 NW1 B18 3M</t>
  </si>
  <si>
    <t>NW-1</t>
  </si>
  <si>
    <t>Sep 04 2017 02:44</t>
  </si>
  <si>
    <t>53_17</t>
  </si>
  <si>
    <t>9_3_17_NW_1_3m_B18_0.2</t>
  </si>
  <si>
    <t>2.662_98.3</t>
  </si>
  <si>
    <t>BOX_3_85</t>
  </si>
  <si>
    <t>9-3-17 NW1 B16 10M</t>
  </si>
  <si>
    <t>53_15</t>
  </si>
  <si>
    <t>9_3_17_NW_1_10m_B16_0.2</t>
  </si>
  <si>
    <t>9.982_98.3</t>
  </si>
  <si>
    <t>BOX_4_87</t>
  </si>
  <si>
    <t>9-3-17 NW1 B14 20M</t>
  </si>
  <si>
    <t>9_3_17_NW_1_20m_B14_0.2</t>
  </si>
  <si>
    <t>20.081_98.3</t>
  </si>
  <si>
    <t>53_14</t>
  </si>
  <si>
    <t>BOX_4_88</t>
  </si>
  <si>
    <t>9-3-17 NW1 B12 30M</t>
  </si>
  <si>
    <t>53_11</t>
  </si>
  <si>
    <t>9_3_17_NW_1_30m_B12_0.2</t>
  </si>
  <si>
    <t>29.895_98.3</t>
  </si>
  <si>
    <t>BOX_4_76</t>
  </si>
  <si>
    <t>9-3-17 NW1 B10 40M</t>
  </si>
  <si>
    <t>9_3_17_NW_1_40m_B10_0.2</t>
  </si>
  <si>
    <t>39.94_98.3</t>
  </si>
  <si>
    <t>53_10</t>
  </si>
  <si>
    <t>BOX_4_77</t>
  </si>
  <si>
    <t>9-3-17 NW1 B8 50M</t>
  </si>
  <si>
    <t>53_7</t>
  </si>
  <si>
    <t>9_3_17_NW_1_50m_B8_0.2</t>
  </si>
  <si>
    <t>49.985_98.3</t>
  </si>
  <si>
    <t>BOX_4_89</t>
  </si>
  <si>
    <t>9-3-17 NW1 B6 75M</t>
  </si>
  <si>
    <t>53_5</t>
  </si>
  <si>
    <t>9_3_17_NW_1_75m_B6_0.2</t>
  </si>
  <si>
    <t>74.93_98.3</t>
  </si>
  <si>
    <t>BOX_4_90</t>
  </si>
  <si>
    <t>9-3-17 NW1 B4 96M</t>
  </si>
  <si>
    <t>53_3</t>
  </si>
  <si>
    <t>9_3_17_NW_1_96m_B4_0.2</t>
  </si>
  <si>
    <t>96.457_98.3</t>
  </si>
  <si>
    <t>BOX_10_84</t>
  </si>
  <si>
    <t>8-28-17 TESTCAST B8 SURFACE</t>
  </si>
  <si>
    <t>Test</t>
  </si>
  <si>
    <t>Aug 28 2017 10:14</t>
  </si>
  <si>
    <t>0_7</t>
  </si>
  <si>
    <t>8_28_17_Test_Cast_Surface_B8_0.2</t>
  </si>
  <si>
    <t>2.15_39</t>
  </si>
  <si>
    <t>RNALater yes</t>
  </si>
  <si>
    <t>BOX_10_72</t>
  </si>
  <si>
    <t>8-28-17 TESTCAST B8 20UM SURFACE</t>
  </si>
  <si>
    <t>8_28_17_Test_Cast_Surface_B8_20</t>
  </si>
  <si>
    <t>BOX_10_85</t>
  </si>
  <si>
    <t>8-28-17 TESTCAST B6 10M</t>
  </si>
  <si>
    <t>0_5</t>
  </si>
  <si>
    <t>8_28_17_Test_Cast_10m_B6_0.2</t>
  </si>
  <si>
    <t>10.33_39</t>
  </si>
  <si>
    <t>BOX_10_71</t>
  </si>
  <si>
    <t>8-28-17 TESTCAST B6 20UM 10M</t>
  </si>
  <si>
    <t>8_28_17_Test_Cast_10m_B6_20</t>
  </si>
  <si>
    <t>BOX_10_86</t>
  </si>
  <si>
    <t>8-28-17 TESTCAST B4 20M</t>
  </si>
  <si>
    <t>0_3</t>
  </si>
  <si>
    <t>8_28_17_Test_Cast_20m_B4_0.2</t>
  </si>
  <si>
    <t>20.131_39</t>
  </si>
  <si>
    <t>BOX_10_70</t>
  </si>
  <si>
    <t>8-28-17 TESTCAST B4 3UM 20M</t>
  </si>
  <si>
    <t>8_28_17_Test_Cast_20m_B4_3</t>
  </si>
  <si>
    <t>BOX_10_69</t>
  </si>
  <si>
    <t>8-28-17 TESTCAST B4 20UM 20M</t>
  </si>
  <si>
    <t>8_28_17_Test_Cast_20m_B4_20</t>
  </si>
  <si>
    <t>BOX_10_87</t>
  </si>
  <si>
    <t>8-28-17 TESTCAST B2 BOTTOM</t>
  </si>
  <si>
    <t>0_1</t>
  </si>
  <si>
    <t>8_28_17_Test_Cast_Bottom_B2_0.2</t>
  </si>
  <si>
    <t>33.769_39</t>
  </si>
  <si>
    <t>BOX_10_67</t>
  </si>
  <si>
    <t>8-28-17 TESTCAST B2 3UM BOTTOM</t>
  </si>
  <si>
    <t>8_28_17_Test_Cast_Bottom_B2_3</t>
  </si>
  <si>
    <t>BOX_10_68</t>
  </si>
  <si>
    <t>8-28-17 TESTCAST B2 20UM BOTTOM</t>
  </si>
  <si>
    <t>8_28_17_Test_Cast_Bottom_B2_20</t>
  </si>
  <si>
    <t>BOX_4_91</t>
  </si>
  <si>
    <t>9-3-17 W10 C50 B? 5M</t>
  </si>
  <si>
    <t>W-10</t>
  </si>
  <si>
    <t>Sep 03 2017 17:15</t>
  </si>
  <si>
    <t>50_13</t>
  </si>
  <si>
    <t>9_3_17_W_10_5m_B14_0.2</t>
  </si>
  <si>
    <t>3.039_52.4</t>
  </si>
  <si>
    <t>BOX_4_92</t>
  </si>
  <si>
    <t>9-3-17 W10 C50 B? 30M</t>
  </si>
  <si>
    <t>50_7</t>
  </si>
  <si>
    <t>9_3_17_W_10_30m_B8_0.2</t>
  </si>
  <si>
    <t>30.478_52.4</t>
  </si>
  <si>
    <t>BOX_4_93</t>
  </si>
  <si>
    <t>9-3-17 W10 C50 B? 40M</t>
  </si>
  <si>
    <t>50_5</t>
  </si>
  <si>
    <t>9_3_17_W_10_40m_B6_0.2</t>
  </si>
  <si>
    <t>40.205_52.4</t>
  </si>
  <si>
    <t>BOX_4_94</t>
  </si>
  <si>
    <t>9-3-17 W10 C50 B? 50M</t>
  </si>
  <si>
    <t>50_3</t>
  </si>
  <si>
    <t>9_3_17_W_10_50m_B4_0.2</t>
  </si>
  <si>
    <t>50.116_52.4</t>
  </si>
  <si>
    <t>BOX_5_8</t>
  </si>
  <si>
    <t>9-3-17 W4 B13 3M</t>
  </si>
  <si>
    <t>W-4</t>
  </si>
  <si>
    <t>Sep 03 2017 07:13</t>
  </si>
  <si>
    <t>9_3_17_W_4_3m_B13_0.2</t>
  </si>
  <si>
    <t>3.317_40.4</t>
  </si>
  <si>
    <t>44_13</t>
  </si>
  <si>
    <t>BOX_9_76</t>
  </si>
  <si>
    <t>9-3-17 W4 B11 10M</t>
  </si>
  <si>
    <t>9_3_17_W_4_10m_B11_0.2</t>
  </si>
  <si>
    <t>9.985_40.4</t>
  </si>
  <si>
    <t>44_11</t>
  </si>
  <si>
    <t>BOX_5_75</t>
  </si>
  <si>
    <t>9-3-17 W4 B9 20M</t>
  </si>
  <si>
    <t>9_3_17_W_4_20m_B9_0.2</t>
  </si>
  <si>
    <t>19.971_40.4</t>
  </si>
  <si>
    <t>44_9</t>
  </si>
  <si>
    <t>BOX_5_9</t>
  </si>
  <si>
    <t>9-3-17 W4 B7 30M</t>
  </si>
  <si>
    <t>9_3_17_W_4_30m_B7_0.2</t>
  </si>
  <si>
    <t>29.878_40.4</t>
  </si>
  <si>
    <t>44_7</t>
  </si>
  <si>
    <t>BOX_5_10</t>
  </si>
  <si>
    <t>9-3-17 W4 B7 32M</t>
  </si>
  <si>
    <t>9_3_17_W_4_32m_B5_0.2</t>
  </si>
  <si>
    <t>33.135_40.4</t>
  </si>
  <si>
    <t>44_5</t>
  </si>
  <si>
    <t>BOX_5_11</t>
  </si>
  <si>
    <t>9-3-17 W4 B3 38M</t>
  </si>
  <si>
    <t>9_3_17_W_4_38m_B3_0.2</t>
  </si>
  <si>
    <t>38.505_40.4</t>
  </si>
  <si>
    <t>44_3</t>
  </si>
  <si>
    <t>BOX_4_20</t>
  </si>
  <si>
    <t>8-21-17 BBL1 12M</t>
  </si>
  <si>
    <t>BBL1</t>
  </si>
  <si>
    <t>Aug 20 2017 22:40</t>
  </si>
  <si>
    <t>83_13.295</t>
  </si>
  <si>
    <t>BOX_4_21</t>
  </si>
  <si>
    <t>8-21-17 BBL1 12M BH1</t>
  </si>
  <si>
    <t>BOX_4_22</t>
  </si>
  <si>
    <t>8-21-17 BBL1 12M BH2</t>
  </si>
  <si>
    <t>AMBON_1_53</t>
  </si>
  <si>
    <t>8-22-17 BBL11 5M SURFACE</t>
  </si>
  <si>
    <t>BBL11</t>
  </si>
  <si>
    <t>Aug 22 2017 10:29</t>
  </si>
  <si>
    <t>93_11</t>
  </si>
  <si>
    <t>93_4.813</t>
  </si>
  <si>
    <t>AMBON_1_54</t>
  </si>
  <si>
    <t>8-22-17 BBL11 30M CHLMAX</t>
  </si>
  <si>
    <t>Aug 22 2017 10:25</t>
  </si>
  <si>
    <t>93_30.403</t>
  </si>
  <si>
    <t>clines at 30 m</t>
  </si>
  <si>
    <t>AMBON_1_55</t>
  </si>
  <si>
    <t>8-22-17 BBL11 40M</t>
  </si>
  <si>
    <t>Aug 22 2017 10:23</t>
  </si>
  <si>
    <t>93_40.386</t>
  </si>
  <si>
    <t>AMBON_1_56</t>
  </si>
  <si>
    <t>8-22-17 BBL11 46M BOTTOM</t>
  </si>
  <si>
    <t>Aug 22 2017 10:22</t>
  </si>
  <si>
    <t>93_45.744</t>
  </si>
  <si>
    <t>AMBON_1_59</t>
  </si>
  <si>
    <t>8-22-17 BBL12 5M SURFACE</t>
  </si>
  <si>
    <t>BBL12</t>
  </si>
  <si>
    <t>Aug 22 2017 13:26</t>
  </si>
  <si>
    <t>94_9</t>
  </si>
  <si>
    <t>94_6.018</t>
  </si>
  <si>
    <t>AMBON_1_61</t>
  </si>
  <si>
    <t>8-22-17 BBL12 20M</t>
  </si>
  <si>
    <t>Aug 22 2017 13:23</t>
  </si>
  <si>
    <t>94_5</t>
  </si>
  <si>
    <t>94_20.947</t>
  </si>
  <si>
    <t>AMBON_1_57</t>
  </si>
  <si>
    <t>8-22-17 BBL12 30M CHLMAX</t>
  </si>
  <si>
    <t>Aug 22 2017 13:22</t>
  </si>
  <si>
    <t>94_3</t>
  </si>
  <si>
    <t>94_30.232</t>
  </si>
  <si>
    <t>AMBON_1_58</t>
  </si>
  <si>
    <t>8-22-17 BBL12 44M BOTTOM</t>
  </si>
  <si>
    <t>Aug 22 2017 13:21</t>
  </si>
  <si>
    <t>94_1</t>
  </si>
  <si>
    <t>94_43.713</t>
  </si>
  <si>
    <t>BOX_4_32</t>
  </si>
  <si>
    <t>8-22-17 BBL7 5M</t>
  </si>
  <si>
    <t>BBL7</t>
  </si>
  <si>
    <t>Aug 21 2017 21:34</t>
  </si>
  <si>
    <t>89_9</t>
  </si>
  <si>
    <t>89_4.849</t>
  </si>
  <si>
    <t>surface water clogged quickly but no discoloration (EPS), water also noticed to be slippery between fingers</t>
  </si>
  <si>
    <t>BOX_4_33</t>
  </si>
  <si>
    <t>8-22-17 BBL7 10M</t>
  </si>
  <si>
    <t>Aug 21 2017 21:33</t>
  </si>
  <si>
    <t>89_7</t>
  </si>
  <si>
    <t>89_10.441</t>
  </si>
  <si>
    <t>BOX_4_23</t>
  </si>
  <si>
    <t>8-22-17 BBL7 20M</t>
  </si>
  <si>
    <t>Aug 21 2017 21:31</t>
  </si>
  <si>
    <t>89_5</t>
  </si>
  <si>
    <t>89_20.355</t>
  </si>
  <si>
    <t>BOX_4_34</t>
  </si>
  <si>
    <t>BOX_4_35</t>
  </si>
  <si>
    <t>8-22-17 BBL7 30M</t>
  </si>
  <si>
    <t>Aug 21 2017 21:30</t>
  </si>
  <si>
    <t>89_29.149</t>
  </si>
  <si>
    <t>BOX_4_36</t>
  </si>
  <si>
    <t>8-22-17 BBL7 42M</t>
  </si>
  <si>
    <t>Aug 21 2017 21:28</t>
  </si>
  <si>
    <t>89_41.672</t>
  </si>
  <si>
    <t>BOX_4_37</t>
  </si>
  <si>
    <t>8-22-17 BBL9 5.0M</t>
  </si>
  <si>
    <t>BBL9</t>
  </si>
  <si>
    <t>Aug 22 2017 03:40</t>
  </si>
  <si>
    <t>91_14</t>
  </si>
  <si>
    <t>91_4.778</t>
  </si>
  <si>
    <t>BOX_4_38</t>
  </si>
  <si>
    <t>8-22-17 BBL9 9.9M</t>
  </si>
  <si>
    <t>Aug 22 2017 03:39</t>
  </si>
  <si>
    <t>91_13</t>
  </si>
  <si>
    <t>91_9.417</t>
  </si>
  <si>
    <t>BOX_4_24</t>
  </si>
  <si>
    <t>8-22-17 BBL9 12.4 M</t>
  </si>
  <si>
    <t>Aug 22 2017 03:38</t>
  </si>
  <si>
    <t>91_12</t>
  </si>
  <si>
    <t>91_11.594</t>
  </si>
  <si>
    <t>BOX_4_39</t>
  </si>
  <si>
    <t>8-22-17 BBL9 14M</t>
  </si>
  <si>
    <t>91_11</t>
  </si>
  <si>
    <t>91_14.184</t>
  </si>
  <si>
    <t>BOX_4_40</t>
  </si>
  <si>
    <t>8-22-17 BBL9 16.9M</t>
  </si>
  <si>
    <t>91_10</t>
  </si>
  <si>
    <t>91_16.134</t>
  </si>
  <si>
    <t>BOX_4_41</t>
  </si>
  <si>
    <t>8-22-17 BBL9 19M</t>
  </si>
  <si>
    <t>91_8</t>
  </si>
  <si>
    <t>91_9</t>
  </si>
  <si>
    <t>91_17.808</t>
  </si>
  <si>
    <t>BOX_4_25</t>
  </si>
  <si>
    <t>8-22-17 BBL9 20.6M</t>
  </si>
  <si>
    <t>Aug 22 2017 03:37</t>
  </si>
  <si>
    <t>91_20.335</t>
  </si>
  <si>
    <t>BOX_4_42</t>
  </si>
  <si>
    <t>8-22-17 BBL9 22.9M</t>
  </si>
  <si>
    <t>Aug 22 2017 03:36</t>
  </si>
  <si>
    <t>91_7</t>
  </si>
  <si>
    <t>91_21.649</t>
  </si>
  <si>
    <t>BOX_4_26</t>
  </si>
  <si>
    <t>8-22-17 BBL9 24.4M</t>
  </si>
  <si>
    <t>91_6</t>
  </si>
  <si>
    <t>91_23.369</t>
  </si>
  <si>
    <t>BOX_4_27</t>
  </si>
  <si>
    <t>8-22-17 BBL9 25.9M</t>
  </si>
  <si>
    <t>91_5</t>
  </si>
  <si>
    <t>91_25.144</t>
  </si>
  <si>
    <t>BOX_4_28</t>
  </si>
  <si>
    <t>8-22-17 BBL9 27.9M</t>
  </si>
  <si>
    <t>91_3</t>
  </si>
  <si>
    <t>91_27.225</t>
  </si>
  <si>
    <t>BOX_4_29</t>
  </si>
  <si>
    <t>8-22-17 BBL9 30.9M</t>
  </si>
  <si>
    <t>Aug 22 2017 03:35</t>
  </si>
  <si>
    <t>91_30.85</t>
  </si>
  <si>
    <t>BOX_4_30</t>
  </si>
  <si>
    <t>8-22-17 BBL9 41.3M</t>
  </si>
  <si>
    <t>Aug 22 2017 03:34</t>
  </si>
  <si>
    <t>91_41.081</t>
  </si>
  <si>
    <t>low chl/high POC</t>
  </si>
  <si>
    <t>BOX_4_31</t>
  </si>
  <si>
    <t>8-22-17 BBL9 45.7M</t>
  </si>
  <si>
    <t>Aug 22 2017 03:33</t>
  </si>
  <si>
    <t>91_45.024</t>
  </si>
  <si>
    <t>halocline experiment</t>
  </si>
  <si>
    <t>AMBON_2_36</t>
  </si>
  <si>
    <t>8-7-17 DBO3.2 CHLMAX 10M</t>
  </si>
  <si>
    <t>Aug 07 2017 14:10</t>
  </si>
  <si>
    <t>7_7</t>
  </si>
  <si>
    <t>7_10.947</t>
  </si>
  <si>
    <t>BOX_10_37</t>
  </si>
  <si>
    <t>8-30-17 DBO3.2 B12 6M</t>
  </si>
  <si>
    <t>Aug 30 2017 06:29</t>
  </si>
  <si>
    <t>8_30_17_DBO3_2_6m_B12_0.2</t>
  </si>
  <si>
    <t>10.992_43.2</t>
  </si>
  <si>
    <t>7_12</t>
  </si>
  <si>
    <t>BOX_10_12</t>
  </si>
  <si>
    <t>8-30-17 DBO3.2 B11 10M</t>
  </si>
  <si>
    <t>8_30_17_DBO3_2_10m_B10_0.2</t>
  </si>
  <si>
    <t>11.285_43.2</t>
  </si>
  <si>
    <t>BOX_10_38</t>
  </si>
  <si>
    <t>8-30-17 DBO3.2 B6 30M</t>
  </si>
  <si>
    <t>7_5</t>
  </si>
  <si>
    <t>8_30_17_DBO3_2_30m_B6_0.2</t>
  </si>
  <si>
    <t>31.513_43.2</t>
  </si>
  <si>
    <t>BOX_10_39</t>
  </si>
  <si>
    <t>8-30-17 DBO3.2 B4 40M</t>
  </si>
  <si>
    <t>7_3</t>
  </si>
  <si>
    <t>8_30_17_DBO3_2_40m_B4_0.2</t>
  </si>
  <si>
    <t>39.495_43.2</t>
  </si>
  <si>
    <t>BOX_10_55</t>
  </si>
  <si>
    <t>8-29-17 DBO3.3 B12 5M</t>
  </si>
  <si>
    <t>Aug 30 2017 04:43</t>
  </si>
  <si>
    <t>6_11</t>
  </si>
  <si>
    <t>8_29_17_DBO3_3_5m_B12_0.2</t>
  </si>
  <si>
    <t>3.895_47.9</t>
  </si>
  <si>
    <t>AMBON_2_23</t>
  </si>
  <si>
    <t>8-7-17 DBO3.3 CHL MAX 15M</t>
  </si>
  <si>
    <t>Aug 07 2017 10:48</t>
  </si>
  <si>
    <t>6_9</t>
  </si>
  <si>
    <t>6_14.719</t>
  </si>
  <si>
    <t>BOX_10_56</t>
  </si>
  <si>
    <t>8-29-17 DBO3.3 B8 20M</t>
  </si>
  <si>
    <t>6_7</t>
  </si>
  <si>
    <t>8_29_17_DBO3_3_20m_B8_0.2</t>
  </si>
  <si>
    <t>20.485_47.9</t>
  </si>
  <si>
    <t>BOX_10_51</t>
  </si>
  <si>
    <t>8-29-17 DBO3.3 B4 BOTTOM</t>
  </si>
  <si>
    <t>6_3</t>
  </si>
  <si>
    <t>8_29_17_DBO3_3_Bottom_B4_0.2</t>
  </si>
  <si>
    <t>44.262_47.9</t>
  </si>
  <si>
    <t>AMBON_2_37</t>
  </si>
  <si>
    <t>8-7-17 DBO3.3 BOTTOM 49.9M</t>
  </si>
  <si>
    <t>Aug 07 2017 10:41</t>
  </si>
  <si>
    <t>6_1</t>
  </si>
  <si>
    <t>6_45.152</t>
  </si>
  <si>
    <t>AMBON_2_24</t>
  </si>
  <si>
    <t>8-7-17 DBO3.4 4M SURFACE</t>
  </si>
  <si>
    <t>Aug 07 2017 08:40</t>
  </si>
  <si>
    <t>5_13</t>
  </si>
  <si>
    <t>5_4.534</t>
  </si>
  <si>
    <t>BOX_10_52</t>
  </si>
  <si>
    <t>8-29-17 DBO3.4 B14 5M</t>
  </si>
  <si>
    <t>Aug 30 2017 01:44</t>
  </si>
  <si>
    <t>5_15</t>
  </si>
  <si>
    <t>8_29_17_DBO3_4_5m_B14_0.2</t>
  </si>
  <si>
    <t>5.675_49.4</t>
  </si>
  <si>
    <t>AMBON_2_25</t>
  </si>
  <si>
    <t>8-7-17 DBO3.4 10M</t>
  </si>
  <si>
    <t>Aug 07 2017 08:38</t>
  </si>
  <si>
    <t>5_11</t>
  </si>
  <si>
    <t>5_10.401</t>
  </si>
  <si>
    <t>BOX_10_57</t>
  </si>
  <si>
    <t>8-29-17 DBO3.4 B12 10M</t>
  </si>
  <si>
    <t>8_29_17_DBO3_4_10m_B12_0.2</t>
  </si>
  <si>
    <t>10.759_49.4</t>
  </si>
  <si>
    <t>AMBON_2_26</t>
  </si>
  <si>
    <t>8-7-17 DBO3.4 16M CHLMAX</t>
  </si>
  <si>
    <t>Aug 07 2017 08:37</t>
  </si>
  <si>
    <t>5_9</t>
  </si>
  <si>
    <t>5_16.404</t>
  </si>
  <si>
    <t>AMBON_2_27</t>
  </si>
  <si>
    <t>8-7-17 DBO3.4 20M</t>
  </si>
  <si>
    <t>Aug 07 2017 08:34</t>
  </si>
  <si>
    <t>5_7</t>
  </si>
  <si>
    <t>5_20.949</t>
  </si>
  <si>
    <t>BOX_10_58</t>
  </si>
  <si>
    <t>8-29-17 DBO3.4 B10 20M</t>
  </si>
  <si>
    <t>8_29_17_DBO3_4_20m_B10_0.2</t>
  </si>
  <si>
    <t>21.619_49.4</t>
  </si>
  <si>
    <t>AMBON_2_28</t>
  </si>
  <si>
    <t>8-7-17 DBO3.4 30M</t>
  </si>
  <si>
    <t>Aug 07 2017 08:33</t>
  </si>
  <si>
    <t>5_5</t>
  </si>
  <si>
    <t>5_29.686</t>
  </si>
  <si>
    <t>AMBON_2_29</t>
  </si>
  <si>
    <t>8-7-17 DBO3.4 40M</t>
  </si>
  <si>
    <t>Aug 07 2017 08:31</t>
  </si>
  <si>
    <t>5_3</t>
  </si>
  <si>
    <t>5_39.703</t>
  </si>
  <si>
    <t>BOX_10_53</t>
  </si>
  <si>
    <t>8-29-17 DBO3.4 B6 40M</t>
  </si>
  <si>
    <t>8_29_17_DBO3_4_40m_B6_0.2</t>
  </si>
  <si>
    <t>40.211_49.4</t>
  </si>
  <si>
    <t>BOX_10_54</t>
  </si>
  <si>
    <t>8-29-17 DBO3.4 B2 BOTTOM</t>
  </si>
  <si>
    <t>5_1</t>
  </si>
  <si>
    <t>8_29_17_DBO3_4_Bottom_B2_0.2</t>
  </si>
  <si>
    <t>46.692_49.4</t>
  </si>
  <si>
    <t>AMBON_2_22</t>
  </si>
  <si>
    <t>8-7-17 DBO3.4 48M BOTTOM</t>
  </si>
  <si>
    <t>Aug 07 2017 08:30</t>
  </si>
  <si>
    <t>5_48.143</t>
  </si>
  <si>
    <t>AMBON_2_30</t>
  </si>
  <si>
    <t>8-7-17 DBO3.5 5M</t>
  </si>
  <si>
    <t>Aug 07 2017 04:49</t>
  </si>
  <si>
    <t>4_11</t>
  </si>
  <si>
    <t>4_5.104</t>
  </si>
  <si>
    <t>0 to 5 cm sediment taken at DBO3.5</t>
  </si>
  <si>
    <t>BOX_10_59</t>
  </si>
  <si>
    <t>8-29-17 DBO3.5 B14 SURFACE</t>
  </si>
  <si>
    <t>Aug 29 2017 22:35</t>
  </si>
  <si>
    <t>4_13</t>
  </si>
  <si>
    <t>8_29_17_DBO3_5_Surface_B14_0.2</t>
  </si>
  <si>
    <t>10.582_53.2</t>
  </si>
  <si>
    <t>AMBON_2_32</t>
  </si>
  <si>
    <t>8-7-17 DBO3.5 40M</t>
  </si>
  <si>
    <t>Aug 07 2017 04:42</t>
  </si>
  <si>
    <t>4_3</t>
  </si>
  <si>
    <t>4_40.362</t>
  </si>
  <si>
    <t>no volume in notebook</t>
  </si>
  <si>
    <t>BOX_10_60</t>
  </si>
  <si>
    <t>8-29-17 DBO3.5 B6 40M</t>
  </si>
  <si>
    <t>4_5</t>
  </si>
  <si>
    <t>8_29_17_DBO3_5_40m_B6_0.2</t>
  </si>
  <si>
    <t>40.926_53.2</t>
  </si>
  <si>
    <t>AMBON_1_5</t>
  </si>
  <si>
    <t>8-7-2017 DBO3.5 49M</t>
  </si>
  <si>
    <t>Aug 07 2017 04:40</t>
  </si>
  <si>
    <t>4_48.571</t>
  </si>
  <si>
    <t>BOX_10_61</t>
  </si>
  <si>
    <t>8-29-17 DBO3.5 B4 BOTTOM</t>
  </si>
  <si>
    <t>8_29_17_DBO3_5_Bottom_B4_0.2</t>
  </si>
  <si>
    <t>49.592_53.2</t>
  </si>
  <si>
    <t>AMBON_1_4</t>
  </si>
  <si>
    <t>8-7-2017 DBO3.6 2M</t>
  </si>
  <si>
    <t>Aug 07 2017 01:30</t>
  </si>
  <si>
    <t>3_13</t>
  </si>
  <si>
    <t>3_2.13</t>
  </si>
  <si>
    <t>viral samples taken</t>
  </si>
  <si>
    <t>BOX_10_62</t>
  </si>
  <si>
    <t>8-29-17 DBO3.6 B13 3.5M</t>
  </si>
  <si>
    <t>Aug 29 2017 19:52</t>
  </si>
  <si>
    <t>8_29_17_DBO3_6_3.5m_B13_0.2</t>
  </si>
  <si>
    <t>3.546_58.3</t>
  </si>
  <si>
    <t>BOX_10_73</t>
  </si>
  <si>
    <t>8-29-17 DBO3.6 B10 20M</t>
  </si>
  <si>
    <t>3_9</t>
  </si>
  <si>
    <t>8_29_17_DBO3_6_20m_B10_0.2</t>
  </si>
  <si>
    <t>20.49_58.3</t>
  </si>
  <si>
    <t>AMBON_1_3</t>
  </si>
  <si>
    <t>8-7-2017 DBO3.6 54M BOTTOM</t>
  </si>
  <si>
    <t>Aug 07 2017 01:19</t>
  </si>
  <si>
    <t>3_1</t>
  </si>
  <si>
    <t>3_53.54</t>
  </si>
  <si>
    <t>BOX_10_74</t>
  </si>
  <si>
    <t>8-29-17 DBO3.6 B4 BOTTOM</t>
  </si>
  <si>
    <t>3_3</t>
  </si>
  <si>
    <t>8_29_17_DBO3_6_Bottom_B4_0.2</t>
  </si>
  <si>
    <t>55.462_58.3</t>
  </si>
  <si>
    <t>BOX_10_11</t>
  </si>
  <si>
    <t>8-29-17 DBO3.6 CORE1 BOTTOM WATER</t>
  </si>
  <si>
    <t>core</t>
  </si>
  <si>
    <t>_</t>
  </si>
  <si>
    <t>3_core</t>
  </si>
  <si>
    <t>BOX_10_4</t>
  </si>
  <si>
    <t>8-29-17 DBO3.6 CORE2 BOTTOM WATER</t>
  </si>
  <si>
    <t>BOX_10_63</t>
  </si>
  <si>
    <t>8-29-17 DBO3.7 B16 1M</t>
  </si>
  <si>
    <t>2_15</t>
  </si>
  <si>
    <t>8_29_17_DBO3_7_1m_B16_0.2</t>
  </si>
  <si>
    <t>3.319_50.4</t>
  </si>
  <si>
    <t>BOX_10_64</t>
  </si>
  <si>
    <t>8-29-17 DBO3.7 B13 10M</t>
  </si>
  <si>
    <t>8_29_17_DBO3_7_10m_B13_0.2</t>
  </si>
  <si>
    <t>11.003_50.4</t>
  </si>
  <si>
    <t>2_13</t>
  </si>
  <si>
    <t>BOX_10_75</t>
  </si>
  <si>
    <t>8-29-17 DBO3.7 B12 16M</t>
  </si>
  <si>
    <t>2_11</t>
  </si>
  <si>
    <t>8_29_17_DBO3_7_16m_B12_0.2</t>
  </si>
  <si>
    <t>15.629_50.4</t>
  </si>
  <si>
    <t>BOX_10_65</t>
  </si>
  <si>
    <t>8-29-17 DBO3.7 B10 20M</t>
  </si>
  <si>
    <t>8_29_17_DBO3_7_20m_B10_0.2</t>
  </si>
  <si>
    <t>20.804_50.4</t>
  </si>
  <si>
    <t>BOX_10_66</t>
  </si>
  <si>
    <t>8-29-17 DBO3.7 B8 30M</t>
  </si>
  <si>
    <t>8_29_17_DBO3_7_30m_B8_0.2</t>
  </si>
  <si>
    <t>30.624_50.4</t>
  </si>
  <si>
    <t>BOX_10_76</t>
  </si>
  <si>
    <t>8-29-17 DBO3.7 B6 40M</t>
  </si>
  <si>
    <t>8_29_17_DBO3_7_40m_B6_0.2</t>
  </si>
  <si>
    <t>40.451_50.4</t>
  </si>
  <si>
    <t>BOX_10_77</t>
  </si>
  <si>
    <t>8-29-17 DBO3.7 B4 47M</t>
  </si>
  <si>
    <t>8_29_17_DBO3_7_47m_B4_0.2</t>
  </si>
  <si>
    <t>47.495_50.4</t>
  </si>
  <si>
    <t>BOX_5_52</t>
  </si>
  <si>
    <t>8-31-17 DBO4.1 10M</t>
  </si>
  <si>
    <t>Aug 31 2017 20:06</t>
  </si>
  <si>
    <t>20_13</t>
  </si>
  <si>
    <t>8_31_17_DBO4_1_10m_B12_0.2</t>
  </si>
  <si>
    <t>11.067_44.7</t>
  </si>
  <si>
    <t>BOX_3_34</t>
  </si>
  <si>
    <t>8-17-17 ML3.5 16M CHL MAX</t>
  </si>
  <si>
    <t>Aug 16 2017 18:31</t>
  </si>
  <si>
    <t>57_7</t>
  </si>
  <si>
    <t>57_15.971</t>
  </si>
  <si>
    <t>thermocline at about 16 m</t>
  </si>
  <si>
    <t>BOX_3_35</t>
  </si>
  <si>
    <t>8-17-17 ML3.5 20M</t>
  </si>
  <si>
    <t>Aug 16 2017 18:29</t>
  </si>
  <si>
    <t>57_5</t>
  </si>
  <si>
    <t>57_20.044</t>
  </si>
  <si>
    <t>BOX_5_53</t>
  </si>
  <si>
    <t>8-31-17 DBO4.1 20M</t>
  </si>
  <si>
    <t>20_11</t>
  </si>
  <si>
    <t>8_31_17_DBO4_1_20m_B10_0.2</t>
  </si>
  <si>
    <t>20.705_44.7</t>
  </si>
  <si>
    <t>BOX_10_40</t>
  </si>
  <si>
    <t>8-31-17 DBO4.1 30M</t>
  </si>
  <si>
    <t>20_7</t>
  </si>
  <si>
    <t>8_31_17_DBO4_1_30m_B8_0.2</t>
  </si>
  <si>
    <t>31.556_44.7</t>
  </si>
  <si>
    <t>BOX_5_54</t>
  </si>
  <si>
    <t>8-31-17 DBO4.1 45M</t>
  </si>
  <si>
    <t>20_5</t>
  </si>
  <si>
    <t>8_31_17_DBO4_1_40m_B6_0.2</t>
  </si>
  <si>
    <t>41.978_44.7</t>
  </si>
  <si>
    <t>BOX_3_37</t>
  </si>
  <si>
    <t>8-17-17 ML3.5 43M BOTTOM</t>
  </si>
  <si>
    <t>Aug 16 2017 18:26</t>
  </si>
  <si>
    <t>57_1</t>
  </si>
  <si>
    <t>57_42.465</t>
  </si>
  <si>
    <t>chl consistently high in mixed layer (above 20 m) and low below</t>
  </si>
  <si>
    <t>BOX_3_74</t>
  </si>
  <si>
    <t>8-16-17 ML3.6 5M SURFACE</t>
  </si>
  <si>
    <t>DBO4.2</t>
  </si>
  <si>
    <t>Aug 16 2017 14:28</t>
  </si>
  <si>
    <t>55_13</t>
  </si>
  <si>
    <t>55_12</t>
  </si>
  <si>
    <t>55_4.376</t>
  </si>
  <si>
    <t>BOX_9_77</t>
  </si>
  <si>
    <t>8-31-17 DBO4.2 5M</t>
  </si>
  <si>
    <t>Aug 31 2017 16:56</t>
  </si>
  <si>
    <t>18_15</t>
  </si>
  <si>
    <t>8_31_17_DBO4_2_5m_B14_0.2</t>
  </si>
  <si>
    <t>6.565_45.9</t>
  </si>
  <si>
    <t>BOX_3_75</t>
  </si>
  <si>
    <t>8-16-17 ML3.6 20M</t>
  </si>
  <si>
    <t>Aug 16 2017 14:26</t>
  </si>
  <si>
    <t>55_9</t>
  </si>
  <si>
    <t>55_8</t>
  </si>
  <si>
    <t>55_20.048</t>
  </si>
  <si>
    <t>BOX_3_76</t>
  </si>
  <si>
    <t>8-16-17 ML3.6 26M CHL MAX</t>
  </si>
  <si>
    <t>Aug 16 2017 14:24</t>
  </si>
  <si>
    <t>55_5</t>
  </si>
  <si>
    <t>55_26.28</t>
  </si>
  <si>
    <t>BOX_10_41</t>
  </si>
  <si>
    <t>8-31-17 DBO4.2 B8 30M</t>
  </si>
  <si>
    <t>18_7</t>
  </si>
  <si>
    <t>8_31_17_DBO4_2_30m_B8_0.2</t>
  </si>
  <si>
    <t>30.888_45.9</t>
  </si>
  <si>
    <t>BOX_5_55</t>
  </si>
  <si>
    <t>8-31-17 DBO4.2 36M</t>
  </si>
  <si>
    <t>8_31_17_DBO4_2_36m_B6_0.2</t>
  </si>
  <si>
    <t>36.214_45.9</t>
  </si>
  <si>
    <t>18_6</t>
  </si>
  <si>
    <t>BOX_10_13</t>
  </si>
  <si>
    <t>8-31-17 DBO4.2 44M</t>
  </si>
  <si>
    <t>18_3</t>
  </si>
  <si>
    <t>8_31_17_DBO4_2_44m_B4_0.2</t>
  </si>
  <si>
    <t>42.015_45.9</t>
  </si>
  <si>
    <t>BOX_3_77</t>
  </si>
  <si>
    <t>8-16-17 ML3.6 43M BOTTOM</t>
  </si>
  <si>
    <t>Aug 16 2017 14:21</t>
  </si>
  <si>
    <t>55_1</t>
  </si>
  <si>
    <t>55_43.068</t>
  </si>
  <si>
    <t>BOX_10_14</t>
  </si>
  <si>
    <t>8-31-17 DBO4.3 2M</t>
  </si>
  <si>
    <t>DBO4.3</t>
  </si>
  <si>
    <t>Aug 31 2017 14:11</t>
  </si>
  <si>
    <t>16_13</t>
  </si>
  <si>
    <t>8_31_17_DBO4_3_2m_B12_0.2</t>
  </si>
  <si>
    <t>3.188_45.5</t>
  </si>
  <si>
    <t>BOX_3_78</t>
  </si>
  <si>
    <t>8-16-17 ML3.7 5M</t>
  </si>
  <si>
    <t>Aug 16 2017 11:17</t>
  </si>
  <si>
    <t>53_9</t>
  </si>
  <si>
    <t>53_4.714</t>
  </si>
  <si>
    <t>BOX_3_79</t>
  </si>
  <si>
    <t>8-16-17 ML3.7 20M</t>
  </si>
  <si>
    <t>Aug 16 2017 11:15</t>
  </si>
  <si>
    <t>53_21.061</t>
  </si>
  <si>
    <t>niskin for 20 m was leaky and likley mixed with water above as CTD went up</t>
  </si>
  <si>
    <t>BOX_10_42</t>
  </si>
  <si>
    <t>8-31-17 DBO4.3 B8 20M</t>
  </si>
  <si>
    <t>16_7</t>
  </si>
  <si>
    <t>8_31_17_DBO4_3_20m_B8_0.2</t>
  </si>
  <si>
    <t>21.89_45.5</t>
  </si>
  <si>
    <t>BOX_3_80</t>
  </si>
  <si>
    <t>8-16-17 ML3.7 30M</t>
  </si>
  <si>
    <t>Aug 16 2017 11:13</t>
  </si>
  <si>
    <t>53_4</t>
  </si>
  <si>
    <t>53_29.678</t>
  </si>
  <si>
    <t>thermocline/halocline at 25 m</t>
  </si>
  <si>
    <t>BOX_10_15</t>
  </si>
  <si>
    <t>8-31-17 DBO4.3 30M</t>
  </si>
  <si>
    <t>16_5</t>
  </si>
  <si>
    <t>8_31_17_DBO4_3_30m_B6_0.2</t>
  </si>
  <si>
    <t>30.269_45.5</t>
  </si>
  <si>
    <t>BOX_3_81</t>
  </si>
  <si>
    <t>8-16-17 ML3.7 42M</t>
  </si>
  <si>
    <t>Aug 16 2017 11:11</t>
  </si>
  <si>
    <t>53_1</t>
  </si>
  <si>
    <t>53_2</t>
  </si>
  <si>
    <t>53_42.313</t>
  </si>
  <si>
    <t>0 to 5 cm sediment from ML3.7</t>
  </si>
  <si>
    <t>BOX_10_16</t>
  </si>
  <si>
    <t>8-31-17 DBO4.3 43M</t>
  </si>
  <si>
    <t>16_3</t>
  </si>
  <si>
    <t>8_31_17_DBO4_3_43m_B4_0.2</t>
  </si>
  <si>
    <t>42.314_45.5</t>
  </si>
  <si>
    <t>BOX_10_43</t>
  </si>
  <si>
    <t>8-31-17 DBO4.4 B14 3M</t>
  </si>
  <si>
    <t>DBO4.4</t>
  </si>
  <si>
    <t>Aug 31 2017 10:28</t>
  </si>
  <si>
    <t>14_15</t>
  </si>
  <si>
    <t>8_31_17_DBO4_4_3m_B14_0.2</t>
  </si>
  <si>
    <t>3.435_44.8</t>
  </si>
  <si>
    <t>BOX_10_44</t>
  </si>
  <si>
    <t>8-31-17 DBO4.4 B12 10M</t>
  </si>
  <si>
    <t>14_13</t>
  </si>
  <si>
    <t>8_31_17_DBO4_4_10_B12_0.2</t>
  </si>
  <si>
    <t>11.254_44.8</t>
  </si>
  <si>
    <t>BOX_10_17</t>
  </si>
  <si>
    <t>8-31-17 DBO4.4 B10 20M</t>
  </si>
  <si>
    <t>14_11</t>
  </si>
  <si>
    <t>8_31_17_DBO4_4_20m_B10_0.2</t>
  </si>
  <si>
    <t>20.777_44.8</t>
  </si>
  <si>
    <t>BOX_10_18</t>
  </si>
  <si>
    <t>8-31-17 DBO4.4 B8 30M</t>
  </si>
  <si>
    <t>14_7</t>
  </si>
  <si>
    <t>8_31_17_DBO4_4_30m_B8_0.2</t>
  </si>
  <si>
    <t>31.081_44.8</t>
  </si>
  <si>
    <t>BOX_9_78</t>
  </si>
  <si>
    <t>8-31-17 DBO4.4 B6 37M</t>
  </si>
  <si>
    <t>8_31_17_DBO4_4_37m_B6_0.2</t>
  </si>
  <si>
    <t>37.643_44.8</t>
  </si>
  <si>
    <t>14_6</t>
  </si>
  <si>
    <t>BOX_10_19</t>
  </si>
  <si>
    <t>8-31-17 DBO4.4 B4 42M BOTTOM</t>
  </si>
  <si>
    <t>14_3</t>
  </si>
  <si>
    <t>8_31_17_DBO4_4_42m_B4_0.2</t>
  </si>
  <si>
    <t>42.496_44.8</t>
  </si>
  <si>
    <t>BOX_10_20</t>
  </si>
  <si>
    <t>8-30-17 DBO4.5 B14 SURFACE</t>
  </si>
  <si>
    <t>DBO4.5</t>
  </si>
  <si>
    <t>Aug 31 2017 07:39</t>
  </si>
  <si>
    <t>8_30_17_DBO4_5_Surface_B14_0.2</t>
  </si>
  <si>
    <t>4.337_42.1</t>
  </si>
  <si>
    <t>BOX_3_48</t>
  </si>
  <si>
    <t>8-16-17 ML3.9 50M</t>
  </si>
  <si>
    <t>Aug 16 2017 04:25</t>
  </si>
  <si>
    <t>49_12</t>
  </si>
  <si>
    <t>49_5.213</t>
  </si>
  <si>
    <t>T = 5.2 degrees C</t>
  </si>
  <si>
    <t>BOX_10_45</t>
  </si>
  <si>
    <t>8-30-17 DBO4.5 B10 20M</t>
  </si>
  <si>
    <t>12_11</t>
  </si>
  <si>
    <t>8_30_17_DBO4_5_20m_B10_0.2</t>
  </si>
  <si>
    <t>20.18_42.1</t>
  </si>
  <si>
    <t>BOX_3_47</t>
  </si>
  <si>
    <t>8-16-17 ML3.9 21.2M</t>
  </si>
  <si>
    <t>Aug 16 2017 04:21</t>
  </si>
  <si>
    <t>49_9</t>
  </si>
  <si>
    <t>49_8</t>
  </si>
  <si>
    <t>49_20.598</t>
  </si>
  <si>
    <t>BOX_3_49</t>
  </si>
  <si>
    <t>8-16-17 ML3.9 24.5M</t>
  </si>
  <si>
    <t>49_7</t>
  </si>
  <si>
    <t>49_23.574</t>
  </si>
  <si>
    <t>BOX_3_50</t>
  </si>
  <si>
    <t>8-16-17 ML3.9 26.0M</t>
  </si>
  <si>
    <t>Aug 16 2017 04:20</t>
  </si>
  <si>
    <t>49_6</t>
  </si>
  <si>
    <t>49_24.872</t>
  </si>
  <si>
    <t>BOX_3_51</t>
  </si>
  <si>
    <t>8-16-17 ML3.9 27.5M</t>
  </si>
  <si>
    <t>49_3</t>
  </si>
  <si>
    <t>49_5</t>
  </si>
  <si>
    <t>49_26.801</t>
  </si>
  <si>
    <t>BOX_3_52</t>
  </si>
  <si>
    <t>8-16-17 ML3.9 29.7M</t>
  </si>
  <si>
    <t>Aug 16 2017 04:19</t>
  </si>
  <si>
    <t>49_29.638</t>
  </si>
  <si>
    <t>T = 0 degrees C</t>
  </si>
  <si>
    <t>BOX_3_53</t>
  </si>
  <si>
    <t>8-16-17 ML3.9 30.8M</t>
  </si>
  <si>
    <t>49_4</t>
  </si>
  <si>
    <t>49_30.231</t>
  </si>
  <si>
    <t>BOX_10_21</t>
  </si>
  <si>
    <t>8-30-17 DBO4.5 B6 35M</t>
  </si>
  <si>
    <t>8_30_17_DBO4_5_35m_B6_0.2</t>
  </si>
  <si>
    <t>34.858_42.1</t>
  </si>
  <si>
    <t>12_6</t>
  </si>
  <si>
    <t>BOX_3_54</t>
  </si>
  <si>
    <t>8-16-17 ML3.9 38.8M</t>
  </si>
  <si>
    <t>49_1</t>
  </si>
  <si>
    <t>49_2</t>
  </si>
  <si>
    <t>49_37.851</t>
  </si>
  <si>
    <t>BOX_10_22</t>
  </si>
  <si>
    <t>8-30-17 DBO4.5 B4 BOTTOM</t>
  </si>
  <si>
    <t>8_30_17_DBO4_5_Bottom_B4_0.2</t>
  </si>
  <si>
    <t>39.555_42.1</t>
  </si>
  <si>
    <t>BOX_3_10</t>
  </si>
  <si>
    <t>8-15-17 ML3.10 5M</t>
  </si>
  <si>
    <t>Aug 16 2017 01:21</t>
  </si>
  <si>
    <t>47_9</t>
  </si>
  <si>
    <t>47_4.84</t>
  </si>
  <si>
    <t>T = 5 degrees C</t>
  </si>
  <si>
    <t>BOX_3_13</t>
  </si>
  <si>
    <t>8-16-17 ML3.10 3?M</t>
  </si>
  <si>
    <t>Aug 16 2017 01:16</t>
  </si>
  <si>
    <t>47_3</t>
  </si>
  <si>
    <t>47_32.606</t>
  </si>
  <si>
    <t>no volume filtered recorded</t>
  </si>
  <si>
    <t>BOX_10_26</t>
  </si>
  <si>
    <t>8-31-17 DBO4.6 CORE2 BOTTOM WATER</t>
  </si>
  <si>
    <t>10_core</t>
  </si>
  <si>
    <t>BOX_9_79</t>
  </si>
  <si>
    <t>8-31-17 DBO4.6 BOTTOM</t>
  </si>
  <si>
    <t>BOX_5_56</t>
  </si>
  <si>
    <t>9-1-17 DBO5.1 5M</t>
  </si>
  <si>
    <t>DBO5.1</t>
  </si>
  <si>
    <t>Sep 01 2017 23:14</t>
  </si>
  <si>
    <t>30_13</t>
  </si>
  <si>
    <t>9_1_17_DBO5_1_5m_B14_0.2</t>
  </si>
  <si>
    <t>2.139_45.9</t>
  </si>
  <si>
    <t>BOX_10_28</t>
  </si>
  <si>
    <t>9-1-17 DBO5.1 B12 10M</t>
  </si>
  <si>
    <t>30_11</t>
  </si>
  <si>
    <t>9_1_17_DBO5_1_10m_B12_0.2</t>
  </si>
  <si>
    <t>10.308_45.9</t>
  </si>
  <si>
    <t>BOX_9_80</t>
  </si>
  <si>
    <t>9-1-17 DBO5.1 20M</t>
  </si>
  <si>
    <t>30_9</t>
  </si>
  <si>
    <t>9_1_17_DBO5_1_20m_B10_0.2</t>
  </si>
  <si>
    <t>20.05_45.9</t>
  </si>
  <si>
    <t>BOX_9_81</t>
  </si>
  <si>
    <t>9-1-17 DBO5.1 44M</t>
  </si>
  <si>
    <t>30_3</t>
  </si>
  <si>
    <t>9_1_17_DBO5_1_44m_B4_0.2</t>
  </si>
  <si>
    <t>43.822_45.9</t>
  </si>
  <si>
    <t>BOX_10_27</t>
  </si>
  <si>
    <t>8-31-17 DBO5.10 B18 7M</t>
  </si>
  <si>
    <t>DBO5.10</t>
  </si>
  <si>
    <t>Sep 01 2017 03:40</t>
  </si>
  <si>
    <t>21_17</t>
  </si>
  <si>
    <t>8_31_17_DBO5_10_7m_B18_0.2</t>
  </si>
  <si>
    <t>8.096_62.7</t>
  </si>
  <si>
    <t>BOX_10_50</t>
  </si>
  <si>
    <t>8-31-17 DBO5.10 B12 24M</t>
  </si>
  <si>
    <t>21_13</t>
  </si>
  <si>
    <t>8_31_17_DBO5_10_24m_B12_0.2</t>
  </si>
  <si>
    <t>24.179_62.7</t>
  </si>
  <si>
    <t>BOX_5_27</t>
  </si>
  <si>
    <t>8-31-17 DBO5.10 40M B8</t>
  </si>
  <si>
    <t>8_31_17_DBO5_10_40m_B8_0.2</t>
  </si>
  <si>
    <t>40.37_62.7</t>
  </si>
  <si>
    <t>BOX_5_73</t>
  </si>
  <si>
    <t>8-31-17 DBO5.10 59M B4</t>
  </si>
  <si>
    <t>8_31_17_DBO5_10_59m_B4_0.2</t>
  </si>
  <si>
    <t>59.511_62.7</t>
  </si>
  <si>
    <t>BOX_5_57</t>
  </si>
  <si>
    <t>9-1-17 DBO5.3 5M</t>
  </si>
  <si>
    <t>DBO5.3</t>
  </si>
  <si>
    <t>Sep 01 2017 19:29</t>
  </si>
  <si>
    <t>9_1_17_DBO5_3_5m_B20_0.2</t>
  </si>
  <si>
    <t>2.908_88.4</t>
  </si>
  <si>
    <t>28_20</t>
  </si>
  <si>
    <t>BOX_5_17</t>
  </si>
  <si>
    <t>9-1-17 DBO5.3 10M</t>
  </si>
  <si>
    <t>28_17</t>
  </si>
  <si>
    <t>9_1_17_DBO5_3_10m_B18_0.2</t>
  </si>
  <si>
    <t>10.327_88.4</t>
  </si>
  <si>
    <t>BOX_5_18</t>
  </si>
  <si>
    <t>9-1-17 DBO5.3 20M</t>
  </si>
  <si>
    <t>28_15</t>
  </si>
  <si>
    <t>9_1_17_DBO5_3_20m_B16_0.2</t>
  </si>
  <si>
    <t>20.398_88.4</t>
  </si>
  <si>
    <t>BOX_5_58</t>
  </si>
  <si>
    <t>9-1-17 DBO5.3 30M</t>
  </si>
  <si>
    <t>28_13</t>
  </si>
  <si>
    <t>9_1_17_DBO5_3_30m_B14_0.2</t>
  </si>
  <si>
    <t>30.605_88.4</t>
  </si>
  <si>
    <t>BOX_5_19</t>
  </si>
  <si>
    <t>9-1-17 DBO5.3 40M</t>
  </si>
  <si>
    <t>28_11</t>
  </si>
  <si>
    <t>9_1_17_DBO5_3_40m_B12_0.2</t>
  </si>
  <si>
    <t>40.817_88.4</t>
  </si>
  <si>
    <t>BOX_9_82</t>
  </si>
  <si>
    <t>9-1-17 DBO5.3 50M</t>
  </si>
  <si>
    <t>28_9</t>
  </si>
  <si>
    <t>9_1_17_DBO5_3_50m_B10_0.2</t>
  </si>
  <si>
    <t>50.503_88.4</t>
  </si>
  <si>
    <t>BOX_10_10</t>
  </si>
  <si>
    <t>9-1-17 DBO5.3 B8 60M T0-2</t>
  </si>
  <si>
    <t>28_7</t>
  </si>
  <si>
    <t>9_1_17_DBO5_3_60m_B8_0.2</t>
  </si>
  <si>
    <t>61.714_88.4</t>
  </si>
  <si>
    <t>BOX_10_9</t>
  </si>
  <si>
    <t>9-1-17 DBO5.3 B8 60M T0-1</t>
  </si>
  <si>
    <t>BOX_10_91</t>
  </si>
  <si>
    <t>9-1-17 DBO5.3 B8 60M T48-1</t>
  </si>
  <si>
    <t>BOX_10_92</t>
  </si>
  <si>
    <t>9-1-17 DBO5.3 B8 60M T48-2</t>
  </si>
  <si>
    <t>BOX_9_83</t>
  </si>
  <si>
    <t>9-1-17 DBO5.3 84M</t>
  </si>
  <si>
    <t>28_3</t>
  </si>
  <si>
    <t>9_1_17_DBO5_3_84m_B4_0.2</t>
  </si>
  <si>
    <t>84.53_88.4</t>
  </si>
  <si>
    <t>BOX_5_59</t>
  </si>
  <si>
    <t>9-1-17 DBO5.5 B21 4M</t>
  </si>
  <si>
    <t>DBO5.5</t>
  </si>
  <si>
    <t>Sep 01 2017 14:06</t>
  </si>
  <si>
    <t>26_23</t>
  </si>
  <si>
    <t>9_1_17_DBO5_5_4m_B24_0.2</t>
  </si>
  <si>
    <t>3.703_124.6</t>
  </si>
  <si>
    <t>BOX_5_20</t>
  </si>
  <si>
    <t>9-1-17 DBO5.5 B20 20M</t>
  </si>
  <si>
    <t>26_19</t>
  </si>
  <si>
    <t>9_1_17_DBO5_5_20m_B20_0.2</t>
  </si>
  <si>
    <t>20.68_124.6</t>
  </si>
  <si>
    <t>BOX_5_60</t>
  </si>
  <si>
    <t>9-1-17 DBO5.5 B18 30M</t>
  </si>
  <si>
    <t>26_17</t>
  </si>
  <si>
    <t>9_1_17_DBO5_5_30m_B18_0.2</t>
  </si>
  <si>
    <t>30.541_124.6</t>
  </si>
  <si>
    <t>BOX_5_61</t>
  </si>
  <si>
    <t>9-1-17 DBO5.5 B16 40M</t>
  </si>
  <si>
    <t>26_15</t>
  </si>
  <si>
    <t>9_1_17_DBO5_5_40m_B16_0.2</t>
  </si>
  <si>
    <t>39.907_124.6</t>
  </si>
  <si>
    <t>BOX_10_30</t>
  </si>
  <si>
    <t>9-1-17 DBO5.5 B1 75M</t>
  </si>
  <si>
    <t>26_11</t>
  </si>
  <si>
    <t>9_1_17_DBO5_5_75m_B12_0.2</t>
  </si>
  <si>
    <t>76.928_124.6</t>
  </si>
  <si>
    <t>BOX_9_84</t>
  </si>
  <si>
    <t>9-1-17 DBO5.5 B4 118M</t>
  </si>
  <si>
    <t>26_3</t>
  </si>
  <si>
    <t>9_1_17_DBO5_5_118m_B4_0.2</t>
  </si>
  <si>
    <t>118.177_124.6</t>
  </si>
  <si>
    <t>BOX_5_1</t>
  </si>
  <si>
    <t>9-1-17 DBO5.6 CORE1 BOTTOM WATER</t>
  </si>
  <si>
    <t>25_core</t>
  </si>
  <si>
    <t>BOX_5_22</t>
  </si>
  <si>
    <t>9-1-17 DBO5.7 4M B16</t>
  </si>
  <si>
    <t>DBO5.7</t>
  </si>
  <si>
    <t>Sep 01 2017 09:18</t>
  </si>
  <si>
    <t>24_15</t>
  </si>
  <si>
    <t>9_1_17_DBO5_7_4m_B16_0.2</t>
  </si>
  <si>
    <t>4.195_83.8</t>
  </si>
  <si>
    <t>BOX_10_33</t>
  </si>
  <si>
    <t>9-1-17 DBO5.7 B14 11M</t>
  </si>
  <si>
    <t>24_13</t>
  </si>
  <si>
    <t>9_1_17_DBO5_7_11m_B14_0.2</t>
  </si>
  <si>
    <t>9.538_83.8</t>
  </si>
  <si>
    <t>BOX_5_23</t>
  </si>
  <si>
    <t>9-1-17 DBO5.7 20M B12</t>
  </si>
  <si>
    <t>24_11</t>
  </si>
  <si>
    <t>9_1_17_DBO5_7_20m_B12_0.2</t>
  </si>
  <si>
    <t>20.799_83.8</t>
  </si>
  <si>
    <t>BOX_5_64</t>
  </si>
  <si>
    <t>9-1-17 DBO5.7 31M B10</t>
  </si>
  <si>
    <t>9_1_17_DBO5_7_31m_B10_0.2</t>
  </si>
  <si>
    <t>31.793_83.8</t>
  </si>
  <si>
    <t>BOX_5_65</t>
  </si>
  <si>
    <t>9-1-17 DBO5.7 40M B8</t>
  </si>
  <si>
    <t>24_7</t>
  </si>
  <si>
    <t>9_1_17_DBO5_7_40m_B8_0.2</t>
  </si>
  <si>
    <t>41.369_83.8</t>
  </si>
  <si>
    <t>BOX_5_66</t>
  </si>
  <si>
    <t>9-1-17 DBO5.7 50M B6</t>
  </si>
  <si>
    <t>9_1_17_DBO5_7_50m_B6_0.2</t>
  </si>
  <si>
    <t>52.146_83.8</t>
  </si>
  <si>
    <t>BOX_5_67</t>
  </si>
  <si>
    <t>9-1-17 DBO5.7 78M B4</t>
  </si>
  <si>
    <t>24_3</t>
  </si>
  <si>
    <t>9_1_17_DBO5_7_78m_B4_0.2</t>
  </si>
  <si>
    <t>78.674_83.8</t>
  </si>
  <si>
    <t>BOX_5_24</t>
  </si>
  <si>
    <t>9-1-17 DBO5.8 5M B16</t>
  </si>
  <si>
    <t>DBO5.8</t>
  </si>
  <si>
    <t>Sep 01 2017 07:31</t>
  </si>
  <si>
    <t>23_15</t>
  </si>
  <si>
    <t>9_1_17_DBO5_8_5m_B16_0.2</t>
  </si>
  <si>
    <t>3.922_71.9</t>
  </si>
  <si>
    <t>BOX_10_34</t>
  </si>
  <si>
    <t>9-1-17 DBO5.8 B14 10M</t>
  </si>
  <si>
    <t>23_13</t>
  </si>
  <si>
    <t>9_1_17_DBO5_8_10m_B14_0.2</t>
  </si>
  <si>
    <t>11.867_71.9</t>
  </si>
  <si>
    <t>BOX_5_68</t>
  </si>
  <si>
    <t>9-1-17 DBO5.8 20M B12</t>
  </si>
  <si>
    <t>9_1_17_DBO5_8_20m_B12_0.2</t>
  </si>
  <si>
    <t>23.218_71.9</t>
  </si>
  <si>
    <t>BOX_9_86</t>
  </si>
  <si>
    <t>9-1-17 DBO5.8 30M B10</t>
  </si>
  <si>
    <t>9_1_17_DBO5_8_30m_B10_0.2</t>
  </si>
  <si>
    <t>30.047_71.9</t>
  </si>
  <si>
    <t>BOX_10_47</t>
  </si>
  <si>
    <t>9-1-17 DBO5.8 B8 40M</t>
  </si>
  <si>
    <t>9_1_17_DBO5_8_40m_B8_0.2</t>
  </si>
  <si>
    <t>42.061_71.9</t>
  </si>
  <si>
    <t>BOX_10_48</t>
  </si>
  <si>
    <t>9-1-17 DBO5.8 B6 50M</t>
  </si>
  <si>
    <t>9_1_17_DBO5_8_50m_B6_0.2</t>
  </si>
  <si>
    <t>51.687_71.9</t>
  </si>
  <si>
    <t>BOX_5_25</t>
  </si>
  <si>
    <t>9-1-17 DBO5.8 67M B4</t>
  </si>
  <si>
    <t>9_1_17_DBO5_8_67m_B4_0.2</t>
  </si>
  <si>
    <t>66.182_71.9</t>
  </si>
  <si>
    <t>BOX_10_29</t>
  </si>
  <si>
    <t>8-31-17 DBO5.9 B16 6M</t>
  </si>
  <si>
    <t>DBO5.9</t>
  </si>
  <si>
    <t>Sep 01 2017 05:55</t>
  </si>
  <si>
    <t>8_31_17_DBO5_9_6m_B16_0.2</t>
  </si>
  <si>
    <t>7.207_64.6</t>
  </si>
  <si>
    <t>BOX_5_69</t>
  </si>
  <si>
    <t>8-31-17 DBO5.9 10M B14</t>
  </si>
  <si>
    <t>22_13</t>
  </si>
  <si>
    <t>8_31_17_DBO5_9_10m_B14_0.2</t>
  </si>
  <si>
    <t>9.544_64.6</t>
  </si>
  <si>
    <t>BOX_5_70</t>
  </si>
  <si>
    <t>8-31-17 DBO5.9 19M B12</t>
  </si>
  <si>
    <t>22_11</t>
  </si>
  <si>
    <t>8_31_17_DBO5_9_19m_B12_0.2</t>
  </si>
  <si>
    <t>19.26_64.6</t>
  </si>
  <si>
    <t>BOX_5_26</t>
  </si>
  <si>
    <t>8-31-17 DBO5.9 30M B10</t>
  </si>
  <si>
    <t>22_9</t>
  </si>
  <si>
    <t>8_31_17_DBO5_9_30m_B10_0.2</t>
  </si>
  <si>
    <t>30.261_64.6</t>
  </si>
  <si>
    <t>BOX_5_71</t>
  </si>
  <si>
    <t>8-31-17 DBO5.9 40M B8</t>
  </si>
  <si>
    <t>22_7</t>
  </si>
  <si>
    <t>8_31_17_DBO5_9_40m_B8_0.2</t>
  </si>
  <si>
    <t>39.897_64.6</t>
  </si>
  <si>
    <t>BOX_10_49</t>
  </si>
  <si>
    <t>8-31-17 DBO5.9 B6 50M</t>
  </si>
  <si>
    <t>22_5</t>
  </si>
  <si>
    <t>8_31_17_DBO5_9_50m_B6_0.2</t>
  </si>
  <si>
    <t>50.891_64.6</t>
  </si>
  <si>
    <t>BOX_5_72</t>
  </si>
  <si>
    <t>8-31-17 DBO5.9 62M B4</t>
  </si>
  <si>
    <t>22_3</t>
  </si>
  <si>
    <t>8_31_17_DBO5_9_62m_B4_0.2</t>
  </si>
  <si>
    <t>62.374_64.6</t>
  </si>
  <si>
    <t>BOX_3_18</t>
  </si>
  <si>
    <t>8-17-17 ML1.1 6M SURFACE</t>
  </si>
  <si>
    <t>ML1.1</t>
  </si>
  <si>
    <t>Aug 17 2017 15:17</t>
  </si>
  <si>
    <t>63_3</t>
  </si>
  <si>
    <t>63_4</t>
  </si>
  <si>
    <t>63_6.449</t>
  </si>
  <si>
    <t>decrdase in chl from surf to bottom same for transmissometer</t>
  </si>
  <si>
    <t>BOX_3_19</t>
  </si>
  <si>
    <t>8-17-17 ML1.1 12M BOTTOM</t>
  </si>
  <si>
    <t>Aug 17 2017 15:15</t>
  </si>
  <si>
    <t>63_1</t>
  </si>
  <si>
    <t>63_12.32</t>
  </si>
  <si>
    <t>clogged filters quickly</t>
  </si>
  <si>
    <t>BOX_2_79</t>
  </si>
  <si>
    <t>8-19-17 ML1.10 5M SURFACE</t>
  </si>
  <si>
    <t>ML1.10</t>
  </si>
  <si>
    <t>Aug 18 2017 19:15</t>
  </si>
  <si>
    <t>72_9</t>
  </si>
  <si>
    <t>72_4.668</t>
  </si>
  <si>
    <t>BOX_3_42</t>
  </si>
  <si>
    <t>8-19-17 ML1.10 20M</t>
  </si>
  <si>
    <t>Aug 18 2017 19:12</t>
  </si>
  <si>
    <t>72_20.178</t>
  </si>
  <si>
    <t>BOX_3_43</t>
  </si>
  <si>
    <t>BOX_3_44</t>
  </si>
  <si>
    <t>8-19-17 ML1.10 39M BOTTOM</t>
  </si>
  <si>
    <t>Aug 18 2017 19:10</t>
  </si>
  <si>
    <t>72_39.086</t>
  </si>
  <si>
    <t>clines at 25 m</t>
  </si>
  <si>
    <t>BOX_3_57</t>
  </si>
  <si>
    <t>8-19-17 ML1.12 5M</t>
  </si>
  <si>
    <t>ML1.12</t>
  </si>
  <si>
    <t>Aug 19 2017 01:19</t>
  </si>
  <si>
    <t>74_9</t>
  </si>
  <si>
    <t>74_5.511</t>
  </si>
  <si>
    <t>BOX_3_58</t>
  </si>
  <si>
    <t>8-19-17 ML1.12 5M BH1</t>
  </si>
  <si>
    <t>BOX_3_59</t>
  </si>
  <si>
    <t>8-19-17 ML1.12 5M BH2</t>
  </si>
  <si>
    <t>BOX_3_60</t>
  </si>
  <si>
    <t>8-19-17 ML1.12 20M</t>
  </si>
  <si>
    <t>Aug 19 2017 01:16</t>
  </si>
  <si>
    <t>74_19.234</t>
  </si>
  <si>
    <t>BOX_3_61</t>
  </si>
  <si>
    <t>BOX_3_62</t>
  </si>
  <si>
    <t>8-19-17 ML1.12 30M BH2</t>
  </si>
  <si>
    <t>Aug 19 2017 01:15</t>
  </si>
  <si>
    <t>74_3</t>
  </si>
  <si>
    <t>74_29.311</t>
  </si>
  <si>
    <t>BOX_9_87</t>
  </si>
  <si>
    <t>8-19-17 ML1.12 30M BH</t>
  </si>
  <si>
    <t>BOX_3_63</t>
  </si>
  <si>
    <t>8-19-17 ML1.12 44M BH1</t>
  </si>
  <si>
    <t>Aug 19 2017 01:13</t>
  </si>
  <si>
    <t>74_44.051</t>
  </si>
  <si>
    <t>0 to 5 cm sediment from ML1.12</t>
  </si>
  <si>
    <t>BOX_3_64</t>
  </si>
  <si>
    <t>8-19-17 ML1.12 44M</t>
  </si>
  <si>
    <t>BOX_9_95</t>
  </si>
  <si>
    <t>8-19-17 ML1.12 44M BH2</t>
  </si>
  <si>
    <t>BOX_2_75</t>
  </si>
  <si>
    <t>8-18-17 ML1.3 5M SURFACE</t>
  </si>
  <si>
    <t>ML1.3</t>
  </si>
  <si>
    <t>Aug 17 2017 20:25</t>
  </si>
  <si>
    <t>65_7</t>
  </si>
  <si>
    <t>65_4.942</t>
  </si>
  <si>
    <t>T = 8 degrees C</t>
  </si>
  <si>
    <t>BOX_3_67</t>
  </si>
  <si>
    <t>8-18-17 ML1.3 10M</t>
  </si>
  <si>
    <t>Aug 17 2017 20:24</t>
  </si>
  <si>
    <t>65_5</t>
  </si>
  <si>
    <t>65_10.223</t>
  </si>
  <si>
    <t>BOX_3_68</t>
  </si>
  <si>
    <t>8-18-17 ML1.3 20M</t>
  </si>
  <si>
    <t>Aug 17 2017 20:22</t>
  </si>
  <si>
    <t>65_3</t>
  </si>
  <si>
    <t>65_19.838</t>
  </si>
  <si>
    <t>broad chl peak 10 to 15 micrograms/L</t>
  </si>
  <si>
    <t>BOX_3_69</t>
  </si>
  <si>
    <t>8-18-17 ML1.3 30M</t>
  </si>
  <si>
    <t>Aug 17 2017 20:21</t>
  </si>
  <si>
    <t>65_2</t>
  </si>
  <si>
    <t>65_1</t>
  </si>
  <si>
    <t>65_29.305</t>
  </si>
  <si>
    <t>T = 6 degrees C</t>
  </si>
  <si>
    <t>BOX_3_70</t>
  </si>
  <si>
    <t>8-18-17 ML1.4 10M</t>
  </si>
  <si>
    <t>ML1.4</t>
  </si>
  <si>
    <t>Aug 17 2017 22:37</t>
  </si>
  <si>
    <t>66_5</t>
  </si>
  <si>
    <t>66_9.798</t>
  </si>
  <si>
    <t>BOX_3_71</t>
  </si>
  <si>
    <t>8-18-17 ML1.4 20M</t>
  </si>
  <si>
    <t>Aug 17 2017 22:36</t>
  </si>
  <si>
    <t>66_3</t>
  </si>
  <si>
    <t>66_20.739</t>
  </si>
  <si>
    <t>BOX_3_72</t>
  </si>
  <si>
    <t>8-18-17 ML1.4 34M</t>
  </si>
  <si>
    <t>Aug 17 2017 22:34</t>
  </si>
  <si>
    <t>66_1</t>
  </si>
  <si>
    <t>66_34.055</t>
  </si>
  <si>
    <t>BOX_4_8</t>
  </si>
  <si>
    <t>8-18-17 ML1.5 5M</t>
  </si>
  <si>
    <t>ML1.5</t>
  </si>
  <si>
    <t>Aug 18 2017 01:25</t>
  </si>
  <si>
    <t>67_9</t>
  </si>
  <si>
    <t>67_5.39</t>
  </si>
  <si>
    <t>chl in surface</t>
  </si>
  <si>
    <t>BOX_4_9</t>
  </si>
  <si>
    <t>8-18-17 ML1.5 20M</t>
  </si>
  <si>
    <t>Aug 18 2017 01:22</t>
  </si>
  <si>
    <t>67_5</t>
  </si>
  <si>
    <t>67_21.174</t>
  </si>
  <si>
    <t>BOX_4_10</t>
  </si>
  <si>
    <t>8-18-17 ML1.5 30M</t>
  </si>
  <si>
    <t>Aug 18 2017 01:21</t>
  </si>
  <si>
    <t>67_3</t>
  </si>
  <si>
    <t>67_4</t>
  </si>
  <si>
    <t>67_29.505</t>
  </si>
  <si>
    <t>BOX_3_73</t>
  </si>
  <si>
    <t>8-18-17 ML1.5 42M</t>
  </si>
  <si>
    <t>Aug 18 2017 01:19</t>
  </si>
  <si>
    <t>67_1</t>
  </si>
  <si>
    <t>67_41.727</t>
  </si>
  <si>
    <t>no date/time recorded</t>
  </si>
  <si>
    <t>BOX_2_76</t>
  </si>
  <si>
    <t>8-18-17 ML1.7 5M SURFACE</t>
  </si>
  <si>
    <t>ML1.7</t>
  </si>
  <si>
    <t>Aug 18 2017 08:36</t>
  </si>
  <si>
    <t>69_9</t>
  </si>
  <si>
    <t>69_4.993</t>
  </si>
  <si>
    <t>BOX_3_38</t>
  </si>
  <si>
    <t>8-18-17 ML1.7 20M</t>
  </si>
  <si>
    <t>Aug 18 2017 08:33</t>
  </si>
  <si>
    <t>69_5</t>
  </si>
  <si>
    <t>69_19.866</t>
  </si>
  <si>
    <t>BOX_3_39</t>
  </si>
  <si>
    <t>BOX_3_41</t>
  </si>
  <si>
    <t>8-18-17 ML1.7 30M</t>
  </si>
  <si>
    <t>Aug 18 2017 08:32</t>
  </si>
  <si>
    <t>69_3</t>
  </si>
  <si>
    <t>69_4</t>
  </si>
  <si>
    <t>69_29.571</t>
  </si>
  <si>
    <t>0 to 5 cm from ML1.7</t>
  </si>
  <si>
    <t>BOX_2_77</t>
  </si>
  <si>
    <t>8-18-17 ML1.7 BOTTOM</t>
  </si>
  <si>
    <t>Aug 18 2017 08:30</t>
  </si>
  <si>
    <t>69_1</t>
  </si>
  <si>
    <t>69_37.406</t>
  </si>
  <si>
    <t>no volume recorded</t>
  </si>
  <si>
    <t>BOX_2_81</t>
  </si>
  <si>
    <t>8-17-17 ML3.1 5M BH</t>
  </si>
  <si>
    <t>ML3.1</t>
  </si>
  <si>
    <t>Aug 17 2017 06:12</t>
  </si>
  <si>
    <t>62_5</t>
  </si>
  <si>
    <t>62_6</t>
  </si>
  <si>
    <t>62_4.733</t>
  </si>
  <si>
    <t>BOX_3_21</t>
  </si>
  <si>
    <t>8-17-17 ML3.1 5M</t>
  </si>
  <si>
    <t>BOX_3_22</t>
  </si>
  <si>
    <t>BOX_3_24</t>
  </si>
  <si>
    <t>BOX_3_25</t>
  </si>
  <si>
    <t>BOX_2_80</t>
  </si>
  <si>
    <t>8-17-17 ML3.1 15M</t>
  </si>
  <si>
    <t>Aug 17 2017 06:10</t>
  </si>
  <si>
    <t>62_1</t>
  </si>
  <si>
    <t>62_14.887</t>
  </si>
  <si>
    <t>no chl max, warm water</t>
  </si>
  <si>
    <t>BOX_3_23</t>
  </si>
  <si>
    <t>BOX_3_8</t>
  </si>
  <si>
    <t>8-16-17 ML3.11 5M</t>
  </si>
  <si>
    <t>ML3.11</t>
  </si>
  <si>
    <t>Aug 15 2017 22:04</t>
  </si>
  <si>
    <t>46_9</t>
  </si>
  <si>
    <t>46_5.066</t>
  </si>
  <si>
    <t>BOX_3_11</t>
  </si>
  <si>
    <t>8-16-17 ML3.11 30M</t>
  </si>
  <si>
    <t>Aug 15 2017 21:59</t>
  </si>
  <si>
    <t>46_3</t>
  </si>
  <si>
    <t>46_31.812</t>
  </si>
  <si>
    <t>BOX_3_9</t>
  </si>
  <si>
    <t>8-16-17 ML3.11 34M BOTTOM</t>
  </si>
  <si>
    <t>Aug 15 2017 21:57</t>
  </si>
  <si>
    <t>46_1</t>
  </si>
  <si>
    <t>46_2</t>
  </si>
  <si>
    <t>46_35.49</t>
  </si>
  <si>
    <t>0 t 5 cm sediment from ML3.11</t>
  </si>
  <si>
    <t>BOX_4_11</t>
  </si>
  <si>
    <t>8-15-17 ML3.14 5M SURFACE1</t>
  </si>
  <si>
    <t>ML3.14</t>
  </si>
  <si>
    <t>Aug 15 2017 11:51</t>
  </si>
  <si>
    <t>surf 1</t>
  </si>
  <si>
    <t>43_9</t>
  </si>
  <si>
    <t>43_5.121</t>
  </si>
  <si>
    <t>BOX_4_12</t>
  </si>
  <si>
    <t>8-15-17 ML3.14 5M SURFACE2</t>
  </si>
  <si>
    <t>BOX_4_13</t>
  </si>
  <si>
    <t>8-15-17 ML3.14 5M SURFACE3</t>
  </si>
  <si>
    <t>BOX_4_14</t>
  </si>
  <si>
    <t>8-15-17 ML3.14 30M CHLMAX1</t>
  </si>
  <si>
    <t>Aug 15 2017 11:46</t>
  </si>
  <si>
    <t>chl max 1</t>
  </si>
  <si>
    <t>43_3</t>
  </si>
  <si>
    <t>43_29.62</t>
  </si>
  <si>
    <t>BOX_4_15</t>
  </si>
  <si>
    <t>8-15-17 ML3.14 30M CHLMAX2</t>
  </si>
  <si>
    <t>BOX_4_16</t>
  </si>
  <si>
    <t>8-15-17 ML3.14 30M CHLMAX3</t>
  </si>
  <si>
    <t>BOX_4_17</t>
  </si>
  <si>
    <t>8-15-17 ML3.14 40M BOTTOM1</t>
  </si>
  <si>
    <t>Aug 15 2017 11:45</t>
  </si>
  <si>
    <t>bottom 1</t>
  </si>
  <si>
    <t>43_39.8</t>
  </si>
  <si>
    <t>more exact samples for Brandon</t>
  </si>
  <si>
    <t>BOX_4_18</t>
  </si>
  <si>
    <t>8-15-17 ML3.14 40M BOTTOM2</t>
  </si>
  <si>
    <t>BOX_4_19</t>
  </si>
  <si>
    <t>8-15-17 ML3.14 40M BOTTOM3</t>
  </si>
  <si>
    <t>BOX_3_26</t>
  </si>
  <si>
    <t>8-17-17 ML3.2 5M</t>
  </si>
  <si>
    <t>ML3.2</t>
  </si>
  <si>
    <t>Aug 17 2017 03:29</t>
  </si>
  <si>
    <t>61_7</t>
  </si>
  <si>
    <t>61_4.826</t>
  </si>
  <si>
    <t>BOX_3_27</t>
  </si>
  <si>
    <t>8-17-17 ML3.2 10M</t>
  </si>
  <si>
    <t>Aug 17 2017 03:28</t>
  </si>
  <si>
    <t>61_5</t>
  </si>
  <si>
    <t>61_10.371</t>
  </si>
  <si>
    <t>BOX_3_28</t>
  </si>
  <si>
    <t>8-17-17 ML3.2 20M</t>
  </si>
  <si>
    <t>Aug 17 2017 03:26</t>
  </si>
  <si>
    <t>61_3</t>
  </si>
  <si>
    <t>61_20.648</t>
  </si>
  <si>
    <t>well mixed below 15 m, no chl max</t>
  </si>
  <si>
    <t>BOX_3_29</t>
  </si>
  <si>
    <t>8-17-17 ML3.2 26M</t>
  </si>
  <si>
    <t>Aug 17 2017 03:25</t>
  </si>
  <si>
    <t>61_1</t>
  </si>
  <si>
    <t>61_26.148</t>
  </si>
  <si>
    <t>AMBON_1_26</t>
  </si>
  <si>
    <t>8-12-17 ML4.1 5M SURFACE</t>
  </si>
  <si>
    <t>ML4.1</t>
  </si>
  <si>
    <t>Aug 12 2017 10:40</t>
  </si>
  <si>
    <t>28_5.046</t>
  </si>
  <si>
    <t>animal sample: demospongiae</t>
  </si>
  <si>
    <t>BOX_5_12</t>
  </si>
  <si>
    <t>AMBON_1_25</t>
  </si>
  <si>
    <t>8-12-17 ML4.1 26M BOTTOM</t>
  </si>
  <si>
    <t>Aug 12 2017 10:37</t>
  </si>
  <si>
    <t>28_1</t>
  </si>
  <si>
    <t>28_2</t>
  </si>
  <si>
    <t>28_25.889</t>
  </si>
  <si>
    <t>well mixed</t>
  </si>
  <si>
    <t>BOX_5_13</t>
  </si>
  <si>
    <t>AMBON_2_54</t>
  </si>
  <si>
    <t>8-13-17 ML4.10 5M SURFACE</t>
  </si>
  <si>
    <t>ML4.10</t>
  </si>
  <si>
    <t>Aug 13 2017 11:36</t>
  </si>
  <si>
    <t>34_9</t>
  </si>
  <si>
    <t>34_5.048</t>
  </si>
  <si>
    <t>AMBON_2_55</t>
  </si>
  <si>
    <t>8-13-17 ML4.10 20M</t>
  </si>
  <si>
    <t>Aug 13 2017 11:34</t>
  </si>
  <si>
    <t>34_5</t>
  </si>
  <si>
    <t>34_20.389</t>
  </si>
  <si>
    <t>AMBON_2_38</t>
  </si>
  <si>
    <t>8-13-17 ML4.10 23M</t>
  </si>
  <si>
    <t>Aug 13 2017 11:32</t>
  </si>
  <si>
    <t>34_3</t>
  </si>
  <si>
    <t>34_23.769</t>
  </si>
  <si>
    <t>AMBON_2_39</t>
  </si>
  <si>
    <t>8-13-17 ML4.10 30M BOTTOM</t>
  </si>
  <si>
    <t>Aug 13 2017 11:31</t>
  </si>
  <si>
    <t>34_1</t>
  </si>
  <si>
    <t>34_29.821</t>
  </si>
  <si>
    <t>0 to 5 cm sediment from ML4.10</t>
  </si>
  <si>
    <t>AMBON_2_35</t>
  </si>
  <si>
    <t>8-14-17 ML4.13 5M</t>
  </si>
  <si>
    <t>ML4.13</t>
  </si>
  <si>
    <t>Aug 13 2017 21:44</t>
  </si>
  <si>
    <t>37_11</t>
  </si>
  <si>
    <t>37_4.297</t>
  </si>
  <si>
    <t>AMBON_2_34</t>
  </si>
  <si>
    <t>8-14-17 ML4.13 20M</t>
  </si>
  <si>
    <t>Aug 13 2017 21:41</t>
  </si>
  <si>
    <t>37_7</t>
  </si>
  <si>
    <t>37_19.578</t>
  </si>
  <si>
    <t>T = 2 degrees C at bottom, T = 6 degrees C at surface</t>
  </si>
  <si>
    <t>AMBON_2_31</t>
  </si>
  <si>
    <t>8-14-17 ML4.13 34M CHLMAX</t>
  </si>
  <si>
    <t>Aug 13 2017 21:39</t>
  </si>
  <si>
    <t>37_5</t>
  </si>
  <si>
    <t>37_3</t>
  </si>
  <si>
    <t>37_33.913</t>
  </si>
  <si>
    <t>0 to 5 cm sediment from ML4.13</t>
  </si>
  <si>
    <t>AMBON_2_33</t>
  </si>
  <si>
    <t>8-14-17 ML4.13 41M BOTTOM</t>
  </si>
  <si>
    <t>Aug 13 2017 21:37</t>
  </si>
  <si>
    <t>37_1</t>
  </si>
  <si>
    <t>37_40.582</t>
  </si>
  <si>
    <t>AMBON_1_24</t>
  </si>
  <si>
    <t>8-14-17 ML4.14 5M</t>
  </si>
  <si>
    <t>ML4.14</t>
  </si>
  <si>
    <t>Aug 14 2017 00:44</t>
  </si>
  <si>
    <t>38_11</t>
  </si>
  <si>
    <t>38_4.617</t>
  </si>
  <si>
    <t>BOX_3_2</t>
  </si>
  <si>
    <t>8-14-17 ML4.14 5M BH1</t>
  </si>
  <si>
    <t>BOX_3_3</t>
  </si>
  <si>
    <t>8-13-17 ML4.14 5M BH2</t>
  </si>
  <si>
    <t>AMBON_1_22</t>
  </si>
  <si>
    <t>8-14-17 ML4.14 10M</t>
  </si>
  <si>
    <t>Aug 14 2017 00:43</t>
  </si>
  <si>
    <t>38_9</t>
  </si>
  <si>
    <t>38_9.903</t>
  </si>
  <si>
    <t>BOX_3_6</t>
  </si>
  <si>
    <t>8-14-17 ML4.14 15M BH1</t>
  </si>
  <si>
    <t>AMBON_1_21</t>
  </si>
  <si>
    <t>8-14-17 ML4.14 20M</t>
  </si>
  <si>
    <t>Aug 14 2017 00:41</t>
  </si>
  <si>
    <t>38_7</t>
  </si>
  <si>
    <t>38_20.488</t>
  </si>
  <si>
    <t>AMBON_1_20</t>
  </si>
  <si>
    <t>8-14-17 ML4.14 30M</t>
  </si>
  <si>
    <t>Aug 14 2017 00:40</t>
  </si>
  <si>
    <t>38_5</t>
  </si>
  <si>
    <t>38_30.296</t>
  </si>
  <si>
    <t>BOX_3_4</t>
  </si>
  <si>
    <t>8-14-17 ML4.14 30M BH1</t>
  </si>
  <si>
    <t>BOX_3_5</t>
  </si>
  <si>
    <t>8-14-17 ML4.14 30M BH2</t>
  </si>
  <si>
    <t>AMBON_1_19</t>
  </si>
  <si>
    <t>8-14-17 ML4.14 40M</t>
  </si>
  <si>
    <t>Aug 14 2017 00:38</t>
  </si>
  <si>
    <t>38_3</t>
  </si>
  <si>
    <t>38_38.954</t>
  </si>
  <si>
    <t>AMBON_2_21</t>
  </si>
  <si>
    <t>8-14-17 ML4.14 45M</t>
  </si>
  <si>
    <t>Aug 14 2017 00:37</t>
  </si>
  <si>
    <t>38_1</t>
  </si>
  <si>
    <t>38_45.794</t>
  </si>
  <si>
    <t>BOX_3_7</t>
  </si>
  <si>
    <t>8-14-17 ML4.14 4?M BH2</t>
  </si>
  <si>
    <t>AMBON_1_28</t>
  </si>
  <si>
    <t>8-12-17 ML4.2 5M SURFACE</t>
  </si>
  <si>
    <t>ML4.2</t>
  </si>
  <si>
    <t>Aug 12 2017 08:47</t>
  </si>
  <si>
    <t>27_11</t>
  </si>
  <si>
    <t>27_12</t>
  </si>
  <si>
    <t>27_5.103</t>
  </si>
  <si>
    <t>BOX_5_3</t>
  </si>
  <si>
    <t>AMBON_1_27</t>
  </si>
  <si>
    <t>8-12-17 ML4.2 15M CHLMAX</t>
  </si>
  <si>
    <t>Aug 12 2017 08:44</t>
  </si>
  <si>
    <t>27_7</t>
  </si>
  <si>
    <t>27_14.642</t>
  </si>
  <si>
    <t>BOX_5_2</t>
  </si>
  <si>
    <t>AMBON_1_30</t>
  </si>
  <si>
    <t>8-12-17 ML4.2 20M</t>
  </si>
  <si>
    <t>Aug 12 2017 08:43</t>
  </si>
  <si>
    <t>27_21.851</t>
  </si>
  <si>
    <t>BOX_5_14</t>
  </si>
  <si>
    <t>AMBON_1_29</t>
  </si>
  <si>
    <t>8-12-17 ML4.2 41M BOTTOM</t>
  </si>
  <si>
    <t>Aug 12 2017 08:39</t>
  </si>
  <si>
    <t>27_41.153</t>
  </si>
  <si>
    <t>BOX_5_15</t>
  </si>
  <si>
    <t>AMBON_1_78</t>
  </si>
  <si>
    <t>8-12-17 ML4.3 5M SURFACE</t>
  </si>
  <si>
    <t>ML4.3</t>
  </si>
  <si>
    <t>Aug 12 2017 05:16</t>
  </si>
  <si>
    <t>26_5.116</t>
  </si>
  <si>
    <t>AMBON_1_89</t>
  </si>
  <si>
    <t>8-12-17 ML4.3 33M</t>
  </si>
  <si>
    <t>Aug 12 2017 05:11</t>
  </si>
  <si>
    <t>26_5</t>
  </si>
  <si>
    <t>26_33.129</t>
  </si>
  <si>
    <t>animal sample: sea urchin gut</t>
  </si>
  <si>
    <t>AMBON_1_90</t>
  </si>
  <si>
    <t>8-12-17 ML4.3 52M</t>
  </si>
  <si>
    <t>Aug 12 2017 05:08</t>
  </si>
  <si>
    <t>26_1</t>
  </si>
  <si>
    <t>26_52.489</t>
  </si>
  <si>
    <t>samples taken at head of Barrow Canyon</t>
  </si>
  <si>
    <t>AMBON_1_31</t>
  </si>
  <si>
    <t>8-13-17 ML4.5 5M SURFACE</t>
  </si>
  <si>
    <t>ML4.5</t>
  </si>
  <si>
    <t>Aug 12 2017 17:35</t>
  </si>
  <si>
    <t>29_11</t>
  </si>
  <si>
    <t>29_4.304</t>
  </si>
  <si>
    <t>BOX_4_44</t>
  </si>
  <si>
    <t>AMBON_1_32</t>
  </si>
  <si>
    <t>8-13-17 ML4.5 30M</t>
  </si>
  <si>
    <t>Aug 12 2017 17:31</t>
  </si>
  <si>
    <t>29_5</t>
  </si>
  <si>
    <t>29_29.749</t>
  </si>
  <si>
    <t>BOX_4_45</t>
  </si>
  <si>
    <t>AMBON_1_33</t>
  </si>
  <si>
    <t>8-13-17 ML4.5 45M BOTTOM</t>
  </si>
  <si>
    <t>Aug 12 2017 17:28</t>
  </si>
  <si>
    <t>29_1</t>
  </si>
  <si>
    <t>29_44.679</t>
  </si>
  <si>
    <t>BOX_4_46</t>
  </si>
  <si>
    <t>AMBON_1_34</t>
  </si>
  <si>
    <t>8-13-17 ML4.6 5M</t>
  </si>
  <si>
    <t>ML4.6</t>
  </si>
  <si>
    <t>Aug 12 2017 21:48</t>
  </si>
  <si>
    <t>30_12</t>
  </si>
  <si>
    <t>30_4.591</t>
  </si>
  <si>
    <t>BOX_4_47</t>
  </si>
  <si>
    <t>AMBON_1_35</t>
  </si>
  <si>
    <t>8-13-17 ML4.6 10M</t>
  </si>
  <si>
    <t>Aug 12 2017 21:47</t>
  </si>
  <si>
    <t>30_10</t>
  </si>
  <si>
    <t>30_9.785</t>
  </si>
  <si>
    <t>BOX_5_16</t>
  </si>
  <si>
    <t>AMBON_1_36</t>
  </si>
  <si>
    <t>8-13-17 ML4.6 20M</t>
  </si>
  <si>
    <t>Aug 12 2017 21:45</t>
  </si>
  <si>
    <t>30_8</t>
  </si>
  <si>
    <t>30_21.416</t>
  </si>
  <si>
    <t>viral samples filtered here?</t>
  </si>
  <si>
    <t>BOX_4_48</t>
  </si>
  <si>
    <t>AMBON_1_37</t>
  </si>
  <si>
    <t>8-13-17 ML4.6 30M</t>
  </si>
  <si>
    <t>Aug 12 2017 21:43</t>
  </si>
  <si>
    <t>chl max*</t>
  </si>
  <si>
    <t>30_6</t>
  </si>
  <si>
    <t>30_30.628</t>
  </si>
  <si>
    <t>*chl max at 28 m</t>
  </si>
  <si>
    <t>BOX_4_49</t>
  </si>
  <si>
    <t>AMBON_1_38</t>
  </si>
  <si>
    <t>8-13-17 ML4.6 42M</t>
  </si>
  <si>
    <t>Aug 12 2017 21:41</t>
  </si>
  <si>
    <t>30_4</t>
  </si>
  <si>
    <t>30_41.864</t>
  </si>
  <si>
    <t>BOX_4_50</t>
  </si>
  <si>
    <t>AMBON_1_39</t>
  </si>
  <si>
    <t>8-13-17 ML4.7 5M</t>
  </si>
  <si>
    <t>ML4.7</t>
  </si>
  <si>
    <t>Aug 13 2017 01:19</t>
  </si>
  <si>
    <t>31_11</t>
  </si>
  <si>
    <t>31_3.894</t>
  </si>
  <si>
    <t>BOX_4_51</t>
  </si>
  <si>
    <t>AMBON_1_40</t>
  </si>
  <si>
    <t>8-13-17 ML4.7 20M</t>
  </si>
  <si>
    <t>Aug 13 2017 01:17</t>
  </si>
  <si>
    <t>31_7</t>
  </si>
  <si>
    <t>31_20.116</t>
  </si>
  <si>
    <t>BOX_4_52</t>
  </si>
  <si>
    <t>AMBON_1_42</t>
  </si>
  <si>
    <t>8-13-17 ML4.7 27M</t>
  </si>
  <si>
    <t>Aug 13 2017 01:16</t>
  </si>
  <si>
    <t>31_3</t>
  </si>
  <si>
    <t>31_5</t>
  </si>
  <si>
    <t>31_26.808</t>
  </si>
  <si>
    <t>BOX_4_54</t>
  </si>
  <si>
    <t>AMBON_1_41</t>
  </si>
  <si>
    <t>8-13-17 ML4.7 43M</t>
  </si>
  <si>
    <t>Aug 13 2017 01:13</t>
  </si>
  <si>
    <t xml:space="preserve">bottom </t>
  </si>
  <si>
    <t>31_1</t>
  </si>
  <si>
    <t>31_42.69</t>
  </si>
  <si>
    <t>BOX_4_55</t>
  </si>
  <si>
    <t>AMBON_1_18</t>
  </si>
  <si>
    <t>8-13-17 ML4.8 5M</t>
  </si>
  <si>
    <t>ML4.8</t>
  </si>
  <si>
    <t>Aug 13 2017 04:24</t>
  </si>
  <si>
    <t>32_11</t>
  </si>
  <si>
    <t>32_12</t>
  </si>
  <si>
    <t>32_4.225</t>
  </si>
  <si>
    <t>AMBON_1_17</t>
  </si>
  <si>
    <t>8-13-17 ML4.8 10M</t>
  </si>
  <si>
    <t>Aug 13 2017 04:23</t>
  </si>
  <si>
    <t>32_9</t>
  </si>
  <si>
    <t>32_10.1</t>
  </si>
  <si>
    <t>AMBON_1_16</t>
  </si>
  <si>
    <t>8-13-17 ML4.8 20M</t>
  </si>
  <si>
    <t>Aug 13 2017 04:21</t>
  </si>
  <si>
    <t>32_7</t>
  </si>
  <si>
    <t>32_19.13</t>
  </si>
  <si>
    <t>AMBON_1_44</t>
  </si>
  <si>
    <t>8-13-17 ML4.8 24M</t>
  </si>
  <si>
    <t>Aug 13 2017 04:19</t>
  </si>
  <si>
    <t>32_5</t>
  </si>
  <si>
    <t>32_24.272</t>
  </si>
  <si>
    <t>BOX_4_53</t>
  </si>
  <si>
    <t>AMBON_1_23</t>
  </si>
  <si>
    <t>8-13-17 ML4.8 30M</t>
  </si>
  <si>
    <t>Aug 13 2017 04:18</t>
  </si>
  <si>
    <t>32_3</t>
  </si>
  <si>
    <t>32_29.683</t>
  </si>
  <si>
    <t>animal sample: unidentified egg mass</t>
  </si>
  <si>
    <t>AMBON_1_15</t>
  </si>
  <si>
    <t>8-13-17 ML4.8 42M</t>
  </si>
  <si>
    <t>Aug 13 2017 04:17</t>
  </si>
  <si>
    <t>32_1</t>
  </si>
  <si>
    <t>32_41.919</t>
  </si>
  <si>
    <t>AMBON_2_50</t>
  </si>
  <si>
    <t>8-13-17 ML4.9 5M SURFACE</t>
  </si>
  <si>
    <t>ML4.9</t>
  </si>
  <si>
    <t>Aug 13 2017 08:25</t>
  </si>
  <si>
    <t>33_9</t>
  </si>
  <si>
    <t>33_5.368</t>
  </si>
  <si>
    <t>AMBON_2_51</t>
  </si>
  <si>
    <t>8-13-17 ML4.9 20M</t>
  </si>
  <si>
    <t>Aug 13 2017 08:22</t>
  </si>
  <si>
    <t>33_5</t>
  </si>
  <si>
    <t>33_20.231</t>
  </si>
  <si>
    <t>AMBON_2_52</t>
  </si>
  <si>
    <t>8-13-17 ML4.9 30M CHLMAX</t>
  </si>
  <si>
    <t>Aug 13 2017 08:20</t>
  </si>
  <si>
    <t>33_3</t>
  </si>
  <si>
    <t>33_29.847</t>
  </si>
  <si>
    <t>AMBON_2_53</t>
  </si>
  <si>
    <t>8-13-17 ML4.9 38M BOTTOM</t>
  </si>
  <si>
    <t>Aug 13 2017 08:19</t>
  </si>
  <si>
    <t>33_1</t>
  </si>
  <si>
    <t>33_37.15</t>
  </si>
  <si>
    <t>0 to 5 cm sediment from ML4.9</t>
  </si>
  <si>
    <t>BOX_3_82</t>
  </si>
  <si>
    <t>8-20-17 ML5.4 5M</t>
  </si>
  <si>
    <t>ML5.4</t>
  </si>
  <si>
    <t>Aug 20 2017 01:03</t>
  </si>
  <si>
    <t>79_9</t>
  </si>
  <si>
    <t>79_5.259</t>
  </si>
  <si>
    <t>T = 7 degrees C</t>
  </si>
  <si>
    <t>BOX_4_43</t>
  </si>
  <si>
    <t>8-20-17 ML5.4 20M</t>
  </si>
  <si>
    <t>Aug 20 2017 01:00</t>
  </si>
  <si>
    <t>79_5</t>
  </si>
  <si>
    <t>79_20.122</t>
  </si>
  <si>
    <t>broad chl a in surface</t>
  </si>
  <si>
    <t>BOX_3_83</t>
  </si>
  <si>
    <t>8-20-17 ML5.4 30M</t>
  </si>
  <si>
    <t>Aug 20 2017 00:59</t>
  </si>
  <si>
    <t>79_30.377</t>
  </si>
  <si>
    <t>0 to 5 cm sediment from ML5.4</t>
  </si>
  <si>
    <t>BOX_3_84</t>
  </si>
  <si>
    <t>8-20-17 ML5.4 36M</t>
  </si>
  <si>
    <t>Aug 20 2017 00:57</t>
  </si>
  <si>
    <t>79_33.605</t>
  </si>
  <si>
    <t>T = 4 degrees C</t>
  </si>
  <si>
    <t>BOX_2_87</t>
  </si>
  <si>
    <t>8-20-17 ML5.6 5M SURFACE</t>
  </si>
  <si>
    <t>ML5.6</t>
  </si>
  <si>
    <t>Aug 19 2017 18:36</t>
  </si>
  <si>
    <t>77_11</t>
  </si>
  <si>
    <t>77_10</t>
  </si>
  <si>
    <t>77_4.68</t>
  </si>
  <si>
    <t>BOX_2_88</t>
  </si>
  <si>
    <t>8-20-17 ML5.6 20M</t>
  </si>
  <si>
    <t>Aug 19 2017 18:33</t>
  </si>
  <si>
    <t>77_7</t>
  </si>
  <si>
    <t>77_6</t>
  </si>
  <si>
    <t>77_19.557</t>
  </si>
  <si>
    <t>BOX_3_45</t>
  </si>
  <si>
    <t>8-20-17 ML5.6 32M</t>
  </si>
  <si>
    <t>Aug 19 2017 18:30</t>
  </si>
  <si>
    <t>77_5</t>
  </si>
  <si>
    <t>77_3</t>
  </si>
  <si>
    <t>77_32.473</t>
  </si>
  <si>
    <t>BOX_2_89</t>
  </si>
  <si>
    <t>8-20-17 ML5.6 40M BOTTOM</t>
  </si>
  <si>
    <t>Aug 19 2017 18:27</t>
  </si>
  <si>
    <t>77_1</t>
  </si>
  <si>
    <t>77_40.738</t>
  </si>
  <si>
    <t>BOX_2_90</t>
  </si>
  <si>
    <t>8-19-17 ML5.7 5M SURFACE</t>
  </si>
  <si>
    <t>ML5.7</t>
  </si>
  <si>
    <t>Aug 19 2017 15:49</t>
  </si>
  <si>
    <t>76_11</t>
  </si>
  <si>
    <t>76_4.73</t>
  </si>
  <si>
    <t>BOX_2_91</t>
  </si>
  <si>
    <t>8-19-17 ML5.7 20M</t>
  </si>
  <si>
    <t>Aug 19 2017 15:46</t>
  </si>
  <si>
    <t>76_19.224</t>
  </si>
  <si>
    <t>BOX_3_46</t>
  </si>
  <si>
    <t>8-19-17 ML5.7 30M</t>
  </si>
  <si>
    <t>Aug 19 2017 15:45</t>
  </si>
  <si>
    <t>chl peak</t>
  </si>
  <si>
    <t>76_30.027</t>
  </si>
  <si>
    <t>BOX_2_92</t>
  </si>
  <si>
    <t>8-19-17 ML5.7 40M BOTTOM</t>
  </si>
  <si>
    <t>Aug 19 2017 15:42</t>
  </si>
  <si>
    <t>76_2</t>
  </si>
  <si>
    <t>76_40.235</t>
  </si>
  <si>
    <t>0 to 5 cm from ML5.7</t>
  </si>
  <si>
    <t>AMBON_1_62</t>
  </si>
  <si>
    <t>8-9-2017 ML6.1 10M</t>
  </si>
  <si>
    <t>Aug 09 2017 09:01</t>
  </si>
  <si>
    <t>15_7</t>
  </si>
  <si>
    <t>15_10.172</t>
  </si>
  <si>
    <t>sterivex only @ 10 m, forget to put other filters in filter holders…</t>
  </si>
  <si>
    <t>AMBON_1_83</t>
  </si>
  <si>
    <t>8-12-17 ML6.10 5M SURFACE</t>
  </si>
  <si>
    <t>ML6.10</t>
  </si>
  <si>
    <t>Aug 11 2017 19:35</t>
  </si>
  <si>
    <t>24_4.726</t>
  </si>
  <si>
    <t>AMBON_1_84</t>
  </si>
  <si>
    <t>8-12-17 ML6.10 30M</t>
  </si>
  <si>
    <t>Aug 11 2017 19:31</t>
  </si>
  <si>
    <t>chl max/thermocline</t>
  </si>
  <si>
    <t>24_30.339</t>
  </si>
  <si>
    <t>0 to 5 cm sediment taken at ML6.10</t>
  </si>
  <si>
    <t>AMBON_1_76</t>
  </si>
  <si>
    <t>8-12-17 ML6.10 48M BOTTOM</t>
  </si>
  <si>
    <t>Aug 11 2017 19:28</t>
  </si>
  <si>
    <t>24_48.898</t>
  </si>
  <si>
    <t>thermocline 20 to 25 m</t>
  </si>
  <si>
    <t>AMBON_1_82</t>
  </si>
  <si>
    <t>8-12-17 ML6.11 5M</t>
  </si>
  <si>
    <t>ML6.11</t>
  </si>
  <si>
    <t>Aug 12 2017 00:25</t>
  </si>
  <si>
    <t>25_12</t>
  </si>
  <si>
    <t>25_4.657</t>
  </si>
  <si>
    <t>AMBON_1_81</t>
  </si>
  <si>
    <t>8-12-17 ML6.11 10M</t>
  </si>
  <si>
    <t>Aug 12 2017 00:24</t>
  </si>
  <si>
    <t>25_10.535</t>
  </si>
  <si>
    <t>AMBON_1_80</t>
  </si>
  <si>
    <t>8-12-17 ML6.11 20M</t>
  </si>
  <si>
    <t>Aug 12 2017 00:22</t>
  </si>
  <si>
    <t>25_20.133</t>
  </si>
  <si>
    <t>AMBON_1_79</t>
  </si>
  <si>
    <t>8-12-17 ML6.11 40M</t>
  </si>
  <si>
    <t>Aug 12 2017 00:20</t>
  </si>
  <si>
    <t>25_41.274</t>
  </si>
  <si>
    <t>0 to 5 cm sediment taken at ML6.11</t>
  </si>
  <si>
    <t>AMBON_1_77</t>
  </si>
  <si>
    <t>8-12-17 ML6.11 48M</t>
  </si>
  <si>
    <t>Aug 12 2017 00:19</t>
  </si>
  <si>
    <t>25_46.739</t>
  </si>
  <si>
    <t>warm water infusion 20 m and up</t>
  </si>
  <si>
    <t>AMBON_1_64</t>
  </si>
  <si>
    <t>8-9-2017 ML6.2 5M SURFACE</t>
  </si>
  <si>
    <t>ML6.2</t>
  </si>
  <si>
    <t>Aug 09 2017 13:26</t>
  </si>
  <si>
    <t>16_5.203</t>
  </si>
  <si>
    <t>AMBON_1_65</t>
  </si>
  <si>
    <t>8-9-2017 ML6.2 10M</t>
  </si>
  <si>
    <t>Aug 09 2017 13:24</t>
  </si>
  <si>
    <t>16_12.117</t>
  </si>
  <si>
    <t>AMBON_1_66</t>
  </si>
  <si>
    <t>8-9-2017 ML6.2 20M</t>
  </si>
  <si>
    <t>Aug 09 2017 13:23</t>
  </si>
  <si>
    <t>16_19.581</t>
  </si>
  <si>
    <t>AMBON_1_67</t>
  </si>
  <si>
    <t>8-9-2017 ML6.2 27M BOTTOM</t>
  </si>
  <si>
    <t>Aug 09 2017 13:21</t>
  </si>
  <si>
    <t>16_1</t>
  </si>
  <si>
    <t>16_2</t>
  </si>
  <si>
    <t>16_26.958</t>
  </si>
  <si>
    <t>0 to 5 cm sediment from ML6.2</t>
  </si>
  <si>
    <t>AMBON_1_69</t>
  </si>
  <si>
    <t>8-10-2017 ML6.3 6M SURFACE</t>
  </si>
  <si>
    <t>ML6.3</t>
  </si>
  <si>
    <t>Aug 09 2017 17:37</t>
  </si>
  <si>
    <t>17_9</t>
  </si>
  <si>
    <t>17_10</t>
  </si>
  <si>
    <t>17_6.184</t>
  </si>
  <si>
    <t>AMBON_1_68</t>
  </si>
  <si>
    <t>8-10-2017 ML6.3 20M</t>
  </si>
  <si>
    <t>Aug 09 2017 17:34</t>
  </si>
  <si>
    <t>17_5</t>
  </si>
  <si>
    <t>17_20.459</t>
  </si>
  <si>
    <t>AMBON_1_70</t>
  </si>
  <si>
    <t>8-10-2017 ML6.3 24M CHLMAX</t>
  </si>
  <si>
    <t>Aug 09 2017 17:32</t>
  </si>
  <si>
    <t>17_1</t>
  </si>
  <si>
    <t>17_3</t>
  </si>
  <si>
    <t>17_25.135</t>
  </si>
  <si>
    <t>AMBON_1_71</t>
  </si>
  <si>
    <t>8-10-2017 ML6.3 28M BOTTOM</t>
  </si>
  <si>
    <t>Aug 09 2017 17:30</t>
  </si>
  <si>
    <t>17_27.515</t>
  </si>
  <si>
    <t>0 to 5 cm sediment from ML6.3</t>
  </si>
  <si>
    <t>AMBON_1_72</t>
  </si>
  <si>
    <t>8-9-2017 ML6.4 4M SURFACE</t>
  </si>
  <si>
    <t>ML6.4</t>
  </si>
  <si>
    <t>Aug 09 2017 20:52</t>
  </si>
  <si>
    <t>18_9</t>
  </si>
  <si>
    <t>18_4.172</t>
  </si>
  <si>
    <t>AMBON_1_75</t>
  </si>
  <si>
    <t>8-9-2017 ML6.4 20M</t>
  </si>
  <si>
    <t>Aug 09 2017 20:49</t>
  </si>
  <si>
    <t>18_5</t>
  </si>
  <si>
    <t>18_20.763</t>
  </si>
  <si>
    <t>AMBON_1_73</t>
  </si>
  <si>
    <t>8-9-2017 ML6.4 24M CHLMAX</t>
  </si>
  <si>
    <t>Aug 09 2017 20:48</t>
  </si>
  <si>
    <t>18_4</t>
  </si>
  <si>
    <t>18_23.784</t>
  </si>
  <si>
    <t>AMBON_1_74</t>
  </si>
  <si>
    <t>8-9-2017 ML6.4 31M BOTTOM</t>
  </si>
  <si>
    <t>Aug 09 2017 20:47</t>
  </si>
  <si>
    <t>18_29.207</t>
  </si>
  <si>
    <t>AMBON_2_2</t>
  </si>
  <si>
    <t>8-10-17 ML6.5 5M</t>
  </si>
  <si>
    <t>ML6.5</t>
  </si>
  <si>
    <t>Aug 10 2017 00:33</t>
  </si>
  <si>
    <t>19_9</t>
  </si>
  <si>
    <t>19_4.861</t>
  </si>
  <si>
    <t>AMBON_2_15</t>
  </si>
  <si>
    <t>8-10-17 ML6.5 20M PYCNO</t>
  </si>
  <si>
    <t>Aug 10 2017 00:30</t>
  </si>
  <si>
    <t>19_5</t>
  </si>
  <si>
    <t>19_6</t>
  </si>
  <si>
    <t>19_20.275</t>
  </si>
  <si>
    <t>no chl max, mixed to 20 m due to storm</t>
  </si>
  <si>
    <t>AMBON_2_19</t>
  </si>
  <si>
    <t>8-10-17 ML6.5 36M BOTTOM</t>
  </si>
  <si>
    <t>Aug 10 2017 00:28</t>
  </si>
  <si>
    <t>19_1</t>
  </si>
  <si>
    <t>19_2</t>
  </si>
  <si>
    <t>19_36.033</t>
  </si>
  <si>
    <t>AMBON_2_18</t>
  </si>
  <si>
    <t>8-10-17 ML6.6 5M</t>
  </si>
  <si>
    <t>ML6.6</t>
  </si>
  <si>
    <t>Aug 10 2017 03:09</t>
  </si>
  <si>
    <t>20_9</t>
  </si>
  <si>
    <t>20_4.559</t>
  </si>
  <si>
    <t>AMBON_2_16</t>
  </si>
  <si>
    <t>8-10-17 ML6.6 20M</t>
  </si>
  <si>
    <t>Aug 10 2017 03:07</t>
  </si>
  <si>
    <t>20_20.269</t>
  </si>
  <si>
    <t>AMBON_2_17</t>
  </si>
  <si>
    <t>8-10-17 ML6.6 30M</t>
  </si>
  <si>
    <t>Aug 10 2017 03:05</t>
  </si>
  <si>
    <t>20_3</t>
  </si>
  <si>
    <t>20_30.357</t>
  </si>
  <si>
    <t>AMBON_2_14</t>
  </si>
  <si>
    <t>8-10-17 ML6.6 39M BOTTOM</t>
  </si>
  <si>
    <t>Aug 10 2017 03:04</t>
  </si>
  <si>
    <t>20_1</t>
  </si>
  <si>
    <t>20_39.233</t>
  </si>
  <si>
    <t>AMBON_2_7</t>
  </si>
  <si>
    <t>8-10-17 ML6.8 5M SURFACE</t>
  </si>
  <si>
    <t>ML6.8</t>
  </si>
  <si>
    <t>Aug 10 2017 10:05</t>
  </si>
  <si>
    <t>22_5.038</t>
  </si>
  <si>
    <t>AMBON_2_11</t>
  </si>
  <si>
    <t>8-10-17 ML6.8 10M</t>
  </si>
  <si>
    <t>Aug 10 2017 10:03</t>
  </si>
  <si>
    <t>22_9.1</t>
  </si>
  <si>
    <t>AMBON_1_87</t>
  </si>
  <si>
    <t>8-10-2017 ML6.8 30M</t>
  </si>
  <si>
    <t>Aug 10 2017 10:01</t>
  </si>
  <si>
    <t>22_29.842</t>
  </si>
  <si>
    <t>thermoline at 25 m</t>
  </si>
  <si>
    <t>AMBON_2_3</t>
  </si>
  <si>
    <t>8-10-17 ML6.8 42M BOTTOM</t>
  </si>
  <si>
    <t>Aug 10 2017 09:59</t>
  </si>
  <si>
    <t>22_41.608</t>
  </si>
  <si>
    <t>no chl max, mixed down to 20 m</t>
  </si>
  <si>
    <t>BOX_3_89</t>
  </si>
  <si>
    <t>9-4-17 NNE10 B22 2.5M</t>
  </si>
  <si>
    <t>NNE-10</t>
  </si>
  <si>
    <t>Sep 05 2017 05:44</t>
  </si>
  <si>
    <t>72_21</t>
  </si>
  <si>
    <t>9_4_17_NNE_10_2.5m_B22_0.2</t>
  </si>
  <si>
    <t>2.251_188.2</t>
  </si>
  <si>
    <t>BOX_4_65</t>
  </si>
  <si>
    <t>9-4-17 NNE10 B18? 20M</t>
  </si>
  <si>
    <t>9_4_17_NNE_10_20m_B18_0.2</t>
  </si>
  <si>
    <t>20.478_188.2</t>
  </si>
  <si>
    <t>72_18</t>
  </si>
  <si>
    <t>BOX_4_66</t>
  </si>
  <si>
    <t>9-4-17 NNE10 B14 50M</t>
  </si>
  <si>
    <t>72_13</t>
  </si>
  <si>
    <t>9_4_17_NNE_10_50m_B14_0.2</t>
  </si>
  <si>
    <t>49.697_188.2</t>
  </si>
  <si>
    <t>BOX_4_69</t>
  </si>
  <si>
    <t>9-5-17 NNE10 B10 100M</t>
  </si>
  <si>
    <t>9_4_17_NNE_10_100m_B10_0.2</t>
  </si>
  <si>
    <t>99.731_188.2</t>
  </si>
  <si>
    <t>BOX_4_68</t>
  </si>
  <si>
    <t>9-4-17 NNE10 B8 125M</t>
  </si>
  <si>
    <t>9_4_17_NNE_10_125m_B8_0.2</t>
  </si>
  <si>
    <t>125.521_188.2</t>
  </si>
  <si>
    <t>72_8</t>
  </si>
  <si>
    <t>BOX_4_67</t>
  </si>
  <si>
    <t>9-4-17 NNE10 B4 186M</t>
  </si>
  <si>
    <t>9_4_17_NNE_10_186m_B4_0.2</t>
  </si>
  <si>
    <t>186.436_188.2</t>
  </si>
  <si>
    <t>BOX_3_96</t>
  </si>
  <si>
    <t>9-5-17 NNE12 5M</t>
  </si>
  <si>
    <t>NNE-12</t>
  </si>
  <si>
    <t>Sep 05 2017 09:06</t>
  </si>
  <si>
    <t>9_5_17_NNE_12_5m_B23_0.2</t>
  </si>
  <si>
    <t>2.587_346</t>
  </si>
  <si>
    <t>74_23</t>
  </si>
  <si>
    <t>BOX_3_97</t>
  </si>
  <si>
    <t>9-5-17 NNE12 30M</t>
  </si>
  <si>
    <t>9_5_17_NNE_12_30m_B20_0.2</t>
  </si>
  <si>
    <t>29.955_346</t>
  </si>
  <si>
    <t>74_20</t>
  </si>
  <si>
    <t>BOX_3_98</t>
  </si>
  <si>
    <t>9-5-17 NNE12 140M</t>
  </si>
  <si>
    <t>9_5_17_NNE_12_140m_B12_0.2</t>
  </si>
  <si>
    <t>141.017_346</t>
  </si>
  <si>
    <t>74_12</t>
  </si>
  <si>
    <t>BOX_3_99</t>
  </si>
  <si>
    <t>9-5-17 NNE12 150M</t>
  </si>
  <si>
    <t>9_5_17_NNE_12_150m_B8_0.2</t>
  </si>
  <si>
    <t>149.845_346</t>
  </si>
  <si>
    <t>BOX_3_100</t>
  </si>
  <si>
    <t>9-5-17 NNE12 160M</t>
  </si>
  <si>
    <t>9_5_17_NNE_12_160m_B5_0.2</t>
  </si>
  <si>
    <t>160.729_346</t>
  </si>
  <si>
    <t>BOX_3_101</t>
  </si>
  <si>
    <t>9-5-17 NNE12 166M</t>
  </si>
  <si>
    <t>9_5_17_NNE_12_156m_B6_0.2</t>
  </si>
  <si>
    <t>165.982_346</t>
  </si>
  <si>
    <t>BOX_4_56</t>
  </si>
  <si>
    <t>9-4-17 NW4 B18 2M</t>
  </si>
  <si>
    <t>Sep 04 2017 06:37</t>
  </si>
  <si>
    <t>56_17</t>
  </si>
  <si>
    <t>9_4_17_NW_4_2m_B18_0.2</t>
  </si>
  <si>
    <t>2.716_71.5</t>
  </si>
  <si>
    <t>BOX_4_57</t>
  </si>
  <si>
    <t>9-4-17 NW4 B16 10M</t>
  </si>
  <si>
    <t>9_4_17_NW_4_10m_B16_0.2</t>
  </si>
  <si>
    <t>9.999_71.5</t>
  </si>
  <si>
    <t>56_16</t>
  </si>
  <si>
    <t>BOX_3_86</t>
  </si>
  <si>
    <t>9-4-17 NW4 B14 20M</t>
  </si>
  <si>
    <t>9_4_17_NW_4_20m_B14_0.2</t>
  </si>
  <si>
    <t>19.933_71.5</t>
  </si>
  <si>
    <t>56_14</t>
  </si>
  <si>
    <t>BOX_4_100</t>
  </si>
  <si>
    <t>9-4-17 NW4 B12 30M</t>
  </si>
  <si>
    <t>56_11</t>
  </si>
  <si>
    <t>9_4_17_NW_4_30m_B12_0.2</t>
  </si>
  <si>
    <t>29.844_71.5</t>
  </si>
  <si>
    <t>BOX_4_58</t>
  </si>
  <si>
    <t>9-4-17 NW4 B10 40M</t>
  </si>
  <si>
    <t>9_4_17_NW_4_40m_B10_0.2</t>
  </si>
  <si>
    <t>39.928_71.5</t>
  </si>
  <si>
    <t>56_10</t>
  </si>
  <si>
    <t>BOX_4_59</t>
  </si>
  <si>
    <t>9-4-17 NW4 B6 50M</t>
  </si>
  <si>
    <t>56_5</t>
  </si>
  <si>
    <t>9_4_17_NW_4_50m_B6_0.2</t>
  </si>
  <si>
    <t>50.201_71.5</t>
  </si>
  <si>
    <t>BOX_3_87</t>
  </si>
  <si>
    <t>9-4-17 NW4 B4 70M</t>
  </si>
  <si>
    <t>56_3</t>
  </si>
  <si>
    <t>9_4_17_NW_4_70m_B4_0.2</t>
  </si>
  <si>
    <t>69.387_71.5</t>
  </si>
  <si>
    <t>BOX_4_80</t>
  </si>
  <si>
    <t>9-3-17 W12 B15 3M</t>
  </si>
  <si>
    <t>W-12</t>
  </si>
  <si>
    <t>Sep 03 2017 20:05</t>
  </si>
  <si>
    <t>9_3_17_W_12_3m_B15_0.2</t>
  </si>
  <si>
    <t>2.961_56.4</t>
  </si>
  <si>
    <t>52_15</t>
  </si>
  <si>
    <t>BOX_4_81</t>
  </si>
  <si>
    <t>9-3-17 W12 B13 10M</t>
  </si>
  <si>
    <t>9_3_17_W_12_10m_B13_0.2</t>
  </si>
  <si>
    <t>10.061_56.4</t>
  </si>
  <si>
    <t>52_13</t>
  </si>
  <si>
    <t>BOX_4_82</t>
  </si>
  <si>
    <t>9-3-17 W12 B11 20M</t>
  </si>
  <si>
    <t>9_3_17_W_12_20m_B11_0.2</t>
  </si>
  <si>
    <t>20.165_56.4</t>
  </si>
  <si>
    <t>52_11</t>
  </si>
  <si>
    <t>BOX_4_78</t>
  </si>
  <si>
    <t>9-3-17 W12 B9 30M</t>
  </si>
  <si>
    <t>9_3_17_W_12_30m_B9_0.2</t>
  </si>
  <si>
    <t>30.087_56.4</t>
  </si>
  <si>
    <t>52_9</t>
  </si>
  <si>
    <t>BOX_4_83</t>
  </si>
  <si>
    <t>9-3-17 W12 B7 40M</t>
  </si>
  <si>
    <t>9_3_17_W_12_40m_B7_0.2</t>
  </si>
  <si>
    <t>40.146_56.4</t>
  </si>
  <si>
    <t>52_7</t>
  </si>
  <si>
    <t>BOX_4_84</t>
  </si>
  <si>
    <t>9-3-17 W12 B5 50M</t>
  </si>
  <si>
    <t>9_3_17_W_12_50m_B5_0.2</t>
  </si>
  <si>
    <t>50.39_56.4</t>
  </si>
  <si>
    <t>52_5</t>
  </si>
  <si>
    <t>BOX_4_85</t>
  </si>
  <si>
    <t>9-3-17 W12 B3 54M</t>
  </si>
  <si>
    <t>9_3_17_W_12_54m_B3_0.2</t>
  </si>
  <si>
    <t>54.217_56.4</t>
  </si>
  <si>
    <t>52_3</t>
  </si>
  <si>
    <t>BOX_5_4</t>
  </si>
  <si>
    <t>9-2-17 W2 B13 3M</t>
  </si>
  <si>
    <t>Sep 03 2017 03:47</t>
  </si>
  <si>
    <t>9_2_17_W_2_3m_B13_0.2</t>
  </si>
  <si>
    <t>2.887_40.1</t>
  </si>
  <si>
    <t>42_13</t>
  </si>
  <si>
    <t>BOX_5_74</t>
  </si>
  <si>
    <t>9-2-17 W2 B11 10M</t>
  </si>
  <si>
    <t>9_2_17_W_2_10m_B11_0.2</t>
  </si>
  <si>
    <t>9.934_40.1</t>
  </si>
  <si>
    <t>42_11</t>
  </si>
  <si>
    <t>BOX_5_5</t>
  </si>
  <si>
    <t>9-2-17 W2 B9 20M</t>
  </si>
  <si>
    <t>9_2_17_W_2_20m_B9_0.2</t>
  </si>
  <si>
    <t>19.961_40.1</t>
  </si>
  <si>
    <t>42_9</t>
  </si>
  <si>
    <t>BOX_5_6</t>
  </si>
  <si>
    <t>9-2-17 W2 B7 30M</t>
  </si>
  <si>
    <t>9_2_17_W_2_30m_B7_0.2</t>
  </si>
  <si>
    <t>30.119_40.1</t>
  </si>
  <si>
    <t>42_7</t>
  </si>
  <si>
    <t>BOX_5_7</t>
  </si>
  <si>
    <t>9-2-17 W2 B5 40M</t>
  </si>
  <si>
    <t>9_2_17_W_2_40m_B5_0.2</t>
  </si>
  <si>
    <t>38.611_40.1</t>
  </si>
  <si>
    <t>42_5</t>
  </si>
  <si>
    <t>BOX_11_7</t>
  </si>
  <si>
    <t>9-3-17 48 W8 5M</t>
  </si>
  <si>
    <t>W-8</t>
  </si>
  <si>
    <t>Sep 03 2017 14:19</t>
  </si>
  <si>
    <t>48_13</t>
  </si>
  <si>
    <t>9_3_17_W_8_5m_B14_0.2</t>
  </si>
  <si>
    <t>2.919_50.5</t>
  </si>
  <si>
    <t>BOX_11_8</t>
  </si>
  <si>
    <t>BOX_11_10</t>
  </si>
  <si>
    <t>9-3-17 48 W8 30M</t>
  </si>
  <si>
    <t>48_7</t>
  </si>
  <si>
    <t>9_3_17_W_8_30m_B8_0.2</t>
  </si>
  <si>
    <t>30.267_50.5</t>
  </si>
  <si>
    <t>BOX_11_9</t>
  </si>
  <si>
    <t>BOX_11_11</t>
  </si>
  <si>
    <t>9-3-17 48 W8 40M</t>
  </si>
  <si>
    <t>48_5</t>
  </si>
  <si>
    <t>9_3_17_W_8_40m_B6_0.2</t>
  </si>
  <si>
    <t>40.274_50.5</t>
  </si>
  <si>
    <t>BOX_11_12</t>
  </si>
  <si>
    <t>BOX_11_13</t>
  </si>
  <si>
    <t>9-3-17 48 W8 50M</t>
  </si>
  <si>
    <t>48_3</t>
  </si>
  <si>
    <t>9_3_17_W_8_50m_B4_0.2</t>
  </si>
  <si>
    <t>48.536_50.5</t>
  </si>
  <si>
    <t>BOX_11_14</t>
  </si>
  <si>
    <t>AMBON_2015_08_10_BC2_0_A_surface</t>
  </si>
  <si>
    <t>AMBON2015</t>
  </si>
  <si>
    <t xml:space="preserve"> BC2</t>
  </si>
  <si>
    <t xml:space="preserve">  Aug 10 2015  08:54:48</t>
  </si>
  <si>
    <t>AMBON2015_001_2</t>
  </si>
  <si>
    <t>AMBON_2015_08_10_BC2_20_A_mid</t>
  </si>
  <si>
    <t>AMBON2015_001_19</t>
  </si>
  <si>
    <t>AMBON_2015_08_10_BC2_50_A_deep</t>
  </si>
  <si>
    <t>AMBON2015_001_53</t>
  </si>
  <si>
    <t>AMBON_2015_08_12_DBO3.4_2.5_A_surface</t>
  </si>
  <si>
    <t xml:space="preserve"> DBO3.4</t>
  </si>
  <si>
    <t xml:space="preserve">  Aug 12 2015  14:42:53</t>
  </si>
  <si>
    <t>AMBON2015_006_3</t>
  </si>
  <si>
    <t>AMBON_2015_08_12_DBO3.4_20_A_mid</t>
  </si>
  <si>
    <t>AMBON2015_006_21</t>
  </si>
  <si>
    <t>AMBON_2015_08_12_DBO3.4_43_A_deep</t>
  </si>
  <si>
    <t>AMBON2015_006_44</t>
  </si>
  <si>
    <t>AMBON_2015_08_12_DBO3.5_21_A_mid</t>
  </si>
  <si>
    <t xml:space="preserve"> DBO3.5</t>
  </si>
  <si>
    <t xml:space="preserve">  Aug 12 2015  12:19:36</t>
  </si>
  <si>
    <t>AMBON2015_005_22</t>
  </si>
  <si>
    <t>AMBON_2015_08_12_DBO3.5_4.5_A_surface</t>
  </si>
  <si>
    <t>AMBON2015_005_4</t>
  </si>
  <si>
    <t>AMBON_2015_08_12_DBO3.5_46.5_A_deep</t>
  </si>
  <si>
    <t>AMBON2015_005_47</t>
  </si>
  <si>
    <t>AMBON_2015_08_12_DBO3.6_20_A_mid</t>
  </si>
  <si>
    <t xml:space="preserve"> DBO3.6</t>
  </si>
  <si>
    <t xml:space="preserve">  Aug 12 2015  09:38:54</t>
  </si>
  <si>
    <t>AMBON2015_004_20</t>
  </si>
  <si>
    <t>AMBON_2015_08_12_DBO3.6_4.5_A_surface</t>
  </si>
  <si>
    <t>AMBON2015_004_4</t>
  </si>
  <si>
    <t>AMBON_2015_08_12_DBO3.6_53.4_A_deep</t>
  </si>
  <si>
    <t>AMBON2015_004_54</t>
  </si>
  <si>
    <t>AMBON_2015_08_12_DBO3.7_20.4_A_mid</t>
  </si>
  <si>
    <t xml:space="preserve"> DBO3.7</t>
  </si>
  <si>
    <t xml:space="preserve">  Aug 12 2015  07:16:08</t>
  </si>
  <si>
    <t>AMBON2015_003_21</t>
  </si>
  <si>
    <t>AMBON_2015_08_12_DBO3.7_30.6_A_deep</t>
  </si>
  <si>
    <t>AMBON2015_003_31</t>
  </si>
  <si>
    <t>AMBON_2015_08_12_DBO3.7_4.5_A_surface</t>
  </si>
  <si>
    <t>AMBON2015_003_5</t>
  </si>
  <si>
    <t>AMBON_2015_08_12_DBO3.8_18.6_A_mid</t>
  </si>
  <si>
    <t xml:space="preserve"> DBO3.8</t>
  </si>
  <si>
    <t xml:space="preserve">  Aug 12 2015  04:17:41</t>
  </si>
  <si>
    <t>AMBON2015_002_18</t>
  </si>
  <si>
    <t>AMBON_2015_08_12_DBO3.8_4.5_A_surface</t>
  </si>
  <si>
    <t>AMBON2015_002_5</t>
  </si>
  <si>
    <t>AMBON_2015_08_12_DBO3.8_43.3_A_deep</t>
  </si>
  <si>
    <t>AMBON2015_002_44</t>
  </si>
  <si>
    <t>AMBON_2015_08_13_CL0_22.9_A_deep</t>
  </si>
  <si>
    <t xml:space="preserve"> CL0</t>
  </si>
  <si>
    <t xml:space="preserve">  Aug 13 2015  12:34:33</t>
  </si>
  <si>
    <t>AMBON2015_010_23</t>
  </si>
  <si>
    <t>AMBON_2015_08_13_CL0_22.9_B_deep</t>
  </si>
  <si>
    <t>AMBON_2015_08_13_CL0_5.1_A_surface</t>
  </si>
  <si>
    <t>AMBON2015_010_5</t>
  </si>
  <si>
    <t>AMBON_2015_08_13_CL0_9.8_A_mid</t>
  </si>
  <si>
    <t>AMBON2015_010_10</t>
  </si>
  <si>
    <t>AMBON_2015_08_13_CL1_40_A_deep</t>
  </si>
  <si>
    <t xml:space="preserve"> CL1</t>
  </si>
  <si>
    <t xml:space="preserve">  Aug 13 2015  15:18:52</t>
  </si>
  <si>
    <t>AMBON2015_012_41</t>
  </si>
  <si>
    <t>AMBON_2015_08_13_DBO3.1_10.8_A_mid</t>
  </si>
  <si>
    <t xml:space="preserve"> DBO3.1</t>
  </si>
  <si>
    <t xml:space="preserve">  Aug 13 2015  07:42:57</t>
  </si>
  <si>
    <t>AMBON2015_009_10</t>
  </si>
  <si>
    <t>AMBON_2015_08_13_DBO3.1_27.1_A_deep</t>
  </si>
  <si>
    <t>AMBON2015_009_27</t>
  </si>
  <si>
    <t>AMBON_2015_08_13_DBO3.1_5.4_A_surface</t>
  </si>
  <si>
    <t>AMBON2015_009_5</t>
  </si>
  <si>
    <t>AMBON_2015_08_13_DBO3.2_20.5_A_mid</t>
  </si>
  <si>
    <t xml:space="preserve"> DBO3.2</t>
  </si>
  <si>
    <t xml:space="preserve">  Aug 13 2015  05:38:50</t>
  </si>
  <si>
    <t>AMBON2015_008_21</t>
  </si>
  <si>
    <t>AMBON_2015_08_13_DBO3.2_3.6_A_surface</t>
  </si>
  <si>
    <t>AMBON2015_008_4</t>
  </si>
  <si>
    <t>AMBON_2015_08_13_DBO3.2_35.2_A_deep</t>
  </si>
  <si>
    <t>AMBON2015_008_36</t>
  </si>
  <si>
    <t>AMBON_2015_08_13_DBO3.3_40.7_A_deep</t>
  </si>
  <si>
    <t xml:space="preserve"> DBO3.3</t>
  </si>
  <si>
    <t xml:space="preserve">  Aug 13 2015  04:12:57</t>
  </si>
  <si>
    <t>AMBON2015_007_41</t>
  </si>
  <si>
    <t>AMBON_2015_08_13_DBO3.3_5.4_A_surface</t>
  </si>
  <si>
    <t>AMBON2015_007_5</t>
  </si>
  <si>
    <t>AMBON_2015_08_14_CL2_10.5_A_mid</t>
  </si>
  <si>
    <t xml:space="preserve"> CL2</t>
  </si>
  <si>
    <t xml:space="preserve">  Aug 14 2015  11:58:11</t>
  </si>
  <si>
    <t>AMBON2015_015_10</t>
  </si>
  <si>
    <t>AMBON_2015_08_14_CL2_41.7_A_deep</t>
  </si>
  <si>
    <t>AMBON2015_015_42</t>
  </si>
  <si>
    <t>AMBON_2015_08_14_CL2_5_A_surface</t>
  </si>
  <si>
    <t>AMBON2015_015_6</t>
  </si>
  <si>
    <t>AMBON_2015_08_14_CL2.5_20.1_A_mid</t>
  </si>
  <si>
    <t xml:space="preserve"> CL2.5</t>
  </si>
  <si>
    <t xml:space="preserve">  Aug 14 2015  10:36:51</t>
  </si>
  <si>
    <t>AMBON2015_014_20</t>
  </si>
  <si>
    <t>AMBON_2015_08_14_CL2.5_42.5_A_deep</t>
  </si>
  <si>
    <t>AMBON2015_014_43</t>
  </si>
  <si>
    <t>AMBON_2015_08_14_CL2.5_5_A_surface</t>
  </si>
  <si>
    <t>AMBON2015_014_5</t>
  </si>
  <si>
    <t>AMBON_2015_08_14_CL3_20.5_A_mid</t>
  </si>
  <si>
    <t xml:space="preserve"> CL3</t>
  </si>
  <si>
    <t xml:space="preserve">  Aug 14 2015  04:04:17</t>
  </si>
  <si>
    <t>AMBON2015_013_21</t>
  </si>
  <si>
    <t>AMBON_2015_08_14_CL3_42.4_A_deep</t>
  </si>
  <si>
    <t>AMBON2015_013_42</t>
  </si>
  <si>
    <t>AMBON_2015_08_14_CL3_5.4_A_surface</t>
  </si>
  <si>
    <t>AMBON2015_013_5</t>
  </si>
  <si>
    <t>AMBON_2015_08_15_ML6.1_29.6_A_deep</t>
  </si>
  <si>
    <t xml:space="preserve"> ML6.1</t>
  </si>
  <si>
    <t xml:space="preserve">  Aug 15 2015  04:12:43</t>
  </si>
  <si>
    <t>AMBON2015_017_30</t>
  </si>
  <si>
    <t>AMBON_2015_08_15_ML6.2_27.5_A_deep</t>
  </si>
  <si>
    <t xml:space="preserve"> ML6.2</t>
  </si>
  <si>
    <t xml:space="preserve">  Aug 15 2015  07:54:11</t>
  </si>
  <si>
    <t>AMBON2015_018_28</t>
  </si>
  <si>
    <t>AMBON_2015_08_15_ML6.2_5.5_A_surface</t>
  </si>
  <si>
    <t>AMBON2015_018_6</t>
  </si>
  <si>
    <t>AMBON_2015_08_15_ML6.3_32.1_B_deep</t>
  </si>
  <si>
    <t xml:space="preserve"> ML6.3</t>
  </si>
  <si>
    <t xml:space="preserve">  Aug 15 2015  10:21:38</t>
  </si>
  <si>
    <t>AMBON2015_019_29</t>
  </si>
  <si>
    <t>AMBON_2015_08_15_ML6.3_5.1_A_surface</t>
  </si>
  <si>
    <t>AMBON2015_019_5</t>
  </si>
  <si>
    <t>AMBON_2015_08_16_ML6.5_31.5_A_deep</t>
  </si>
  <si>
    <t xml:space="preserve"> ML6.5</t>
  </si>
  <si>
    <t xml:space="preserve">  Aug 16 2015  04:09:33</t>
  </si>
  <si>
    <t>AMBON2015_021_32</t>
  </si>
  <si>
    <t>AMBON_2015_08_16_ML6.5_4.8_A_surface</t>
  </si>
  <si>
    <t>AMBON2015_021_4</t>
  </si>
  <si>
    <t>AMBON_2015_08_16_ML6.6_22.9_A_mid</t>
  </si>
  <si>
    <t xml:space="preserve"> ML6.6</t>
  </si>
  <si>
    <t xml:space="preserve">  Aug 16 2015  06:30:00</t>
  </si>
  <si>
    <t>AMBON2015_022_23</t>
  </si>
  <si>
    <t>AMBON_2015_08_16_ML6.6_34.4_A_deep</t>
  </si>
  <si>
    <t>AMBON2015_022_35</t>
  </si>
  <si>
    <t>AMBON_2015_08_16_ML6.6_5.3_A_surface</t>
  </si>
  <si>
    <t>AMBON2015_022_5</t>
  </si>
  <si>
    <t>AMBON_2015_08_16_ML6.7_2.8_A_surface</t>
  </si>
  <si>
    <t xml:space="preserve"> ML6.7</t>
  </si>
  <si>
    <t xml:space="preserve">  Aug 16 2015  09:47:54</t>
  </si>
  <si>
    <t>AMBON2015_023_3</t>
  </si>
  <si>
    <t>AMBON_2015_08_16_ML6.7_21.8_A_mid</t>
  </si>
  <si>
    <t>AMBON2015_023_22</t>
  </si>
  <si>
    <t>AMBON_2015_08_16_ML6.7_39.9_A_deep</t>
  </si>
  <si>
    <t>AMBON2015_023_40</t>
  </si>
  <si>
    <t>AMBON_2015_08_16_ML6.8_21_A_mid</t>
  </si>
  <si>
    <t xml:space="preserve"> ML6.8</t>
  </si>
  <si>
    <t xml:space="preserve">  Aug 16 2015  12:56:02</t>
  </si>
  <si>
    <t>AMBON2015_024_21</t>
  </si>
  <si>
    <t>AMBON_2015_08_16_ML6.8_36.2_A_deep</t>
  </si>
  <si>
    <t>AMBON2015_024_36</t>
  </si>
  <si>
    <t>AMBON_2015_08_16_ML6.8_4.3_A_surface</t>
  </si>
  <si>
    <t>AMBON2015_024_5</t>
  </si>
  <si>
    <t>AMBON_2015_08_16_ML6.9_21.8_A_mid</t>
  </si>
  <si>
    <t xml:space="preserve"> ML6.9</t>
  </si>
  <si>
    <t xml:space="preserve">  Aug 16 2015  15:17:02</t>
  </si>
  <si>
    <t>AMBON2015_025_22</t>
  </si>
  <si>
    <t>AMBON_2015_08_16_ML6.9_47.3_A_deep</t>
  </si>
  <si>
    <t>AMBON2015_025_47</t>
  </si>
  <si>
    <t>AMBON_2015_08_16_ML6.9_7.1_A_surface</t>
  </si>
  <si>
    <t>AMBON2015_025_6</t>
  </si>
  <si>
    <t>AMBON_2015_08_19_ML4.1_22.7_A_deep</t>
  </si>
  <si>
    <t xml:space="preserve"> ML4.1</t>
  </si>
  <si>
    <t xml:space="preserve">  Aug 19 2015  04:02:36</t>
  </si>
  <si>
    <t>AMBON2015_026_23</t>
  </si>
  <si>
    <t>AMBON_2015_08_19_ML4.1_3.9_A_surface</t>
  </si>
  <si>
    <t>AMBON2015_026_4</t>
  </si>
  <si>
    <t>AMBON_2015_08_19_ML4.2_30.4_A_mid</t>
  </si>
  <si>
    <t xml:space="preserve"> ML4.2</t>
  </si>
  <si>
    <t xml:space="preserve">  Aug 19 2015  05:43:07</t>
  </si>
  <si>
    <t>AMBON2015_027_30</t>
  </si>
  <si>
    <t>AMBON_2015_08_19_ML4.2_40.6_A_deep</t>
  </si>
  <si>
    <t>AMBON2015_027_41</t>
  </si>
  <si>
    <t>AMBON_2015_08_19_ML4.2_5.7_A_surface</t>
  </si>
  <si>
    <t>AMBON2015_027_6</t>
  </si>
  <si>
    <t>AMBON_2015_08_19_ML4.3_29_A_mid</t>
  </si>
  <si>
    <t xml:space="preserve"> ML4.3</t>
  </si>
  <si>
    <t xml:space="preserve">  Aug 19 2015  08:17:36</t>
  </si>
  <si>
    <t>AMBON2015_028_28</t>
  </si>
  <si>
    <t>AMBON_2015_08_19_ML4.3_5.1_A_surface</t>
  </si>
  <si>
    <t>AMBON2015_028_5</t>
  </si>
  <si>
    <t>AMBON_2015_08_19_ML4.3_50.8_A_deep</t>
  </si>
  <si>
    <t>AMBON2015_028_51</t>
  </si>
  <si>
    <t>AMBON_2015_08_19_ML6.10_30.4_A_mid</t>
  </si>
  <si>
    <t xml:space="preserve"> ML6.10</t>
  </si>
  <si>
    <t xml:space="preserve">  Aug 19 2015  11:23:24</t>
  </si>
  <si>
    <t>AMBON2015_029_30</t>
  </si>
  <si>
    <t>AMBON_2015_08_19_ML6.10_5.5_A_surface</t>
  </si>
  <si>
    <t>AMBON2015_029_6</t>
  </si>
  <si>
    <t>AMBON_2015_08_19_ML6.10_50.1_A_deep</t>
  </si>
  <si>
    <t>AMBON2015_029_50</t>
  </si>
  <si>
    <t>AMBON_2015_08_19_ML6.11_10.1_A_mid1</t>
  </si>
  <si>
    <t xml:space="preserve"> ML6.11</t>
  </si>
  <si>
    <t xml:space="preserve">  Aug 19 2015  14:35:25</t>
  </si>
  <si>
    <t>mid1</t>
  </si>
  <si>
    <t>AMBON2015_030_10</t>
  </si>
  <si>
    <t>AMBON_2015_08_19_ML6.11_20.1_B_mid2</t>
  </si>
  <si>
    <t>mid2</t>
  </si>
  <si>
    <t>AMBON2015_030_20</t>
  </si>
  <si>
    <t>AMBON_2015_08_19_ML6.11_31.2_C_mid3</t>
  </si>
  <si>
    <t>mid3</t>
  </si>
  <si>
    <t>AMBON2015_030_31</t>
  </si>
  <si>
    <t>AMBON_2015_08_19_ML6.11_46_A_deep</t>
  </si>
  <si>
    <t>AMBON2015_030_46</t>
  </si>
  <si>
    <t>AMBON_2015_08_19_ML6.11_5.3_A_surface</t>
  </si>
  <si>
    <t>AMBON2015_030_5</t>
  </si>
  <si>
    <t>AMBON_2015_08_20_ML4.5_30_A_chl max</t>
  </si>
  <si>
    <t xml:space="preserve"> ML4.5</t>
  </si>
  <si>
    <t xml:space="preserve">  Aug 20 2015  04:50:18</t>
  </si>
  <si>
    <t>AMBON2015_031_31</t>
  </si>
  <si>
    <t>AMBON_2015_08_20_ML4.5_4.9_A_surface</t>
  </si>
  <si>
    <t>AMBON2015_031_5</t>
  </si>
  <si>
    <t>AMBON_2015_08_20_ML4.5_45_A_deep</t>
  </si>
  <si>
    <t>AMBON2015_031_45</t>
  </si>
  <si>
    <t>AMBON_2015_08_20_ML4.6_27.5_A_chl max</t>
  </si>
  <si>
    <t xml:space="preserve"> ML4.6</t>
  </si>
  <si>
    <t xml:space="preserve">  Aug 20 2015  07:40:47</t>
  </si>
  <si>
    <t>AMBON2015_032_28</t>
  </si>
  <si>
    <t>AMBON_2015_08_20_ML4.6_42.7_A_deep</t>
  </si>
  <si>
    <t>AMBON2015_032_43</t>
  </si>
  <si>
    <t>AMBON_2015_08_20_ML4.6_5.2_A_surface</t>
  </si>
  <si>
    <t>AMBON2015_032_5</t>
  </si>
  <si>
    <t>AMBON_2015_08_20_ML4.7_31.1_A_chl max</t>
  </si>
  <si>
    <t xml:space="preserve"> ML4.7</t>
  </si>
  <si>
    <t xml:space="preserve">  Aug 20 2015  11:06:37</t>
  </si>
  <si>
    <t>AMBON2015_033_31</t>
  </si>
  <si>
    <t>AMBON_2015_08_20_ML4.7_42.6_A_deep</t>
  </si>
  <si>
    <t>AMBON2015_033_43</t>
  </si>
  <si>
    <t>AMBON_2015_08_20_ML4.7_5.4_A_surface</t>
  </si>
  <si>
    <t>AMBON2015_033_5</t>
  </si>
  <si>
    <t>AMBON_2015_08_21_ML4.10_27.6_A_deep</t>
  </si>
  <si>
    <t xml:space="preserve"> ML4.10</t>
  </si>
  <si>
    <t xml:space="preserve">  Aug 21 2015  10:15:45</t>
  </si>
  <si>
    <t>AMBON2015_037_28</t>
  </si>
  <si>
    <t>AMBON_2015_08_21_ML4.10_5.5_A_surface</t>
  </si>
  <si>
    <t>AMBON2015_037_5</t>
  </si>
  <si>
    <t>AMBON_2015_08_21_ML4.11_14.7_A_temp max</t>
  </si>
  <si>
    <t xml:space="preserve"> ML4.11</t>
  </si>
  <si>
    <t xml:space="preserve">  Aug 21 2015  12:31:27</t>
  </si>
  <si>
    <t>temp max</t>
  </si>
  <si>
    <t>AMBON2015_038_15</t>
  </si>
  <si>
    <t>AMBON_2015_08_21_ML4.11_34.8_A_deep</t>
  </si>
  <si>
    <t>AMBON2015_038_35</t>
  </si>
  <si>
    <t>AMBON_2015_08_21_ML4.11_4.3_A_surface</t>
  </si>
  <si>
    <t>AMBON2015_038_4</t>
  </si>
  <si>
    <t>AMBON_2015_08_21_ML4.11.5_14.9_A_temp max</t>
  </si>
  <si>
    <t xml:space="preserve"> ML4.115</t>
  </si>
  <si>
    <t xml:space="preserve">  Aug 21 2015  14:44:56</t>
  </si>
  <si>
    <t>AMBON2015_039_15</t>
  </si>
  <si>
    <t>AMBON_2015_08_21_ML4.8_30.4_A_chl max</t>
  </si>
  <si>
    <t xml:space="preserve"> ML4.8</t>
  </si>
  <si>
    <t xml:space="preserve">  Aug 21 2015  05:00:22</t>
  </si>
  <si>
    <t>AMBON2015_035_30</t>
  </si>
  <si>
    <t>AMBON_2015_08_21_ML4.8_38.2_A_deep</t>
  </si>
  <si>
    <t>AMBON2015_035_38</t>
  </si>
  <si>
    <t>AMBON_2015_08_21_ML4.8_5.3_A_surface</t>
  </si>
  <si>
    <t>AMBON2015_035_5</t>
  </si>
  <si>
    <t>AMBON_2015_08_21_ML4.9_24.5_A_chl max</t>
  </si>
  <si>
    <t xml:space="preserve"> ML4.9</t>
  </si>
  <si>
    <t xml:space="preserve">  Aug 21 2015  07:39:38</t>
  </si>
  <si>
    <t>AMBON2015_036_24</t>
  </si>
  <si>
    <t>AMBON_2015_08_21_ML4.9_36.3_B_deep</t>
  </si>
  <si>
    <t>AMBON2015_036_36</t>
  </si>
  <si>
    <t>AMBON_2015_08_21_ML4.9_4.6_A_surface</t>
  </si>
  <si>
    <t>AMBON2015_036_5</t>
  </si>
  <si>
    <t>AMBON_2015_08_22_ML4.12_25_A_chl max</t>
  </si>
  <si>
    <t xml:space="preserve"> ML4.12</t>
  </si>
  <si>
    <t xml:space="preserve">  Aug 22 2015  04:02:08</t>
  </si>
  <si>
    <t>AMBON2015_041_25</t>
  </si>
  <si>
    <t>AMBON_2015_08_22_ML4.12_35.4_A_deep</t>
  </si>
  <si>
    <t>AMBON2015_041_35</t>
  </si>
  <si>
    <t>AMBON_2015_08_22_ML4.12_5.1_A_surface</t>
  </si>
  <si>
    <t>AMBON2015_041_5</t>
  </si>
  <si>
    <t>AMBON_2015_08_22_ML4.13_39.4_A_deep</t>
  </si>
  <si>
    <t xml:space="preserve"> ML4.13</t>
  </si>
  <si>
    <t xml:space="preserve">  Aug 22 2015  06:26:56</t>
  </si>
  <si>
    <t>AMBON2015_042_40</t>
  </si>
  <si>
    <t>AMBON_2015_08_22_ML4.13_4.9_A_surface</t>
  </si>
  <si>
    <t>AMBON2015_042_5</t>
  </si>
  <si>
    <t>AMBON_2015_08_22_ML4.14_30_A_chl max</t>
  </si>
  <si>
    <t xml:space="preserve"> ML4.14</t>
  </si>
  <si>
    <t xml:space="preserve">  Aug 22 2015  09:15:26</t>
  </si>
  <si>
    <t>AMBON2015_043_30</t>
  </si>
  <si>
    <t>AMBON_2015_08_22_ML4.14_43.7_A_deep</t>
  </si>
  <si>
    <t>AMBON2015_043_44</t>
  </si>
  <si>
    <t>AMBON_2015_08_22_ML4.14_9.8_A_surface</t>
  </si>
  <si>
    <t>AMBON2015_043_10</t>
  </si>
  <si>
    <t>AMBON_2015_08_23_ML3.11_20.5_C_chl max</t>
  </si>
  <si>
    <t xml:space="preserve"> ML3.11</t>
  </si>
  <si>
    <t xml:space="preserve">  Aug 23 2015  09:46:18</t>
  </si>
  <si>
    <t>AMBON2015_047_20</t>
  </si>
  <si>
    <t>AMBON_2015_08_23_ML3.11_33.3_E_deep</t>
  </si>
  <si>
    <t>AMBON2015_047_33</t>
  </si>
  <si>
    <t>AMBON_2015_08_23_ML3.11_4.9_D_surf</t>
  </si>
  <si>
    <t>AMBON2015_047_5</t>
  </si>
  <si>
    <t>AMBON_2015_08_23_ML3.12_20_A_chl max</t>
  </si>
  <si>
    <t xml:space="preserve"> ML3.12</t>
  </si>
  <si>
    <t xml:space="preserve">  Aug 23 2015  06:53:42</t>
  </si>
  <si>
    <t>AMBON2015_046_20</t>
  </si>
  <si>
    <t>AMBON_2015_08_23_ML3.12_34_A_deep</t>
  </si>
  <si>
    <t>AMBON2015_046_34</t>
  </si>
  <si>
    <t>AMBON_2015_08_23_ML3.12_4.6_A_surface</t>
  </si>
  <si>
    <t>AMBON2015_046_5</t>
  </si>
  <si>
    <t>AMBON_2015_08_23_ML3.13_35.7_A_deep</t>
  </si>
  <si>
    <t xml:space="preserve"> ML3.13</t>
  </si>
  <si>
    <t xml:space="preserve">  Aug 23 2015  04:11:48</t>
  </si>
  <si>
    <t>AMBON2015_045_36</t>
  </si>
  <si>
    <t>AMBON_2015_08_23_ML3.13_4.8_A_surface</t>
  </si>
  <si>
    <t>AMBON2015_045_5</t>
  </si>
  <si>
    <t>AMBON_2015_08_23_ML3.9_25.7_A_chl max</t>
  </si>
  <si>
    <t xml:space="preserve">  Aug 23 2015  14:57:41</t>
  </si>
  <si>
    <t>AMBON2015_050_26</t>
  </si>
  <si>
    <t>AMBON_2015_08_23_ML3.9_38.2_A_deep</t>
  </si>
  <si>
    <t>AMBON2015_050_38</t>
  </si>
  <si>
    <t>AMBON_2015_08_23_ML3.9_4.9_A_surface</t>
  </si>
  <si>
    <t>AMBON2015_050_5</t>
  </si>
  <si>
    <t>AMBON_2015_08_24_ML3.5_40.8_A_deep</t>
  </si>
  <si>
    <t xml:space="preserve">  Aug 24 2015  13:17:08</t>
  </si>
  <si>
    <t>AMBON2015_058_41</t>
  </si>
  <si>
    <t>AMBON_2015_08_24_ML3.5_5.3_A_surface</t>
  </si>
  <si>
    <t>AMBON2015_058_5</t>
  </si>
  <si>
    <t>AMBON_2015_08_24_ML3.6_4.6_A_surface</t>
  </si>
  <si>
    <t xml:space="preserve">  Aug 24 2015  10:31:12</t>
  </si>
  <si>
    <t>AMBON2015_056_5</t>
  </si>
  <si>
    <t>AMBON_2015_08_24_ML3.6_42.6_A_deep</t>
  </si>
  <si>
    <t>AMBON2015_056_42</t>
  </si>
  <si>
    <t>AMBON_2015_08_24_ML3.7_41.3_A_deep</t>
  </si>
  <si>
    <t xml:space="preserve">  Aug 24 2015  07:33:11</t>
  </si>
  <si>
    <t>AMBON2015_054_41</t>
  </si>
  <si>
    <t>AMBON_2015_08_24_ML3.7_5.2_A_surface</t>
  </si>
  <si>
    <t>AMBON2015_054_5</t>
  </si>
  <si>
    <t>AMBON_2015_08_24_ML3.8_40.1_A_deep</t>
  </si>
  <si>
    <t xml:space="preserve">  Aug 24 2015  04:39:51</t>
  </si>
  <si>
    <t>AMBON2015_052_40</t>
  </si>
  <si>
    <t>AMBON_2015_08_24_ML3.8_5.2_A_surface</t>
  </si>
  <si>
    <t>AMBON2015_052_5</t>
  </si>
  <si>
    <t>AMBON_2015_08_25_ML3.1_12.5_A_deep</t>
  </si>
  <si>
    <t xml:space="preserve"> ML3.1</t>
  </si>
  <si>
    <t xml:space="preserve">  Aug 25 2015  09:19:50</t>
  </si>
  <si>
    <t>AMBON2015_063_13</t>
  </si>
  <si>
    <t>AMBON_2015_08_25_ML3.1_5.1_A_surface</t>
  </si>
  <si>
    <t>AMBON2015_063_5</t>
  </si>
  <si>
    <t>AMBON_2015_08_25_ML3.2_22.2_A_deep</t>
  </si>
  <si>
    <t xml:space="preserve"> ML3.2</t>
  </si>
  <si>
    <t xml:space="preserve">  Aug 25 2015  07:06:59</t>
  </si>
  <si>
    <t>AMBON2015_062_22</t>
  </si>
  <si>
    <t>AMBON_2015_08_25_ML3.2_4.6_A_surface</t>
  </si>
  <si>
    <t>AMBON2015_062_5</t>
  </si>
  <si>
    <t>AMBON_2015_08_25_ML3.3_34.9_A_deep</t>
  </si>
  <si>
    <t xml:space="preserve"> ML3.3</t>
  </si>
  <si>
    <t xml:space="preserve">  Aug 25 2015  04:04:56</t>
  </si>
  <si>
    <t>AMBON2015_061_35</t>
  </si>
  <si>
    <t>AMBON_2015_08_25_ML3.3_4.6_A_surface</t>
  </si>
  <si>
    <t>AMBON2015_061_5</t>
  </si>
  <si>
    <t>AMBON_2015_08_30_ML5.10_34.9_A_deep</t>
  </si>
  <si>
    <t xml:space="preserve"> ML5.10</t>
  </si>
  <si>
    <t xml:space="preserve">  Aug 30 2015  06:30:50</t>
  </si>
  <si>
    <t>AMBON2015_065_35</t>
  </si>
  <si>
    <t>AMBON_2015_08_30_ML5.10_5.7_A_surface</t>
  </si>
  <si>
    <t>AMBON2015_065_6</t>
  </si>
  <si>
    <t>AMBON_2015_08_30_ML5.7_36.5_A_deep</t>
  </si>
  <si>
    <t xml:space="preserve"> ML5.7</t>
  </si>
  <si>
    <t xml:space="preserve">  Aug 30 2015  13:40:28</t>
  </si>
  <si>
    <t>AMBON2015_068_36</t>
  </si>
  <si>
    <t>AMBON_2015_08_30_ML5.7_5.5_A_surface</t>
  </si>
  <si>
    <t>AMBON2015_068_5</t>
  </si>
  <si>
    <t>AMBON_2015_08_30_ML5.9_34.7_A_deep</t>
  </si>
  <si>
    <t xml:space="preserve"> ML5.9</t>
  </si>
  <si>
    <t xml:space="preserve">  Aug 30 2015  09:23:23</t>
  </si>
  <si>
    <t>AMBON2015_066_35</t>
  </si>
  <si>
    <t>AMBON_2015_08_30_ML5.9_6_A_surface</t>
  </si>
  <si>
    <t>AMBON2015_066_6</t>
  </si>
  <si>
    <t>AMBON_2015_08_31_ML5.1_37_A_deep</t>
  </si>
  <si>
    <t xml:space="preserve"> ML5.1</t>
  </si>
  <si>
    <t xml:space="preserve">  Aug 31 2015  15:19:41</t>
  </si>
  <si>
    <t>AMBON2015_074_37</t>
  </si>
  <si>
    <t>AMBON_2015_08_31_ML5.1_4.4_A_surface</t>
  </si>
  <si>
    <t>AMBON2015_074_5</t>
  </si>
  <si>
    <t>AMBON_2015_08_31_ML5.2_35.1_A_deep</t>
  </si>
  <si>
    <t xml:space="preserve"> ML5.2</t>
  </si>
  <si>
    <t xml:space="preserve">  Aug 31 2015  13:08:15</t>
  </si>
  <si>
    <t>AMBON2015_073_35</t>
  </si>
  <si>
    <t>AMBON_2015_08_31_ML5.2_4.5_A_surface</t>
  </si>
  <si>
    <t>AMBON2015_073_5</t>
  </si>
  <si>
    <t>AMBON_2015_08_31_ML5.4_27.7_B_deep</t>
  </si>
  <si>
    <t xml:space="preserve"> ML5.4</t>
  </si>
  <si>
    <t xml:space="preserve">  Aug 31 2015  09:38:06</t>
  </si>
  <si>
    <t>AMBON2015_071_27</t>
  </si>
  <si>
    <t>AMBON_2015_08_31_ML5.4_27.7_E_deep</t>
  </si>
  <si>
    <t>AMBON_2015_08_31_ML5.5_36.9_A_deep</t>
  </si>
  <si>
    <t xml:space="preserve"> ML5.5</t>
  </si>
  <si>
    <t xml:space="preserve">  Aug 31 2015  06:57:03</t>
  </si>
  <si>
    <t>AMBON2015_070_36</t>
  </si>
  <si>
    <t>AMBON_2015_08_31_ML5.5_5.4_A_surface</t>
  </si>
  <si>
    <t>AMBON2015_070_6</t>
  </si>
  <si>
    <t>AMBON_2015_08_31_ML5.6_36_A_deep</t>
  </si>
  <si>
    <t xml:space="preserve"> ML5.6</t>
  </si>
  <si>
    <t xml:space="preserve">  Aug 31 2015  04:04:23</t>
  </si>
  <si>
    <t>AMBON2015_069_36</t>
  </si>
  <si>
    <t>AMBON_2015_08_31_ML5.6_4.5_A_surface</t>
  </si>
  <si>
    <t>AMBON2015_069_5</t>
  </si>
  <si>
    <t>AMBON_2015_09_01_ML1.11_38_A_deep</t>
  </si>
  <si>
    <t xml:space="preserve"> ML1.11</t>
  </si>
  <si>
    <t xml:space="preserve">  Sep 01 2015  10:59:09</t>
  </si>
  <si>
    <t>AMBON2015_078_38</t>
  </si>
  <si>
    <t>AMBON_2015_09_01_ML1.11_5.2_A_surface</t>
  </si>
  <si>
    <t>AMBON2015_078_5</t>
  </si>
  <si>
    <t>AMBON_2015_09_01_ML1.12_34.9_A_chl max</t>
  </si>
  <si>
    <t xml:space="preserve"> ML1.12</t>
  </si>
  <si>
    <t xml:space="preserve">  Sep 01 2015  08:01:41</t>
  </si>
  <si>
    <t>AMBON2015_076_35</t>
  </si>
  <si>
    <t>AMBON_2015_09_01_ML1.12_4.6_A_surface</t>
  </si>
  <si>
    <t>AMBON2015_076_4</t>
  </si>
  <si>
    <t>AMBON_2015_09_01_ML1.12_40.4_A_deep</t>
  </si>
  <si>
    <t xml:space="preserve">  Sep 01 2015  08:32:57</t>
  </si>
  <si>
    <t>AMBON2015_077_40</t>
  </si>
  <si>
    <t>AMBON_2015_09_01_ML1.13_35.3_A_chl max</t>
  </si>
  <si>
    <t xml:space="preserve"> ML1.13</t>
  </si>
  <si>
    <t xml:space="preserve">  Sep 01 2015  04:49:23</t>
  </si>
  <si>
    <t>AMBON2015_075_35</t>
  </si>
  <si>
    <t>AMBON_2015_09_01_ML1.13_42.9_A_deep</t>
  </si>
  <si>
    <t>AMBON2015_075_42</t>
  </si>
  <si>
    <t>AMBON_2015_09_01_ML1.13_5.1_A_surface</t>
  </si>
  <si>
    <t>AMBON2015_075_5</t>
  </si>
  <si>
    <t>AMBON_2015_09_02_ML1.5_37.1_A_deep</t>
  </si>
  <si>
    <t xml:space="preserve"> ML1.5</t>
  </si>
  <si>
    <t xml:space="preserve">  Sep 02 2015  13:56:23</t>
  </si>
  <si>
    <t>AMBON2015_084_37</t>
  </si>
  <si>
    <t>AMBON_2015_09_02_ML1.5_5_A_surface</t>
  </si>
  <si>
    <t>AMBON2015_084_5</t>
  </si>
  <si>
    <t>AMBON_2015_09_02_ML1.6_4.5_A_surface</t>
  </si>
  <si>
    <t xml:space="preserve"> ML1.6</t>
  </si>
  <si>
    <t xml:space="preserve">  Sep 02 2015  11:12:22</t>
  </si>
  <si>
    <t>AMBON2015_083_4</t>
  </si>
  <si>
    <t>AMBON_2015_09_02_ML1.6_40.6_A_deep</t>
  </si>
  <si>
    <t>AMBON2015_083_40</t>
  </si>
  <si>
    <t>AMBON_2015_09_02_ML1.7_33.6_A_deep</t>
  </si>
  <si>
    <t xml:space="preserve"> ML1.7</t>
  </si>
  <si>
    <t xml:space="preserve">  Sep 02 2015  08:54:53</t>
  </si>
  <si>
    <t>AMBON2015_082_34</t>
  </si>
  <si>
    <t>AMBON_2015_09_02_ML1.7_4.7_A_surface</t>
  </si>
  <si>
    <t>AMBON2015_082_5</t>
  </si>
  <si>
    <t>AMBON_2015_09_02_ML1.8_37.6_A_deep</t>
  </si>
  <si>
    <t xml:space="preserve"> ML1.8</t>
  </si>
  <si>
    <t xml:space="preserve">  Sep 02 2015  06:30:02</t>
  </si>
  <si>
    <t>AMBON2015_081_38</t>
  </si>
  <si>
    <t>AMBON_2015_09_02_ML1.8_4.8_A_surface</t>
  </si>
  <si>
    <t>AMBON2015_081_5</t>
  </si>
  <si>
    <t>AMBON_2015_09_02_ML1.9_36.8_A_deep</t>
  </si>
  <si>
    <t xml:space="preserve"> ML1.9</t>
  </si>
  <si>
    <t xml:space="preserve">  Sep 02 2015  03:58:44</t>
  </si>
  <si>
    <t>AMBON2015_080_37</t>
  </si>
  <si>
    <t>AMBON_2015_09_02_ML1.9_4.8_A_surface</t>
  </si>
  <si>
    <t>AMBON2015_080_5</t>
  </si>
  <si>
    <t>AMBON_2015_09_03_ML1.1_11.1_A_deep</t>
  </si>
  <si>
    <t xml:space="preserve"> ML1.1</t>
  </si>
  <si>
    <t xml:space="preserve">  Sep 03 2015  11:06:03</t>
  </si>
  <si>
    <t>AMBON2015_088_11</t>
  </si>
  <si>
    <t>AMBON_2015_09_03_ML1.1_4.1_A_surface</t>
  </si>
  <si>
    <t>AMBON2015_088_4</t>
  </si>
  <si>
    <t>AMBON_2015_09_03_ML1.2_17.8_A_deep</t>
  </si>
  <si>
    <t xml:space="preserve"> ML1.2</t>
  </si>
  <si>
    <t xml:space="preserve">  Sep 03 2015  08:28:43</t>
  </si>
  <si>
    <t>AMBON2015_087_18</t>
  </si>
  <si>
    <t>AMBON_2015_09_03_ML1.2_4.7_A_surface</t>
  </si>
  <si>
    <t>AMBON2015_087_5</t>
  </si>
  <si>
    <t>AMBON_2015_09_03_ML1.3_26.3_A_deep</t>
  </si>
  <si>
    <t xml:space="preserve"> ML1.3</t>
  </si>
  <si>
    <t xml:space="preserve">  Sep 03 2015  06:51:02</t>
  </si>
  <si>
    <t>AMBON2015_086_26</t>
  </si>
  <si>
    <t>AMBON_2015_09_03_ML1.3_4.6_A_surface</t>
  </si>
  <si>
    <t>AMBON2015_086_5</t>
  </si>
  <si>
    <t>AMBON_2015_09_03_ML1.4_15.5_A_chl max</t>
  </si>
  <si>
    <t xml:space="preserve"> ML1.4</t>
  </si>
  <si>
    <t xml:space="preserve">  Sep 03 2015  04:18:01</t>
  </si>
  <si>
    <t>AMBON2015_085_15</t>
  </si>
  <si>
    <t>AMBON_2015_09_03_ML1.4_29_A_deep</t>
  </si>
  <si>
    <t>AMBON2015_085_30</t>
  </si>
  <si>
    <t>AMBON_2015_09_03_ML1.4_5.1_A_surface</t>
  </si>
  <si>
    <t>AMBON2015_085_5</t>
  </si>
  <si>
    <t>BC2</t>
  </si>
  <si>
    <t>AMBON2015_001</t>
  </si>
  <si>
    <t>BC2_8_10_0</t>
  </si>
  <si>
    <t>BC2_8_10_20</t>
  </si>
  <si>
    <t>BC2_8_10_50</t>
  </si>
  <si>
    <t>AMBON2015_010</t>
  </si>
  <si>
    <t>CL0_8_13_10</t>
  </si>
  <si>
    <t>CL0_8_13_23</t>
  </si>
  <si>
    <t>CL0_8_13_5</t>
  </si>
  <si>
    <t>AMBON2015_012</t>
  </si>
  <si>
    <t>CL1_8_13_40</t>
  </si>
  <si>
    <t>AMBON2015_012_39</t>
  </si>
  <si>
    <t>AMBON2015_015</t>
  </si>
  <si>
    <t>CL2_8_14_11</t>
  </si>
  <si>
    <t>CL2_8_14_42</t>
  </si>
  <si>
    <t>CL2_8_14_5</t>
  </si>
  <si>
    <t>AMBON2015_014</t>
  </si>
  <si>
    <t>CL2.5_8_14_20</t>
  </si>
  <si>
    <t>CL2.5_8_14_43</t>
  </si>
  <si>
    <t>CL2.5_8_14_5</t>
  </si>
  <si>
    <t>AMBON2015_013</t>
  </si>
  <si>
    <t>CL3_8_14_21</t>
  </si>
  <si>
    <t>CL3_8_14_42</t>
  </si>
  <si>
    <t>CL3_8_14_5</t>
  </si>
  <si>
    <t>AMBON2015_009</t>
  </si>
  <si>
    <t>DBO3.1_8_13_11</t>
  </si>
  <si>
    <t>DBO3.1_8_13_27</t>
  </si>
  <si>
    <t>DBO3.1_8_13_5</t>
  </si>
  <si>
    <t>AMBON2015_008</t>
  </si>
  <si>
    <t>DBO3.2_8_13_21</t>
  </si>
  <si>
    <t>DBO3.2_8_13_35</t>
  </si>
  <si>
    <t>DBO3.2_8_13_4</t>
  </si>
  <si>
    <t>AMBON2015_007</t>
  </si>
  <si>
    <t>DBO3.3_8_13_41</t>
  </si>
  <si>
    <t>DBO3.3_8_13_5</t>
  </si>
  <si>
    <t>AMBON2015_006</t>
  </si>
  <si>
    <t>DBO3.4_8_12_20</t>
  </si>
  <si>
    <t>DBO3.4_8_12_3</t>
  </si>
  <si>
    <t>DBO3.4_8_12_43</t>
  </si>
  <si>
    <t>AMBON2015_005</t>
  </si>
  <si>
    <t>DBO3.5_8_12_21</t>
  </si>
  <si>
    <t>DBO3.5_8_12_47</t>
  </si>
  <si>
    <t>DBO3.5_8_12_5</t>
  </si>
  <si>
    <t>AMBON2015_004</t>
  </si>
  <si>
    <t>DBO3.6_8_12_20</t>
  </si>
  <si>
    <t>DBO3.6_8_12_5</t>
  </si>
  <si>
    <t>DBO3.6_8_12_53</t>
  </si>
  <si>
    <t>AMBON2015_003</t>
  </si>
  <si>
    <t>DBO3.7_8_12_20</t>
  </si>
  <si>
    <t>DBO3.7_8_12_31</t>
  </si>
  <si>
    <t>DBO3.7_8_12_5</t>
  </si>
  <si>
    <t>AMBON2015_002</t>
  </si>
  <si>
    <t>DBO3.8_8_12_19</t>
  </si>
  <si>
    <t>DBO3.8_8_12_43</t>
  </si>
  <si>
    <t>DBO3.8_8_12_5</t>
  </si>
  <si>
    <t>AMBON2015_088</t>
  </si>
  <si>
    <t>ML1.1_9_3_11</t>
  </si>
  <si>
    <t>ML1.1_9_3_4</t>
  </si>
  <si>
    <t>ML1.11</t>
  </si>
  <si>
    <t>AMBON2015_078</t>
  </si>
  <si>
    <t>ML1.11_9_1_38</t>
  </si>
  <si>
    <t>ML1.11_9_1_5</t>
  </si>
  <si>
    <t>AMBON2015_076</t>
  </si>
  <si>
    <t>ML1.12_9_1_35</t>
  </si>
  <si>
    <t>AMBON2015_077</t>
  </si>
  <si>
    <t>ML1.12_9_1_40</t>
  </si>
  <si>
    <t>ML1.12_9_1_5</t>
  </si>
  <si>
    <t>AMBON2015_075</t>
  </si>
  <si>
    <t>ML1.13_9_1_35</t>
  </si>
  <si>
    <t>ML1.13_9_1_43</t>
  </si>
  <si>
    <t>ML1.13_9_1_5</t>
  </si>
  <si>
    <t>ML1.2</t>
  </si>
  <si>
    <t>AMBON2015_087</t>
  </si>
  <si>
    <t>ML1.2_9_3_18</t>
  </si>
  <si>
    <t>ML1.2_9_3_5</t>
  </si>
  <si>
    <t>AMBON2015_086</t>
  </si>
  <si>
    <t>ML1.3_9_3_26</t>
  </si>
  <si>
    <t>ML1.3_9_3_5</t>
  </si>
  <si>
    <t>AMBON2015_085</t>
  </si>
  <si>
    <t>ML1.4_9_3_16</t>
  </si>
  <si>
    <t>ML1.4_9_3_29</t>
  </si>
  <si>
    <t>ML1.4_9_3_5</t>
  </si>
  <si>
    <t>AMBON2015_084</t>
  </si>
  <si>
    <t>ML1.5_9_2_37</t>
  </si>
  <si>
    <t>ML1.5_9_2_5</t>
  </si>
  <si>
    <t>ML1.6</t>
  </si>
  <si>
    <t>AMBON2015_083</t>
  </si>
  <si>
    <t>ML1.6_9_2_41</t>
  </si>
  <si>
    <t>AMBON2015_083_41</t>
  </si>
  <si>
    <t>ML1.6_9_2_5</t>
  </si>
  <si>
    <t>AMBON2015_082</t>
  </si>
  <si>
    <t>ML1.7_9_2_34</t>
  </si>
  <si>
    <t>ML1.7_9_2_5</t>
  </si>
  <si>
    <t>AMBON2015_081</t>
  </si>
  <si>
    <t>ML1.8_9_2_38</t>
  </si>
  <si>
    <t>ML1.8_9_2_5</t>
  </si>
  <si>
    <t>ML1.9</t>
  </si>
  <si>
    <t>AMBON2015_080</t>
  </si>
  <si>
    <t>ML1.9_9_2_37</t>
  </si>
  <si>
    <t>ML1.9_9_2_5</t>
  </si>
  <si>
    <t>AMBON2015_063</t>
  </si>
  <si>
    <t>ML3.1_8_25_13</t>
  </si>
  <si>
    <t>ML3.1_8_25_5</t>
  </si>
  <si>
    <t>AMBON2015_047</t>
  </si>
  <si>
    <t>ML3.11_8_23_21</t>
  </si>
  <si>
    <t>ML3.11_8_23_33</t>
  </si>
  <si>
    <t>ML3.11_8_23_5</t>
  </si>
  <si>
    <t>AMBON2015_046</t>
  </si>
  <si>
    <t>ML3.12_8_23_20</t>
  </si>
  <si>
    <t>ML3.12_8_23_34</t>
  </si>
  <si>
    <t>ML3.12_8_23_5</t>
  </si>
  <si>
    <t>ML3.13</t>
  </si>
  <si>
    <t>AMBON2015_045</t>
  </si>
  <si>
    <t>ML3.13_8_23_36</t>
  </si>
  <si>
    <t>ML3.13_8_23_5</t>
  </si>
  <si>
    <t>ML3.2_8_25_0</t>
  </si>
  <si>
    <t>AMBON2015_062</t>
  </si>
  <si>
    <t>ML3.2_8_25_22</t>
  </si>
  <si>
    <t>ML3.2_8_25_5</t>
  </si>
  <si>
    <t>ML3.3_8_25_0</t>
  </si>
  <si>
    <t>ML3.3</t>
  </si>
  <si>
    <t>AMBON2015_061</t>
  </si>
  <si>
    <t>ML3.3_8_25_35</t>
  </si>
  <si>
    <t>ML3.3_8_25_5</t>
  </si>
  <si>
    <t>ML3.5ANDDBO4.1</t>
  </si>
  <si>
    <t>AMBON2015_058</t>
  </si>
  <si>
    <t>ML3.5_8_24_41</t>
  </si>
  <si>
    <t>ML3.5_8_24_5</t>
  </si>
  <si>
    <t>ML3.6ANDDBO4.2</t>
  </si>
  <si>
    <t>AMBON2015_056</t>
  </si>
  <si>
    <t>ML3.6_8_24_43</t>
  </si>
  <si>
    <t>ML3.6_8_24_5</t>
  </si>
  <si>
    <t>ML3.7ANDDBO4.3</t>
  </si>
  <si>
    <t>AMBON2015_054</t>
  </si>
  <si>
    <t>ML3.7_8_24_41</t>
  </si>
  <si>
    <t>ML3.7_8_24_5</t>
  </si>
  <si>
    <t>ML3.8ANDDBO4.4</t>
  </si>
  <si>
    <t>AMBON2015_052</t>
  </si>
  <si>
    <t>ML3.8_8_24_40</t>
  </si>
  <si>
    <t>ML3.8_8_24_5</t>
  </si>
  <si>
    <t>ML3.9ANDDBO4.5</t>
  </si>
  <si>
    <t>AMBON2015_050</t>
  </si>
  <si>
    <t>ML3.9_8_23_26</t>
  </si>
  <si>
    <t>ML3.9_8_23_38</t>
  </si>
  <si>
    <t>ML3.9_8_23_5</t>
  </si>
  <si>
    <t>AMBON2015_026</t>
  </si>
  <si>
    <t>ML4.1_8_19_23</t>
  </si>
  <si>
    <t>ML4.1_8_19_4</t>
  </si>
  <si>
    <t>AMBON2015_037</t>
  </si>
  <si>
    <t>ML4.10_8_21_28</t>
  </si>
  <si>
    <t>ML4.10_8_21_6</t>
  </si>
  <si>
    <t>AMBON2015_038</t>
  </si>
  <si>
    <t>ML4.11_8_21_15</t>
  </si>
  <si>
    <t>ML4.11_8_21_35</t>
  </si>
  <si>
    <t>ML4.11_8_21_4</t>
  </si>
  <si>
    <t>ML4.115</t>
  </si>
  <si>
    <t>AMBON2015_039</t>
  </si>
  <si>
    <t>ML4.11.5_8_21_15</t>
  </si>
  <si>
    <t>AMBON2015_041</t>
  </si>
  <si>
    <t>ML4.12_8_22_25</t>
  </si>
  <si>
    <t>ML4.12_8_22_35</t>
  </si>
  <si>
    <t>ML4.12_8_22_5</t>
  </si>
  <si>
    <t>AMBON2015_042</t>
  </si>
  <si>
    <t>ML4.13_8_22_39</t>
  </si>
  <si>
    <t>ML4.13_8_22_5</t>
  </si>
  <si>
    <t>AMBON2015_043</t>
  </si>
  <si>
    <t>ML4.14_8_22_10</t>
  </si>
  <si>
    <t>ML4.14_8_22_30</t>
  </si>
  <si>
    <t>ML4.14_8_22_44</t>
  </si>
  <si>
    <t>AMBON2015_027</t>
  </si>
  <si>
    <t>ML4.2_8_19_30</t>
  </si>
  <si>
    <t>ML4.2_8_19_41</t>
  </si>
  <si>
    <t>ML4.2_8_19_6</t>
  </si>
  <si>
    <t>AMBON2015_028</t>
  </si>
  <si>
    <t>ML4.3_8_19_29</t>
  </si>
  <si>
    <t>ML4.3_8_19_5</t>
  </si>
  <si>
    <t>ML4.3_8_19_51</t>
  </si>
  <si>
    <t>AMBON2015_031</t>
  </si>
  <si>
    <t>ML4.5_8_20_30</t>
  </si>
  <si>
    <t>ML4.5_8_20_45</t>
  </si>
  <si>
    <t>ML4.5_8_20_5</t>
  </si>
  <si>
    <t>AMBON2015_032</t>
  </si>
  <si>
    <t>ML4.6_8_20_28</t>
  </si>
  <si>
    <t>ML4.6_8_20_43</t>
  </si>
  <si>
    <t>ML4.6_8_20_5</t>
  </si>
  <si>
    <t>AMBON2015_033</t>
  </si>
  <si>
    <t>ML4.7_8_20_31</t>
  </si>
  <si>
    <t>ML4.7_8_20_43</t>
  </si>
  <si>
    <t>ML4.7_8_20_5</t>
  </si>
  <si>
    <t>AMBON2015_035</t>
  </si>
  <si>
    <t>ML4.8_8_21_30</t>
  </si>
  <si>
    <t>ML4.8_8_21_38</t>
  </si>
  <si>
    <t>ML4.8_8_21_5</t>
  </si>
  <si>
    <t>AMBON2015_036</t>
  </si>
  <si>
    <t>ML4.9_8_21_25</t>
  </si>
  <si>
    <t>ML4.9_8_21_36</t>
  </si>
  <si>
    <t>ML4.9_8_21_5</t>
  </si>
  <si>
    <t>AMBON2015_074</t>
  </si>
  <si>
    <t>ML5.1_8_31_37</t>
  </si>
  <si>
    <t>ML5.1_8_31_4</t>
  </si>
  <si>
    <t>ML5.10</t>
  </si>
  <si>
    <t>AMBON2015_065</t>
  </si>
  <si>
    <t>ML5.10_8_30_35</t>
  </si>
  <si>
    <t>ML5.10_8_30_6</t>
  </si>
  <si>
    <t>ML5.2</t>
  </si>
  <si>
    <t>AMBON2015_073</t>
  </si>
  <si>
    <t>ML5.2_8_31_35</t>
  </si>
  <si>
    <t>ML5.2_8_31_5</t>
  </si>
  <si>
    <t>AMBON2015_071</t>
  </si>
  <si>
    <t>ML5.4_8_31_28</t>
  </si>
  <si>
    <t>ML5.5</t>
  </si>
  <si>
    <t>AMBON2015_070</t>
  </si>
  <si>
    <t>ML5.5_8_31_37</t>
  </si>
  <si>
    <t>ML5.5_8_31_5</t>
  </si>
  <si>
    <t>AMBON2015_069</t>
  </si>
  <si>
    <t>ML5.6_8_31_36</t>
  </si>
  <si>
    <t>ML5.6_8_31_5</t>
  </si>
  <si>
    <t>AMBON2015_068</t>
  </si>
  <si>
    <t>ML5.7_8_30_37</t>
  </si>
  <si>
    <t>ML5.7_8_30_6</t>
  </si>
  <si>
    <t>ML5.9</t>
  </si>
  <si>
    <t>AMBON2015_066</t>
  </si>
  <si>
    <t>ML5.9_8_30_35</t>
  </si>
  <si>
    <t>ML5.9_8_30_6</t>
  </si>
  <si>
    <t>AMBON2015_017</t>
  </si>
  <si>
    <t>ML6.1_8_15_30</t>
  </si>
  <si>
    <t>AMBON2015_029</t>
  </si>
  <si>
    <t>ML6.10_8_19_30</t>
  </si>
  <si>
    <t>ML6.10_8_19_50</t>
  </si>
  <si>
    <t>ML6.10_8_19_6</t>
  </si>
  <si>
    <t>AMBON2015_030</t>
  </si>
  <si>
    <t>ML6.11_8_19_10</t>
  </si>
  <si>
    <t>ML6.11_8_19_20</t>
  </si>
  <si>
    <t>ML6.11_8_19_31</t>
  </si>
  <si>
    <t>ML6.11_8_19_46</t>
  </si>
  <si>
    <t>ML6.11_8_19_5</t>
  </si>
  <si>
    <t>AMBON2015_018</t>
  </si>
  <si>
    <t>ML6.2_8_15_28</t>
  </si>
  <si>
    <t>ML6.2_8_15_6</t>
  </si>
  <si>
    <t>AMBON2015_019</t>
  </si>
  <si>
    <t>ML6.3_8_15_32</t>
  </si>
  <si>
    <t>ML6.3_8_15_5</t>
  </si>
  <si>
    <t>AMBON2015_021</t>
  </si>
  <si>
    <t>ML6.5_8_16_32</t>
  </si>
  <si>
    <t>ML6.5_8_16_5</t>
  </si>
  <si>
    <t>AMBON2015_022</t>
  </si>
  <si>
    <t>ML6.6_8_16_23</t>
  </si>
  <si>
    <t>ML6.6_8_16_34</t>
  </si>
  <si>
    <t>ML6.6_8_16_5</t>
  </si>
  <si>
    <t>AMBON2015_023</t>
  </si>
  <si>
    <t>ML6.7_8_16_22</t>
  </si>
  <si>
    <t>ML6.7_8_16_3</t>
  </si>
  <si>
    <t>ML6.7_8_16_40</t>
  </si>
  <si>
    <t>AMBON2015_024</t>
  </si>
  <si>
    <t>ML6.8_8_16_21</t>
  </si>
  <si>
    <t>ML6.8_8_16_36</t>
  </si>
  <si>
    <t>ML6.8_8_16_4</t>
  </si>
  <si>
    <t>AMBON2015_025</t>
  </si>
  <si>
    <t>ML6.9_8_16_22</t>
  </si>
  <si>
    <t>ML6.9_8_16_47</t>
  </si>
  <si>
    <t>ML6.9_8_16_7</t>
  </si>
  <si>
    <t>AMBON2015_001_10</t>
  </si>
  <si>
    <t>AMBON2015_001_3</t>
  </si>
  <si>
    <t>AMBON2015_001_40</t>
  </si>
  <si>
    <t>CEM</t>
  </si>
  <si>
    <t xml:space="preserve">  Aug 20 2015  13:23:17</t>
  </si>
  <si>
    <t>AMBON2015_034</t>
  </si>
  <si>
    <t>AMBON2015_034_10</t>
  </si>
  <si>
    <t>AMBON2015_034_20</t>
  </si>
  <si>
    <t>AMBON2015_034_32</t>
  </si>
  <si>
    <t>AMBON2015_034_42</t>
  </si>
  <si>
    <t>AMBON2015_034_5</t>
  </si>
  <si>
    <t>AMBON2015_010_16</t>
  </si>
  <si>
    <t>AMBON2015_012_10</t>
  </si>
  <si>
    <t>AMBON2015_012_21</t>
  </si>
  <si>
    <t>AMBON2015_012_31</t>
  </si>
  <si>
    <t>AMBON2015_012_4</t>
  </si>
  <si>
    <t xml:space="preserve">  Aug 14 2015  14:46:54</t>
  </si>
  <si>
    <t>AMBON2015_016</t>
  </si>
  <si>
    <t>AMBON2015_016_21</t>
  </si>
  <si>
    <t>AMBON2015_016_30</t>
  </si>
  <si>
    <t>AMBON2015_016_4</t>
  </si>
  <si>
    <t>AMBON2015_016_42</t>
  </si>
  <si>
    <t>AMBON2015_016_9</t>
  </si>
  <si>
    <t>AMBON2015_015_20</t>
  </si>
  <si>
    <t>AMBON2015_015_3</t>
  </si>
  <si>
    <t>AMBON2015_015_30</t>
  </si>
  <si>
    <t>AMBON2015_014_10</t>
  </si>
  <si>
    <t>AMBON2015_014_29</t>
  </si>
  <si>
    <t>AMBON2015_013_11</t>
  </si>
  <si>
    <t>AMBON2015_013_30</t>
  </si>
  <si>
    <t>AMBON2015_009_22</t>
  </si>
  <si>
    <t>AMBON2015_008_10</t>
  </si>
  <si>
    <t>AMBON2015_008_29</t>
  </si>
  <si>
    <t>AMBON2015_007_10</t>
  </si>
  <si>
    <t>AMBON2015_007_21</t>
  </si>
  <si>
    <t>AMBON2015_007_30</t>
  </si>
  <si>
    <t>AMBON2015_006_10</t>
  </si>
  <si>
    <t>AMBON2015_006_11</t>
  </si>
  <si>
    <t>AMBON2015_006_2</t>
  </si>
  <si>
    <t>AMBON2015_006_31</t>
  </si>
  <si>
    <t>AMBON2015_006_45</t>
  </si>
  <si>
    <t>AMBON2015_005_11</t>
  </si>
  <si>
    <t>AMBON2015_005_30</t>
  </si>
  <si>
    <t>AMBON2015_004_30</t>
  </si>
  <si>
    <t>AMBON2015_004_39</t>
  </si>
  <si>
    <t>AMBON2015_004_9</t>
  </si>
  <si>
    <t>AMBON2015_003_11</t>
  </si>
  <si>
    <t>AMBON2015_003_43</t>
  </si>
  <si>
    <t>AMBON2015_002_10</t>
  </si>
  <si>
    <t>AMBON2015_002_21</t>
  </si>
  <si>
    <t>AMBON2015_002_31</t>
  </si>
  <si>
    <t xml:space="preserve">  Sep 01 2015  13:41:57</t>
  </si>
  <si>
    <t>AMBON2015_079</t>
  </si>
  <si>
    <t>AMBON2015_079_10</t>
  </si>
  <si>
    <t>AMBON2015_079_20</t>
  </si>
  <si>
    <t>AMBON2015_079_30</t>
  </si>
  <si>
    <t>AMBON2015_079_37</t>
  </si>
  <si>
    <t>AMBON2015_079_5</t>
  </si>
  <si>
    <t>AMBON2015_078_10</t>
  </si>
  <si>
    <t>AMBON2015_078_19</t>
  </si>
  <si>
    <t>AMBON2015_078_30</t>
  </si>
  <si>
    <t>AMBON2015_076_10</t>
  </si>
  <si>
    <t>AMBON2015_076_20</t>
  </si>
  <si>
    <t>AMBON2015_076_30</t>
  </si>
  <si>
    <t>AMBON2015_076_38</t>
  </si>
  <si>
    <t>AMBON2015_077_41</t>
  </si>
  <si>
    <t>AMBON2015_075_20</t>
  </si>
  <si>
    <t>AMBON2015_075_30</t>
  </si>
  <si>
    <t>AMBON2015_075_9</t>
  </si>
  <si>
    <t>AMBON2015_087_10</t>
  </si>
  <si>
    <t>AMBON2015_086_10</t>
  </si>
  <si>
    <t>AMBON2015_086_20</t>
  </si>
  <si>
    <t>AMBON2015_085_10</t>
  </si>
  <si>
    <t>AMBON2015_085_20</t>
  </si>
  <si>
    <t>AMBON2015_084_10</t>
  </si>
  <si>
    <t>AMBON2015_084_20</t>
  </si>
  <si>
    <t>AMBON2015_084_30</t>
  </si>
  <si>
    <t>AMBON2015_083_10</t>
  </si>
  <si>
    <t>AMBON2015_083_20</t>
  </si>
  <si>
    <t>AMBON2015_083_31</t>
  </si>
  <si>
    <t>AMBON2015_082_20</t>
  </si>
  <si>
    <t>AMBON2015_082_9</t>
  </si>
  <si>
    <t>AMBON2015_081_10</t>
  </si>
  <si>
    <t>AMBON2015_081_20</t>
  </si>
  <si>
    <t>AMBON2015_081_30</t>
  </si>
  <si>
    <t>AMBON2015_080_11</t>
  </si>
  <si>
    <t>AMBON2015_080_20</t>
  </si>
  <si>
    <t>AMBON2015_080_30</t>
  </si>
  <si>
    <t>ML3.10ANDDBO4.6</t>
  </si>
  <si>
    <t xml:space="preserve">  Aug 23 2015  12:27:57</t>
  </si>
  <si>
    <t>AMBON2015_048</t>
  </si>
  <si>
    <t>AMBON2015_048_20</t>
  </si>
  <si>
    <t>AMBON2015_048_30</t>
  </si>
  <si>
    <t>AMBON2015_048_36</t>
  </si>
  <si>
    <t>AMBON2015_048_37</t>
  </si>
  <si>
    <t>AMBON2015_048_4</t>
  </si>
  <si>
    <t>AMBON2015_048_9</t>
  </si>
  <si>
    <t>AMBON2015_047_10</t>
  </si>
  <si>
    <t>AMBON2015_046_9</t>
  </si>
  <si>
    <t>AMBON2015_045_20</t>
  </si>
  <si>
    <t>AMBON2015_045_31</t>
  </si>
  <si>
    <t>AMBON2015_045_9</t>
  </si>
  <si>
    <t xml:space="preserve">  Aug 22 2015  14:30:16</t>
  </si>
  <si>
    <t>AMBON2015_044</t>
  </si>
  <si>
    <t>AMBON2015_044_10</t>
  </si>
  <si>
    <t>AMBON2015_044_20</t>
  </si>
  <si>
    <t>AMBON2015_044_31</t>
  </si>
  <si>
    <t>AMBON2015_044_40</t>
  </si>
  <si>
    <t>AMBON2015_044_5</t>
  </si>
  <si>
    <t>AMBON2015_062_10</t>
  </si>
  <si>
    <t>AMBON2015_061_10</t>
  </si>
  <si>
    <t>AMBON2015_061_21</t>
  </si>
  <si>
    <t>AMBON2015_061_27</t>
  </si>
  <si>
    <t>AMBON2015_061_6</t>
  </si>
  <si>
    <t>AMBON2015_058_10</t>
  </si>
  <si>
    <t>AMBON2015_058_20</t>
  </si>
  <si>
    <t>AMBON2015_058_30</t>
  </si>
  <si>
    <t>AMBON2015_056_20</t>
  </si>
  <si>
    <t>AMBON2015_056_30</t>
  </si>
  <si>
    <t>AMBON2015_056_9</t>
  </si>
  <si>
    <t>AMBON2015_054_10</t>
  </si>
  <si>
    <t>AMBON2015_054_20</t>
  </si>
  <si>
    <t>AMBON2015_054_30</t>
  </si>
  <si>
    <t>AMBON2015_052_10</t>
  </si>
  <si>
    <t>AMBON2015_052_20</t>
  </si>
  <si>
    <t>AMBON2015_052_30</t>
  </si>
  <si>
    <t>AMBON2015_050_11</t>
  </si>
  <si>
    <t>AMBON2015_050_20</t>
  </si>
  <si>
    <t>AMBON2015_050_31</t>
  </si>
  <si>
    <t>AMBON2015_026_10</t>
  </si>
  <si>
    <t>AMBON2015_026_3</t>
  </si>
  <si>
    <t>AMBON2015_037_10</t>
  </si>
  <si>
    <t>AMBON2015_037_20</t>
  </si>
  <si>
    <t>AMBON2015_038_20</t>
  </si>
  <si>
    <t>AMBON2015_038_30</t>
  </si>
  <si>
    <t>AMBON2015_038_9</t>
  </si>
  <si>
    <t>AMBON2015_041_10</t>
  </si>
  <si>
    <t>AMBON2015_041_20</t>
  </si>
  <si>
    <t>AMBON2015_041_30</t>
  </si>
  <si>
    <t>AMBON2015_042_10</t>
  </si>
  <si>
    <t>AMBON2015_042_20</t>
  </si>
  <si>
    <t>AMBON2015_042_30</t>
  </si>
  <si>
    <t>AMBON2015_043_20</t>
  </si>
  <si>
    <t>AMBON2015_043_5</t>
  </si>
  <si>
    <t>AMBON2015_027_11</t>
  </si>
  <si>
    <t>AMBON2015_027_20</t>
  </si>
  <si>
    <t>AMBON2015_028_10</t>
  </si>
  <si>
    <t>AMBON2015_028_21</t>
  </si>
  <si>
    <t>AMBON2015_028_31</t>
  </si>
  <si>
    <t>AMBON2015_028_40</t>
  </si>
  <si>
    <t>AMBON2015_031_10</t>
  </si>
  <si>
    <t>AMBON2015_031_20</t>
  </si>
  <si>
    <t>AMBON2015_032_10</t>
  </si>
  <si>
    <t>AMBON2015_032_20</t>
  </si>
  <si>
    <t>AMBON2015_032_30</t>
  </si>
  <si>
    <t>AMBON2015_033_10</t>
  </si>
  <si>
    <t>AMBON2015_033_21</t>
  </si>
  <si>
    <t>AMBON2015_035_11</t>
  </si>
  <si>
    <t>AMBON2015_035_20</t>
  </si>
  <si>
    <t>AMBON2015_036_10</t>
  </si>
  <si>
    <t>AMBON2015_036_20</t>
  </si>
  <si>
    <t>AMBON2015_036_30</t>
  </si>
  <si>
    <t>AMBON2015_074_10</t>
  </si>
  <si>
    <t>AMBON2015_074_20</t>
  </si>
  <si>
    <t>AMBON2015_074_30</t>
  </si>
  <si>
    <t>AMBON2015_074_31</t>
  </si>
  <si>
    <t>AMBON2015_065_10</t>
  </si>
  <si>
    <t>AMBON2015_065_20</t>
  </si>
  <si>
    <t>AMBON2015_065_31</t>
  </si>
  <si>
    <t>ML5.11&amp;ML4.8</t>
  </si>
  <si>
    <t xml:space="preserve">  Aug 30 2015  04:38:41</t>
  </si>
  <si>
    <t>AMBON2015_064</t>
  </si>
  <si>
    <t>AMBON2015_064_10</t>
  </si>
  <si>
    <t>AMBON2015_064_20</t>
  </si>
  <si>
    <t>AMBON2015_064_31</t>
  </si>
  <si>
    <t>AMBON2015_064_36</t>
  </si>
  <si>
    <t>AMBON2015_064_37</t>
  </si>
  <si>
    <t>AMBON2015_064_5</t>
  </si>
  <si>
    <t>AMBON2015_073_10</t>
  </si>
  <si>
    <t>AMBON2015_073_20</t>
  </si>
  <si>
    <t>ML5.3</t>
  </si>
  <si>
    <t xml:space="preserve">  Aug 31 2015  11:53:01</t>
  </si>
  <si>
    <t>AMBON2015_072</t>
  </si>
  <si>
    <t>AMBON2015_072_10</t>
  </si>
  <si>
    <t>AMBON2015_072_20</t>
  </si>
  <si>
    <t>AMBON2015_072_34</t>
  </si>
  <si>
    <t>AMBON2015_072_6</t>
  </si>
  <si>
    <t>AMBON2015_071_10</t>
  </si>
  <si>
    <t>AMBON2015_071_21</t>
  </si>
  <si>
    <t>AMBON2015_071_5</t>
  </si>
  <si>
    <t>AMBON2015_070_10</t>
  </si>
  <si>
    <t>AMBON2015_070_20</t>
  </si>
  <si>
    <t>AMBON2015_070_30</t>
  </si>
  <si>
    <t>AMBON2015_069_10</t>
  </si>
  <si>
    <t>AMBON2015_069_2</t>
  </si>
  <si>
    <t>AMBON2015_069_20</t>
  </si>
  <si>
    <t>AMBON2015_069_30</t>
  </si>
  <si>
    <t>AMBON2015_068_21</t>
  </si>
  <si>
    <t>AMBON2015_068_29</t>
  </si>
  <si>
    <t>AMBON2015_068_9</t>
  </si>
  <si>
    <t>ML5.8</t>
  </si>
  <si>
    <t xml:space="preserve">  Aug 30 2015  12:04:52</t>
  </si>
  <si>
    <t>AMBON2015_067</t>
  </si>
  <si>
    <t>AMBON2015_067_10</t>
  </si>
  <si>
    <t>AMBON2015_067_21</t>
  </si>
  <si>
    <t>AMBON2015_067_29</t>
  </si>
  <si>
    <t>AMBON2015_067_38</t>
  </si>
  <si>
    <t>AMBON2015_067_5</t>
  </si>
  <si>
    <t>AMBON2015_066_13</t>
  </si>
  <si>
    <t>AMBON2015_066_20</t>
  </si>
  <si>
    <t>AMBON2015_066_29</t>
  </si>
  <si>
    <t>AMBON2015_017_10</t>
  </si>
  <si>
    <t>AMBON2015_017_21</t>
  </si>
  <si>
    <t>AMBON2015_017_25</t>
  </si>
  <si>
    <t>AMBON2015_017_5</t>
  </si>
  <si>
    <t>AMBON2015_029_11</t>
  </si>
  <si>
    <t>AMBON2015_029_20</t>
  </si>
  <si>
    <t>AMBON2015_029_42</t>
  </si>
  <si>
    <t>AMBON2015_018_10</t>
  </si>
  <si>
    <t>AMBON2015_018_21</t>
  </si>
  <si>
    <t>AMBON2015_019_10</t>
  </si>
  <si>
    <t>AMBON2015_019_20</t>
  </si>
  <si>
    <t xml:space="preserve">  Aug 15 2015  12:48:56</t>
  </si>
  <si>
    <t>AMBON2015_020</t>
  </si>
  <si>
    <t>AMBON2015_020_10</t>
  </si>
  <si>
    <t>AMBON2015_020_21</t>
  </si>
  <si>
    <t>AMBON2015_020_32</t>
  </si>
  <si>
    <t>AMBON2015_020_5</t>
  </si>
  <si>
    <t>AMBON2015_021_10</t>
  </si>
  <si>
    <t>AMBON2015_021_20</t>
  </si>
  <si>
    <t>AMBON2015_022_11</t>
  </si>
  <si>
    <t>AMBON2015_022_31</t>
  </si>
  <si>
    <t>AMBON2015_023_11</t>
  </si>
  <si>
    <t>AMBON2015_023_31</t>
  </si>
  <si>
    <t>AMBON2015_024_11</t>
  </si>
  <si>
    <t>AMBON2015_024_30</t>
  </si>
  <si>
    <t>AMBON2015_025_34</t>
  </si>
  <si>
    <t>AMBON2015_025_41</t>
  </si>
  <si>
    <t>AMBON2015_025_9</t>
  </si>
  <si>
    <t>x</t>
  </si>
  <si>
    <t xml:space="preserve"> ML3.9 AND DBO4.5</t>
  </si>
  <si>
    <t xml:space="preserve"> ML3.5 AND DBO4.1</t>
  </si>
  <si>
    <t xml:space="preserve"> ML3.6 AND DBO4.2</t>
  </si>
  <si>
    <t xml:space="preserve"> ML3.7 AND DBO4.3</t>
  </si>
  <si>
    <t xml:space="preserve"> ML3.8 AND DBO4.4</t>
  </si>
  <si>
    <t xml:space="preserve"> CL1.5</t>
  </si>
  <si>
    <t xml:space="preserve"> ML6.4</t>
  </si>
  <si>
    <t xml:space="preserve"> CEM</t>
  </si>
  <si>
    <t xml:space="preserve"> ML3.14</t>
  </si>
  <si>
    <t xml:space="preserve"> ML3.10 AND DBO4.6</t>
  </si>
  <si>
    <t xml:space="preserve"> ML5.11 &amp; ML4.8</t>
  </si>
  <si>
    <t xml:space="preserve"> ML5.8</t>
  </si>
  <si>
    <t xml:space="preserve"> ML5.3</t>
  </si>
  <si>
    <t xml:space="preserve"> ML1.10</t>
  </si>
  <si>
    <t>metadat_label</t>
  </si>
  <si>
    <t>year</t>
  </si>
  <si>
    <t>month</t>
  </si>
  <si>
    <t>day</t>
  </si>
  <si>
    <t>depth</t>
  </si>
  <si>
    <t>replicate</t>
  </si>
  <si>
    <t>hasrep</t>
  </si>
  <si>
    <t>depth_bin</t>
  </si>
  <si>
    <t>cast_bottle</t>
  </si>
  <si>
    <t>AMBON</t>
  </si>
  <si>
    <t>A</t>
  </si>
  <si>
    <t>B</t>
  </si>
  <si>
    <t>AMBON_2015_08_15_ML6.1_5.3_A_surface</t>
  </si>
  <si>
    <t>C</t>
  </si>
  <si>
    <t>ML4.11.5</t>
  </si>
  <si>
    <t>D</t>
  </si>
  <si>
    <t>ML3.9</t>
  </si>
  <si>
    <t>AMBON_2015_08_23_ML4.10_5.5_A_surface</t>
  </si>
  <si>
    <t>AMBON_2015_08_23_ML4.10_27.6_A_deep</t>
  </si>
  <si>
    <t>ML3.5</t>
  </si>
  <si>
    <t>ML3.6</t>
  </si>
  <si>
    <t>ML3.7</t>
  </si>
  <si>
    <t>ML3.8</t>
  </si>
  <si>
    <t>AMBON_2015_08_25_ML3.2_0_A_mid</t>
  </si>
  <si>
    <t>AMBON_2015_08_25_ML3.3_0_A_mid</t>
  </si>
  <si>
    <t>AMBON_2015_08_30_ML4.8_5.3_A_surface</t>
  </si>
  <si>
    <t>AMBON_2015_08_30_ML4.8_38.2_A_deep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</si>
</sst>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m\ dd\ yyyy\ hh:mm"/>
    <numFmt numFmtId="177" formatCode="0.0000"/>
    <numFmt numFmtId="178" formatCode="[$-409]m/d/yyyy"/>
    <numFmt numFmtId="179" formatCode="hh:mm:ss\ AM/PM"/>
  </numFmts>
  <fonts count="8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i/>
      <sz val="12"/>
      <color rgb="FF7F7F7F"/>
      <name val="Calibri"/>
      <family val="2"/>
      <charset val="1"/>
    </font>
    <font>
      <sz val="12"/>
      <color rgb="FF000000"/>
      <name val="Arial"/>
      <family val="2"/>
    </font>
    <font>
      <sz val="12"/>
      <color rgb="FF000000"/>
      <name val="Calibri"/>
      <family val="2"/>
      <charset val="1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6" fillId="0" borderId="0">
      <alignment horizontal="left"/>
    </xf>
    <xf numFmtId="0" fontId="6" fillId="0" borderId="0"/>
    <xf numFmtId="0" fontId="6" fillId="0" borderId="0"/>
    <xf numFmtId="0" fontId="1" fillId="0" borderId="0"/>
    <xf numFmtId="0" fontId="1" fillId="0" borderId="0">
      <alignment horizontal="left"/>
    </xf>
    <xf numFmtId="0" fontId="6" fillId="0" borderId="0"/>
    <xf numFmtId="0" fontId="4" fillId="0" borderId="0"/>
  </cellStyleXfs>
  <cellXfs count="15">
    <xf numFmtId="0" fontId="0" fillId="0" borderId="0" xfId="0"/>
    <xf numFmtId="0" fontId="2" fillId="0" borderId="0" xfId="0" applyFont="1" applyAlignment="1" applyProtection="1">
      <alignment horizontal="left"/>
      <protection locked="0"/>
    </xf>
    <xf numFmtId="176" fontId="2" fillId="0" borderId="0" xfId="0" applyNumberFormat="1" applyFont="1" applyAlignment="1" applyProtection="1">
      <alignment horizontal="left"/>
      <protection locked="0"/>
    </xf>
    <xf numFmtId="177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1" fontId="2" fillId="0" borderId="0" xfId="0" applyNumberFormat="1" applyFont="1" applyAlignment="1" applyProtection="1">
      <alignment horizontal="left"/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178" fontId="3" fillId="0" borderId="0" xfId="0" applyNumberFormat="1" applyFont="1" applyAlignment="1" applyProtection="1">
      <alignment horizontal="left"/>
      <protection locked="0"/>
    </xf>
    <xf numFmtId="0" fontId="3" fillId="0" borderId="0" xfId="7" applyFont="1" applyAlignment="1" applyProtection="1">
      <alignment horizontal="left"/>
      <protection locked="0"/>
    </xf>
    <xf numFmtId="49" fontId="2" fillId="0" borderId="0" xfId="0" applyNumberFormat="1" applyFont="1" applyProtection="1">
      <protection locked="0"/>
    </xf>
    <xf numFmtId="49" fontId="0" fillId="0" borderId="0" xfId="0" applyNumberFormat="1"/>
    <xf numFmtId="179" fontId="0" fillId="0" borderId="0" xfId="0" applyNumberFormat="1"/>
    <xf numFmtId="0" fontId="5" fillId="0" borderId="0" xfId="0" applyFont="1" applyAlignment="1">
      <alignment horizontal="left"/>
    </xf>
  </cellXfs>
  <cellStyles count="8">
    <cellStyle name="Excel Built-in Explanatory Text" xfId="7" xr:uid="{00000000-0005-0000-0000-000007000000}"/>
    <cellStyle name="Pivot Table Category" xfId="1" xr:uid="{00000000-0005-0000-0000-000001000000}"/>
    <cellStyle name="Pivot Table Corner" xfId="2" xr:uid="{00000000-0005-0000-0000-000002000000}"/>
    <cellStyle name="Pivot Table Field" xfId="3" xr:uid="{00000000-0005-0000-0000-000003000000}"/>
    <cellStyle name="Pivot Table Result" xfId="4" xr:uid="{00000000-0005-0000-0000-000004000000}"/>
    <cellStyle name="Pivot Table Title" xfId="5" xr:uid="{00000000-0005-0000-0000-000005000000}"/>
    <cellStyle name="Pivot Table Value" xfId="6" xr:uid="{00000000-0005-0000-0000-000006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451"/>
  <sheetViews>
    <sheetView tabSelected="1" topLeftCell="A1162" zoomScale="84" zoomScaleNormal="40" workbookViewId="0">
      <selection activeCell="A1453" sqref="A1453"/>
    </sheetView>
  </sheetViews>
  <sheetFormatPr baseColWidth="10" defaultColWidth="10.5" defaultRowHeight="16"/>
  <cols>
    <col min="1" max="1" width="47.5" style="1" customWidth="1"/>
    <col min="2" max="2" width="18.6640625" style="1" customWidth="1"/>
    <col min="3" max="4" width="47.5" style="1" customWidth="1"/>
    <col min="5" max="5" width="14.83203125" style="1" customWidth="1"/>
    <col min="6" max="6" width="19.6640625" style="1" customWidth="1"/>
    <col min="7" max="7" width="12.5" style="1" customWidth="1"/>
    <col min="8" max="8" width="22.83203125" style="2" customWidth="1"/>
    <col min="9" max="9" width="13.1640625" style="1" customWidth="1"/>
    <col min="10" max="10" width="5.33203125" style="1" customWidth="1"/>
    <col min="11" max="11" width="19.6640625" style="1" customWidth="1"/>
    <col min="12" max="12" width="11.5" style="1" customWidth="1"/>
    <col min="13" max="13" width="9.83203125" style="1" customWidth="1"/>
    <col min="14" max="14" width="13.6640625" style="1" customWidth="1"/>
    <col min="15" max="15" width="13.1640625" style="1" customWidth="1"/>
    <col min="16" max="16" width="13.6640625" style="1" customWidth="1"/>
    <col min="17" max="18" width="9.83203125" style="1" customWidth="1"/>
    <col min="19" max="20" width="13.1640625" style="1" customWidth="1"/>
    <col min="21" max="22" width="18.6640625" style="1" customWidth="1"/>
    <col min="23" max="23" width="19.5" style="3" customWidth="1"/>
    <col min="24" max="24" width="9.83203125" style="1" customWidth="1"/>
    <col min="25" max="25" width="9.1640625" style="1" customWidth="1"/>
    <col min="26" max="26" width="12" style="1" customWidth="1"/>
    <col min="27" max="27" width="9.1640625" style="1" customWidth="1"/>
    <col min="28" max="28" width="7.83203125" style="1" customWidth="1"/>
    <col min="29" max="31" width="9.1640625" style="1" customWidth="1"/>
    <col min="32" max="32" width="13.1640625" style="1" customWidth="1"/>
    <col min="33" max="33" width="6.5" style="1" customWidth="1"/>
    <col min="34" max="34" width="38.6640625" style="1" customWidth="1"/>
    <col min="35" max="35" width="6.5" style="1" customWidth="1"/>
    <col min="36" max="38" width="17" style="1" customWidth="1"/>
    <col min="39" max="40" width="18.6640625" style="1" customWidth="1"/>
    <col min="41" max="41" width="22" style="1" customWidth="1"/>
    <col min="42" max="42" width="11.5" style="1" customWidth="1"/>
    <col min="43" max="43" width="13.6640625" style="1" customWidth="1"/>
    <col min="44" max="44" width="16.5" style="1" customWidth="1"/>
    <col min="45" max="45" width="99.5" style="1" customWidth="1"/>
    <col min="46" max="46" width="24" style="1" customWidth="1"/>
    <col min="47" max="1023" width="10.5" style="1" customWidth="1"/>
    <col min="1024" max="1025" width="10.5" style="4" customWidth="1"/>
  </cols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5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6" t="s">
        <v>38</v>
      </c>
      <c r="AO1" s="6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1392</v>
      </c>
      <c r="C2" s="1" t="s">
        <v>1392</v>
      </c>
      <c r="D2" s="1" t="s">
        <v>1393</v>
      </c>
      <c r="E2" s="1" t="s">
        <v>1394</v>
      </c>
      <c r="F2" s="1" t="s">
        <v>1059</v>
      </c>
      <c r="G2" s="1" t="s">
        <v>1395</v>
      </c>
      <c r="I2" s="1">
        <v>4</v>
      </c>
      <c r="O2" s="1">
        <v>68.013000000000005</v>
      </c>
      <c r="P2" s="1">
        <v>-167.87516669999999</v>
      </c>
      <c r="AH2" s="7" t="s">
        <v>1393</v>
      </c>
      <c r="AI2" s="8"/>
      <c r="AJ2" s="8"/>
      <c r="AK2" s="8"/>
      <c r="AM2" s="1">
        <v>0</v>
      </c>
      <c r="AT2" s="8"/>
    </row>
    <row r="3" spans="1:46">
      <c r="A3" s="1" t="s">
        <v>1396</v>
      </c>
      <c r="C3" s="1" t="s">
        <v>1396</v>
      </c>
      <c r="D3" s="1" t="s">
        <v>1397</v>
      </c>
      <c r="E3" s="1" t="s">
        <v>1394</v>
      </c>
      <c r="F3" s="1" t="s">
        <v>1059</v>
      </c>
      <c r="G3" s="1" t="s">
        <v>1395</v>
      </c>
      <c r="I3" s="1">
        <v>4</v>
      </c>
      <c r="O3" s="1">
        <v>68.013000000000005</v>
      </c>
      <c r="P3" s="1">
        <v>-167.87516669999999</v>
      </c>
      <c r="AH3" s="7" t="s">
        <v>1397</v>
      </c>
      <c r="AI3" s="8"/>
      <c r="AJ3" s="8"/>
      <c r="AK3" s="8"/>
      <c r="AM3" s="1">
        <v>0</v>
      </c>
      <c r="AT3" s="8"/>
    </row>
    <row r="4" spans="1:46">
      <c r="A4" s="1" t="s">
        <v>1398</v>
      </c>
      <c r="C4" s="1" t="s">
        <v>1398</v>
      </c>
      <c r="D4" s="1" t="s">
        <v>1399</v>
      </c>
      <c r="E4" s="1" t="s">
        <v>1394</v>
      </c>
      <c r="F4" s="1" t="s">
        <v>1059</v>
      </c>
      <c r="G4" s="1" t="s">
        <v>1395</v>
      </c>
      <c r="I4" s="1">
        <v>4</v>
      </c>
      <c r="O4" s="1">
        <v>68.013000000000005</v>
      </c>
      <c r="P4" s="1">
        <v>-167.87516669999999</v>
      </c>
      <c r="AH4" s="7" t="s">
        <v>1399</v>
      </c>
      <c r="AI4" s="8"/>
      <c r="AJ4" s="8"/>
      <c r="AK4" s="8"/>
      <c r="AM4" s="1">
        <v>0</v>
      </c>
      <c r="AT4" s="8"/>
    </row>
    <row r="5" spans="1:46">
      <c r="A5" s="1" t="s">
        <v>1400</v>
      </c>
      <c r="C5" s="1" t="s">
        <v>1400</v>
      </c>
      <c r="D5" s="1" t="s">
        <v>1393</v>
      </c>
      <c r="E5" s="1" t="s">
        <v>1394</v>
      </c>
      <c r="F5" s="1" t="s">
        <v>1059</v>
      </c>
      <c r="G5" s="1" t="s">
        <v>1395</v>
      </c>
      <c r="I5" s="1">
        <v>4</v>
      </c>
      <c r="O5" s="1">
        <v>68.013000000000005</v>
      </c>
      <c r="P5" s="1">
        <v>-167.87516669999999</v>
      </c>
      <c r="AH5" s="7" t="s">
        <v>1393</v>
      </c>
      <c r="AI5" s="8"/>
      <c r="AJ5" s="8"/>
      <c r="AK5" s="8"/>
      <c r="AM5" s="1">
        <v>0</v>
      </c>
      <c r="AT5" s="8"/>
    </row>
    <row r="6" spans="1:46">
      <c r="A6" s="1" t="s">
        <v>1401</v>
      </c>
      <c r="C6" s="1" t="s">
        <v>1401</v>
      </c>
      <c r="D6" s="1" t="s">
        <v>1402</v>
      </c>
      <c r="E6" s="1" t="s">
        <v>1394</v>
      </c>
      <c r="F6" s="1" t="s">
        <v>1059</v>
      </c>
      <c r="G6" s="1" t="s">
        <v>1395</v>
      </c>
      <c r="I6" s="1">
        <v>4</v>
      </c>
      <c r="O6" s="1">
        <v>68.013000000000005</v>
      </c>
      <c r="P6" s="1">
        <v>-167.87516669999999</v>
      </c>
      <c r="AH6" s="7" t="s">
        <v>1402</v>
      </c>
      <c r="AI6" s="8"/>
      <c r="AJ6" s="8"/>
      <c r="AK6" s="8"/>
      <c r="AM6" s="1">
        <v>0</v>
      </c>
      <c r="AT6" s="8"/>
    </row>
    <row r="7" spans="1:46">
      <c r="A7" s="1" t="s">
        <v>1403</v>
      </c>
      <c r="C7" s="1" t="s">
        <v>1403</v>
      </c>
      <c r="D7" s="1" t="s">
        <v>1404</v>
      </c>
      <c r="E7" s="1" t="s">
        <v>1394</v>
      </c>
      <c r="F7" s="1" t="s">
        <v>1059</v>
      </c>
      <c r="G7" s="1" t="s">
        <v>1395</v>
      </c>
      <c r="I7" s="1">
        <v>4</v>
      </c>
      <c r="O7" s="1">
        <v>68.013000000000005</v>
      </c>
      <c r="P7" s="1">
        <v>-167.87516669999999</v>
      </c>
      <c r="AH7" s="7" t="s">
        <v>1404</v>
      </c>
      <c r="AI7" s="8"/>
      <c r="AJ7" s="8"/>
      <c r="AK7" s="8"/>
      <c r="AM7" s="1">
        <v>0</v>
      </c>
      <c r="AT7" s="8"/>
    </row>
    <row r="8" spans="1:46">
      <c r="A8" s="1" t="s">
        <v>1405</v>
      </c>
      <c r="C8" s="1" t="s">
        <v>1405</v>
      </c>
      <c r="D8" s="1" t="s">
        <v>1406</v>
      </c>
      <c r="E8" s="1" t="s">
        <v>1394</v>
      </c>
      <c r="F8" s="1" t="s">
        <v>1407</v>
      </c>
      <c r="G8" s="1" t="s">
        <v>1395</v>
      </c>
      <c r="I8" s="1">
        <v>20</v>
      </c>
      <c r="O8" s="1">
        <v>70.974500000000006</v>
      </c>
      <c r="P8" s="1">
        <v>-161.88716669999999</v>
      </c>
      <c r="AH8" s="7" t="s">
        <v>1406</v>
      </c>
      <c r="AI8" s="8"/>
      <c r="AJ8" s="8"/>
      <c r="AK8" s="8"/>
      <c r="AM8" s="1">
        <v>0</v>
      </c>
      <c r="AT8" s="8"/>
    </row>
    <row r="9" spans="1:46">
      <c r="A9" s="1" t="s">
        <v>1408</v>
      </c>
      <c r="C9" s="1" t="s">
        <v>1408</v>
      </c>
      <c r="D9" s="1" t="s">
        <v>1409</v>
      </c>
      <c r="E9" s="1" t="s">
        <v>1394</v>
      </c>
      <c r="F9" s="1" t="s">
        <v>1407</v>
      </c>
      <c r="G9" s="1" t="s">
        <v>1395</v>
      </c>
      <c r="I9" s="1">
        <v>20</v>
      </c>
      <c r="O9" s="1">
        <v>70.974500000000006</v>
      </c>
      <c r="P9" s="1">
        <v>-161.88716669999999</v>
      </c>
      <c r="AH9" s="7" t="s">
        <v>1409</v>
      </c>
      <c r="AI9" s="8"/>
      <c r="AJ9" s="8"/>
      <c r="AK9" s="8"/>
      <c r="AM9" s="1">
        <v>0</v>
      </c>
      <c r="AT9" s="8"/>
    </row>
    <row r="10" spans="1:46">
      <c r="A10" s="1" t="s">
        <v>1410</v>
      </c>
      <c r="C10" s="1" t="s">
        <v>1410</v>
      </c>
      <c r="D10" s="1" t="s">
        <v>1411</v>
      </c>
      <c r="E10" s="1" t="s">
        <v>1394</v>
      </c>
      <c r="F10" s="1" t="s">
        <v>1407</v>
      </c>
      <c r="G10" s="1" t="s">
        <v>1395</v>
      </c>
      <c r="I10" s="1">
        <v>20</v>
      </c>
      <c r="O10" s="1">
        <v>70.974500000000006</v>
      </c>
      <c r="P10" s="1">
        <v>-161.88716669999999</v>
      </c>
      <c r="AH10" s="7" t="s">
        <v>1411</v>
      </c>
      <c r="AI10" s="8"/>
      <c r="AJ10" s="8"/>
      <c r="AK10" s="8"/>
      <c r="AM10" s="1">
        <v>0</v>
      </c>
      <c r="AT10" s="8"/>
    </row>
    <row r="11" spans="1:46">
      <c r="A11" s="1" t="s">
        <v>1412</v>
      </c>
      <c r="C11" s="1" t="s">
        <v>1412</v>
      </c>
      <c r="D11" s="1" t="s">
        <v>1413</v>
      </c>
      <c r="E11" s="1" t="s">
        <v>1394</v>
      </c>
      <c r="F11" s="1" t="s">
        <v>1407</v>
      </c>
      <c r="G11" s="1" t="s">
        <v>1395</v>
      </c>
      <c r="I11" s="1">
        <v>20</v>
      </c>
      <c r="O11" s="1">
        <v>70.974500000000006</v>
      </c>
      <c r="P11" s="1">
        <v>-161.88716669999999</v>
      </c>
      <c r="AH11" s="7" t="s">
        <v>1413</v>
      </c>
      <c r="AI11" s="8"/>
      <c r="AJ11" s="8"/>
      <c r="AK11" s="8"/>
      <c r="AM11" s="1">
        <v>0</v>
      </c>
      <c r="AT11" s="8"/>
    </row>
    <row r="12" spans="1:46">
      <c r="A12" s="1" t="s">
        <v>1414</v>
      </c>
      <c r="C12" s="1" t="s">
        <v>1414</v>
      </c>
      <c r="D12" s="1" t="s">
        <v>1415</v>
      </c>
      <c r="E12" s="1" t="s">
        <v>1394</v>
      </c>
      <c r="F12" s="1" t="s">
        <v>1407</v>
      </c>
      <c r="G12" s="1" t="s">
        <v>1395</v>
      </c>
      <c r="I12" s="1">
        <v>20</v>
      </c>
      <c r="O12" s="1">
        <v>70.974500000000006</v>
      </c>
      <c r="P12" s="1">
        <v>-161.88716669999999</v>
      </c>
      <c r="AH12" s="7" t="s">
        <v>1415</v>
      </c>
      <c r="AI12" s="8"/>
      <c r="AJ12" s="8"/>
      <c r="AK12" s="8"/>
      <c r="AM12" s="1">
        <v>0</v>
      </c>
      <c r="AT12" s="8"/>
    </row>
    <row r="13" spans="1:46">
      <c r="A13" s="1" t="s">
        <v>1416</v>
      </c>
      <c r="C13" s="1" t="s">
        <v>1416</v>
      </c>
      <c r="D13" s="1" t="s">
        <v>1417</v>
      </c>
      <c r="E13" s="1" t="s">
        <v>1394</v>
      </c>
      <c r="F13" s="1" t="s">
        <v>1407</v>
      </c>
      <c r="G13" s="1" t="s">
        <v>1395</v>
      </c>
      <c r="I13" s="1">
        <v>20</v>
      </c>
      <c r="O13" s="1">
        <v>70.974500000000006</v>
      </c>
      <c r="P13" s="1">
        <v>-161.88716669999999</v>
      </c>
      <c r="AH13" s="7" t="s">
        <v>1417</v>
      </c>
      <c r="AI13" s="8"/>
      <c r="AJ13" s="8"/>
      <c r="AK13" s="8"/>
      <c r="AM13" s="1">
        <v>0</v>
      </c>
      <c r="AT13" s="8"/>
    </row>
    <row r="14" spans="1:46">
      <c r="A14" s="1" t="s">
        <v>1418</v>
      </c>
      <c r="C14" s="1" t="s">
        <v>1418</v>
      </c>
      <c r="D14" s="1" t="s">
        <v>1419</v>
      </c>
      <c r="E14" s="1" t="s">
        <v>1394</v>
      </c>
      <c r="F14" s="1" t="s">
        <v>1407</v>
      </c>
      <c r="G14" s="1" t="s">
        <v>1395</v>
      </c>
      <c r="I14" s="1">
        <v>20</v>
      </c>
      <c r="O14" s="1">
        <v>70.974500000000006</v>
      </c>
      <c r="P14" s="1">
        <v>-161.88716669999999</v>
      </c>
      <c r="AH14" s="7" t="s">
        <v>1419</v>
      </c>
      <c r="AI14" s="8"/>
      <c r="AJ14" s="8"/>
      <c r="AK14" s="8"/>
      <c r="AM14" s="1">
        <v>0</v>
      </c>
      <c r="AT14" s="8"/>
    </row>
    <row r="15" spans="1:46">
      <c r="A15" s="1" t="s">
        <v>1420</v>
      </c>
      <c r="C15" s="1" t="s">
        <v>1420</v>
      </c>
      <c r="D15" s="1" t="s">
        <v>1421</v>
      </c>
      <c r="E15" s="1" t="s">
        <v>1394</v>
      </c>
      <c r="F15" s="1" t="s">
        <v>1407</v>
      </c>
      <c r="G15" s="1" t="s">
        <v>1395</v>
      </c>
      <c r="I15" s="1">
        <v>20</v>
      </c>
      <c r="O15" s="1">
        <v>70.974500000000006</v>
      </c>
      <c r="P15" s="1">
        <v>-161.88716669999999</v>
      </c>
      <c r="AH15" s="8" t="s">
        <v>1421</v>
      </c>
      <c r="AI15" s="8"/>
      <c r="AJ15" s="8"/>
      <c r="AK15" s="8"/>
      <c r="AM15" s="1">
        <v>0</v>
      </c>
      <c r="AT15" s="8"/>
    </row>
    <row r="16" spans="1:46">
      <c r="A16" s="1" t="s">
        <v>1422</v>
      </c>
      <c r="C16" s="1" t="s">
        <v>1422</v>
      </c>
      <c r="D16" s="1" t="s">
        <v>1423</v>
      </c>
      <c r="E16" s="1" t="s">
        <v>1394</v>
      </c>
      <c r="F16" s="1" t="s">
        <v>1407</v>
      </c>
      <c r="G16" s="1" t="s">
        <v>1395</v>
      </c>
      <c r="I16" s="1">
        <v>20</v>
      </c>
      <c r="O16" s="1">
        <v>70.974500000000006</v>
      </c>
      <c r="P16" s="1">
        <v>-161.88716669999999</v>
      </c>
      <c r="AH16" s="8" t="s">
        <v>1423</v>
      </c>
      <c r="AI16" s="8"/>
      <c r="AJ16" s="8"/>
      <c r="AK16" s="8"/>
      <c r="AM16" s="1">
        <v>0</v>
      </c>
      <c r="AT16" s="8"/>
    </row>
    <row r="17" spans="1:46">
      <c r="A17" s="1" t="s">
        <v>1424</v>
      </c>
      <c r="C17" s="1" t="s">
        <v>1424</v>
      </c>
      <c r="D17" s="1" t="s">
        <v>1425</v>
      </c>
      <c r="E17" s="1" t="s">
        <v>1394</v>
      </c>
      <c r="F17" s="1" t="s">
        <v>1407</v>
      </c>
      <c r="G17" s="1" t="s">
        <v>1395</v>
      </c>
      <c r="I17" s="1">
        <v>20</v>
      </c>
      <c r="O17" s="1">
        <v>70.974500000000006</v>
      </c>
      <c r="P17" s="1">
        <v>-161.88716669999999</v>
      </c>
      <c r="AH17" s="9" t="s">
        <v>1425</v>
      </c>
      <c r="AI17" s="8"/>
      <c r="AJ17" s="8"/>
      <c r="AK17" s="8"/>
      <c r="AM17" s="1">
        <v>0</v>
      </c>
      <c r="AT17" s="8"/>
    </row>
    <row r="18" spans="1:46">
      <c r="A18" s="1" t="s">
        <v>1426</v>
      </c>
      <c r="C18" s="1" t="s">
        <v>1426</v>
      </c>
      <c r="D18" s="1" t="s">
        <v>1427</v>
      </c>
      <c r="E18" s="1" t="s">
        <v>1394</v>
      </c>
      <c r="F18" s="1" t="s">
        <v>1428</v>
      </c>
      <c r="G18" s="1" t="s">
        <v>1395</v>
      </c>
      <c r="I18" s="1">
        <v>83</v>
      </c>
      <c r="O18" s="1">
        <v>73.452500000000001</v>
      </c>
      <c r="P18" s="1">
        <v>-157.31100000000001</v>
      </c>
      <c r="AH18" s="7" t="s">
        <v>1427</v>
      </c>
      <c r="AI18" s="8"/>
      <c r="AJ18" s="8"/>
      <c r="AK18" s="8"/>
      <c r="AM18" s="1">
        <v>0</v>
      </c>
      <c r="AT18" s="8"/>
    </row>
    <row r="19" spans="1:46">
      <c r="A19" s="1" t="s">
        <v>1429</v>
      </c>
      <c r="C19" s="1" t="s">
        <v>1429</v>
      </c>
      <c r="D19" s="1" t="s">
        <v>1430</v>
      </c>
      <c r="E19" s="1" t="s">
        <v>1394</v>
      </c>
      <c r="F19" s="1" t="s">
        <v>1428</v>
      </c>
      <c r="G19" s="1" t="s">
        <v>1395</v>
      </c>
      <c r="I19" s="1">
        <v>83</v>
      </c>
      <c r="O19" s="1">
        <v>73.452500000000001</v>
      </c>
      <c r="P19" s="1">
        <v>-157.31100000000001</v>
      </c>
      <c r="AH19" s="7" t="s">
        <v>1430</v>
      </c>
      <c r="AI19" s="8"/>
      <c r="AJ19" s="8"/>
      <c r="AK19" s="8"/>
      <c r="AM19" s="1">
        <v>0</v>
      </c>
      <c r="AT19" s="8"/>
    </row>
    <row r="20" spans="1:46">
      <c r="A20" s="1" t="s">
        <v>1431</v>
      </c>
      <c r="C20" s="1" t="s">
        <v>1431</v>
      </c>
      <c r="D20" s="1" t="s">
        <v>1432</v>
      </c>
      <c r="E20" s="1" t="s">
        <v>1394</v>
      </c>
      <c r="F20" s="1" t="s">
        <v>1433</v>
      </c>
      <c r="G20" s="1" t="s">
        <v>1395</v>
      </c>
      <c r="I20" s="1">
        <v>56</v>
      </c>
      <c r="O20" s="1">
        <v>72.853999999999999</v>
      </c>
      <c r="P20" s="1">
        <v>-163.1776667</v>
      </c>
      <c r="AH20" s="7" t="s">
        <v>1432</v>
      </c>
      <c r="AI20" s="8"/>
      <c r="AJ20" s="8"/>
      <c r="AK20" s="8"/>
      <c r="AM20" s="1">
        <v>0</v>
      </c>
      <c r="AT20" s="8"/>
    </row>
    <row r="21" spans="1:46">
      <c r="A21" s="1" t="s">
        <v>1434</v>
      </c>
      <c r="C21" s="1" t="s">
        <v>1434</v>
      </c>
      <c r="D21" s="1" t="s">
        <v>1435</v>
      </c>
      <c r="E21" s="1" t="s">
        <v>1394</v>
      </c>
      <c r="F21" s="1" t="s">
        <v>1433</v>
      </c>
      <c r="G21" s="1" t="s">
        <v>1395</v>
      </c>
      <c r="I21" s="1">
        <v>56</v>
      </c>
      <c r="O21" s="1">
        <v>72.853999999999999</v>
      </c>
      <c r="P21" s="1">
        <v>-163.1776667</v>
      </c>
      <c r="AH21" s="7" t="s">
        <v>1435</v>
      </c>
      <c r="AI21" s="8"/>
      <c r="AJ21" s="8"/>
      <c r="AK21" s="8"/>
      <c r="AM21" s="1">
        <v>0</v>
      </c>
      <c r="AT21" s="8"/>
    </row>
    <row r="22" spans="1:46">
      <c r="A22" s="1" t="s">
        <v>1436</v>
      </c>
      <c r="C22" s="1" t="s">
        <v>1436</v>
      </c>
      <c r="D22" s="1" t="s">
        <v>1437</v>
      </c>
      <c r="E22" s="1" t="s">
        <v>1394</v>
      </c>
      <c r="F22" s="1" t="s">
        <v>1433</v>
      </c>
      <c r="G22" s="1" t="s">
        <v>1395</v>
      </c>
      <c r="I22" s="1">
        <v>56</v>
      </c>
      <c r="O22" s="1">
        <v>72.853999999999999</v>
      </c>
      <c r="P22" s="1">
        <v>-163.1776667</v>
      </c>
      <c r="AH22" s="9" t="s">
        <v>1437</v>
      </c>
      <c r="AI22" s="8"/>
      <c r="AJ22" s="8"/>
      <c r="AK22" s="8"/>
      <c r="AM22" s="1">
        <v>0</v>
      </c>
      <c r="AT22" s="8"/>
    </row>
    <row r="23" spans="1:46">
      <c r="A23" s="1" t="s">
        <v>1438</v>
      </c>
      <c r="C23" s="1" t="s">
        <v>1438</v>
      </c>
      <c r="D23" s="1" t="s">
        <v>1439</v>
      </c>
      <c r="E23" s="1" t="s">
        <v>1394</v>
      </c>
      <c r="F23" s="1" t="s">
        <v>1433</v>
      </c>
      <c r="G23" s="1" t="s">
        <v>1395</v>
      </c>
      <c r="I23" s="1">
        <v>56</v>
      </c>
      <c r="O23" s="1">
        <v>72.853999999999999</v>
      </c>
      <c r="P23" s="1">
        <v>-163.1776667</v>
      </c>
      <c r="AH23" s="9" t="s">
        <v>1439</v>
      </c>
      <c r="AI23" s="8"/>
      <c r="AJ23" s="8"/>
      <c r="AK23" s="8"/>
      <c r="AM23" s="1">
        <v>0</v>
      </c>
      <c r="AT23" s="8"/>
    </row>
    <row r="24" spans="1:46">
      <c r="A24" s="1" t="s">
        <v>1440</v>
      </c>
      <c r="C24" s="1" t="s">
        <v>1440</v>
      </c>
      <c r="D24" s="1" t="s">
        <v>1441</v>
      </c>
      <c r="E24" s="1" t="s">
        <v>1394</v>
      </c>
      <c r="F24" s="1" t="s">
        <v>1442</v>
      </c>
      <c r="G24" s="1" t="s">
        <v>1395</v>
      </c>
      <c r="I24" s="1">
        <v>42</v>
      </c>
      <c r="O24" s="1">
        <v>72.122166669999999</v>
      </c>
      <c r="P24" s="1">
        <v>-163.19999999999999</v>
      </c>
      <c r="AH24" s="7" t="s">
        <v>1441</v>
      </c>
      <c r="AI24" s="8"/>
      <c r="AJ24" s="8"/>
      <c r="AK24" s="8"/>
      <c r="AM24" s="1">
        <v>0</v>
      </c>
      <c r="AT24" s="8"/>
    </row>
    <row r="25" spans="1:46">
      <c r="A25" s="1" t="s">
        <v>1443</v>
      </c>
      <c r="C25" s="1" t="s">
        <v>1443</v>
      </c>
      <c r="D25" s="1" t="s">
        <v>1444</v>
      </c>
      <c r="E25" s="1" t="s">
        <v>1394</v>
      </c>
      <c r="F25" s="1" t="s">
        <v>1442</v>
      </c>
      <c r="G25" s="1" t="s">
        <v>1395</v>
      </c>
      <c r="I25" s="1">
        <v>42</v>
      </c>
      <c r="O25" s="1">
        <v>72.122166669999999</v>
      </c>
      <c r="P25" s="1">
        <v>-163.19999999999999</v>
      </c>
      <c r="AH25" s="7" t="s">
        <v>1444</v>
      </c>
      <c r="AI25" s="8"/>
      <c r="AJ25" s="8"/>
      <c r="AK25" s="8"/>
      <c r="AM25" s="1">
        <v>0</v>
      </c>
      <c r="AT25" s="8"/>
    </row>
    <row r="26" spans="1:46">
      <c r="A26" s="1" t="s">
        <v>1445</v>
      </c>
      <c r="C26" s="1" t="s">
        <v>1445</v>
      </c>
      <c r="D26" s="1" t="s">
        <v>1446</v>
      </c>
      <c r="E26" s="1" t="s">
        <v>1394</v>
      </c>
      <c r="G26" s="1" t="s">
        <v>1395</v>
      </c>
      <c r="AH26" s="7" t="s">
        <v>1446</v>
      </c>
      <c r="AI26" s="8"/>
      <c r="AM26" s="1">
        <v>0</v>
      </c>
      <c r="AT26" s="8"/>
    </row>
    <row r="27" spans="1:46">
      <c r="A27" s="1" t="s">
        <v>1447</v>
      </c>
      <c r="C27" s="1" t="s">
        <v>1447</v>
      </c>
      <c r="D27" s="1" t="s">
        <v>1448</v>
      </c>
      <c r="E27" s="1" t="s">
        <v>1394</v>
      </c>
      <c r="G27" s="1" t="s">
        <v>1395</v>
      </c>
      <c r="AH27" s="7" t="s">
        <v>1448</v>
      </c>
      <c r="AI27" s="8"/>
      <c r="AM27" s="1">
        <v>0</v>
      </c>
      <c r="AT27" s="8"/>
    </row>
    <row r="28" spans="1:46">
      <c r="A28" s="1" t="s">
        <v>1449</v>
      </c>
      <c r="C28" s="1" t="s">
        <v>1449</v>
      </c>
      <c r="D28" s="1" t="s">
        <v>1450</v>
      </c>
      <c r="E28" s="1" t="s">
        <v>1394</v>
      </c>
      <c r="G28" s="1" t="s">
        <v>1395</v>
      </c>
      <c r="AH28" s="7" t="s">
        <v>1450</v>
      </c>
      <c r="AI28" s="8"/>
      <c r="AM28" s="1">
        <v>0</v>
      </c>
      <c r="AT28" s="8"/>
    </row>
    <row r="29" spans="1:46">
      <c r="A29" s="1" t="s">
        <v>1451</v>
      </c>
      <c r="C29" s="1" t="s">
        <v>1451</v>
      </c>
      <c r="D29" s="1" t="s">
        <v>1452</v>
      </c>
      <c r="E29" s="1" t="s">
        <v>1394</v>
      </c>
      <c r="G29" s="1" t="s">
        <v>1395</v>
      </c>
      <c r="AH29" s="7" t="s">
        <v>1452</v>
      </c>
      <c r="AI29" s="8"/>
      <c r="AM29" s="1">
        <v>0</v>
      </c>
      <c r="AT29" s="8"/>
    </row>
    <row r="30" spans="1:46">
      <c r="A30" s="1" t="s">
        <v>1453</v>
      </c>
      <c r="C30" s="1" t="s">
        <v>1453</v>
      </c>
      <c r="D30" s="1" t="s">
        <v>1448</v>
      </c>
      <c r="E30" s="1" t="s">
        <v>1394</v>
      </c>
      <c r="G30" s="1" t="s">
        <v>1395</v>
      </c>
      <c r="AH30" s="7" t="s">
        <v>1448</v>
      </c>
      <c r="AI30" s="8"/>
      <c r="AM30" s="1">
        <v>0</v>
      </c>
      <c r="AT30" s="8"/>
    </row>
    <row r="31" spans="1:46">
      <c r="A31" s="1" t="s">
        <v>1454</v>
      </c>
      <c r="C31" s="1" t="s">
        <v>1454</v>
      </c>
      <c r="D31" s="1" t="s">
        <v>1455</v>
      </c>
      <c r="E31" s="1" t="s">
        <v>1394</v>
      </c>
      <c r="G31" s="1" t="s">
        <v>1395</v>
      </c>
      <c r="AH31" s="7" t="s">
        <v>1455</v>
      </c>
      <c r="AI31" s="8"/>
      <c r="AM31" s="1">
        <v>0</v>
      </c>
      <c r="AT31" s="8"/>
    </row>
    <row r="32" spans="1:46">
      <c r="A32" s="1" t="s">
        <v>1456</v>
      </c>
      <c r="C32" s="1" t="s">
        <v>1456</v>
      </c>
      <c r="D32" s="1" t="s">
        <v>1457</v>
      </c>
      <c r="E32" s="1" t="s">
        <v>1394</v>
      </c>
      <c r="G32" s="1" t="s">
        <v>1395</v>
      </c>
      <c r="AH32" s="7" t="s">
        <v>1457</v>
      </c>
      <c r="AI32" s="8"/>
      <c r="AM32" s="1">
        <v>0</v>
      </c>
      <c r="AT32" s="8"/>
    </row>
    <row r="33" spans="1:46">
      <c r="A33" s="1" t="s">
        <v>1458</v>
      </c>
      <c r="C33" s="1" t="s">
        <v>1458</v>
      </c>
      <c r="D33" s="1" t="s">
        <v>1459</v>
      </c>
      <c r="E33" s="1" t="s">
        <v>1394</v>
      </c>
      <c r="G33" s="1" t="s">
        <v>1395</v>
      </c>
      <c r="AH33" s="7" t="s">
        <v>1459</v>
      </c>
      <c r="AI33" s="8"/>
      <c r="AM33" s="1">
        <v>0</v>
      </c>
      <c r="AT33" s="8"/>
    </row>
    <row r="34" spans="1:46">
      <c r="A34" s="1" t="s">
        <v>1460</v>
      </c>
      <c r="C34" s="1" t="s">
        <v>1460</v>
      </c>
      <c r="D34" s="1" t="s">
        <v>1461</v>
      </c>
      <c r="E34" s="1" t="s">
        <v>1394</v>
      </c>
      <c r="G34" s="1" t="s">
        <v>1395</v>
      </c>
      <c r="AH34" s="7" t="s">
        <v>1461</v>
      </c>
      <c r="AI34" s="8"/>
      <c r="AM34" s="1">
        <v>0</v>
      </c>
      <c r="AT34" s="8"/>
    </row>
    <row r="35" spans="1:46">
      <c r="A35" s="1" t="s">
        <v>1462</v>
      </c>
      <c r="C35" s="1" t="s">
        <v>1462</v>
      </c>
      <c r="D35" s="1" t="s">
        <v>1463</v>
      </c>
      <c r="E35" s="1" t="s">
        <v>1394</v>
      </c>
      <c r="G35" s="1" t="s">
        <v>1395</v>
      </c>
      <c r="AH35" s="7" t="s">
        <v>1463</v>
      </c>
      <c r="AI35" s="8"/>
      <c r="AM35" s="1">
        <v>0</v>
      </c>
      <c r="AT35" s="8"/>
    </row>
    <row r="36" spans="1:46">
      <c r="A36" s="1" t="s">
        <v>1464</v>
      </c>
      <c r="C36" s="1" t="s">
        <v>1464</v>
      </c>
      <c r="D36" s="1" t="s">
        <v>1465</v>
      </c>
      <c r="E36" s="1" t="s">
        <v>1466</v>
      </c>
      <c r="F36" s="1" t="s">
        <v>1467</v>
      </c>
      <c r="G36" s="1" t="s">
        <v>49</v>
      </c>
      <c r="H36" s="2" t="s">
        <v>1468</v>
      </c>
      <c r="I36" s="1">
        <v>84</v>
      </c>
      <c r="J36" s="1">
        <v>0.2</v>
      </c>
      <c r="K36" s="1" t="s">
        <v>52</v>
      </c>
      <c r="L36" s="1" t="s">
        <v>52</v>
      </c>
      <c r="M36" s="1">
        <v>4.9119999999999999</v>
      </c>
      <c r="N36" s="1">
        <v>23</v>
      </c>
      <c r="O36" s="1">
        <v>69.450339999999997</v>
      </c>
      <c r="P36" s="1">
        <v>-163.92097999999999</v>
      </c>
      <c r="Q36" s="1">
        <v>8.5527999999999995</v>
      </c>
      <c r="R36" s="1">
        <v>30.306999999999999</v>
      </c>
      <c r="S36" s="1">
        <v>292.10199999999998</v>
      </c>
      <c r="T36" s="1">
        <v>166.22128330000001</v>
      </c>
      <c r="U36" s="1">
        <v>33.29413624</v>
      </c>
      <c r="V36" s="1">
        <v>5129.0322580000002</v>
      </c>
      <c r="W36" s="3">
        <v>1.4159999999999999</v>
      </c>
      <c r="X36" s="1" t="s">
        <v>1469</v>
      </c>
      <c r="Y36" s="1">
        <v>2.0299999999999998</v>
      </c>
      <c r="AA36" s="1">
        <v>0.69</v>
      </c>
      <c r="AB36" s="1">
        <v>11.59</v>
      </c>
      <c r="AE36" s="1">
        <v>0.26</v>
      </c>
      <c r="AF36" s="1">
        <v>0.3</v>
      </c>
      <c r="AI36" s="1">
        <v>7</v>
      </c>
      <c r="AJ36" s="1" t="s">
        <v>1469</v>
      </c>
      <c r="AL36" s="1">
        <v>81.472899999999996</v>
      </c>
      <c r="AM36" s="1" t="s">
        <v>1469</v>
      </c>
      <c r="AN36" s="1">
        <v>4.9925092545365297</v>
      </c>
      <c r="AO36" s="1">
        <v>0.75358630257155101</v>
      </c>
      <c r="AP36" s="1" t="s">
        <v>1470</v>
      </c>
      <c r="AR36" s="1">
        <v>13.86</v>
      </c>
      <c r="AS36" s="1" t="s">
        <v>1471</v>
      </c>
      <c r="AT36" s="1">
        <v>5</v>
      </c>
    </row>
    <row r="37" spans="1:46">
      <c r="A37" s="1" t="s">
        <v>1472</v>
      </c>
      <c r="C37" s="1" t="s">
        <v>1472</v>
      </c>
      <c r="D37" s="1" t="s">
        <v>1473</v>
      </c>
      <c r="E37" s="1" t="s">
        <v>1466</v>
      </c>
      <c r="F37" s="1" t="s">
        <v>1467</v>
      </c>
      <c r="G37" s="1" t="s">
        <v>49</v>
      </c>
      <c r="H37" s="2" t="s">
        <v>1468</v>
      </c>
      <c r="I37" s="1">
        <v>84</v>
      </c>
      <c r="J37" s="1">
        <v>3</v>
      </c>
      <c r="K37" s="1" t="s">
        <v>52</v>
      </c>
      <c r="L37" s="1" t="s">
        <v>52</v>
      </c>
      <c r="M37" s="1">
        <v>4.9119999999999999</v>
      </c>
      <c r="N37" s="1">
        <v>23</v>
      </c>
      <c r="O37" s="1">
        <v>69.450339999999997</v>
      </c>
      <c r="P37" s="1">
        <v>-163.92097999999999</v>
      </c>
      <c r="Q37" s="1">
        <v>8.5527999999999995</v>
      </c>
      <c r="R37" s="1">
        <v>30.306999999999999</v>
      </c>
      <c r="S37" s="1">
        <v>292.10199999999998</v>
      </c>
      <c r="T37" s="1">
        <v>166.22128330000001</v>
      </c>
      <c r="U37" s="1">
        <v>33.29413624</v>
      </c>
      <c r="V37" s="1">
        <v>5129.0322580000002</v>
      </c>
      <c r="W37" s="3">
        <v>1.4159999999999999</v>
      </c>
      <c r="X37" s="1" t="s">
        <v>1469</v>
      </c>
      <c r="Y37" s="1">
        <v>2.0299999999999998</v>
      </c>
      <c r="AA37" s="1">
        <v>0.69</v>
      </c>
      <c r="AB37" s="1">
        <v>11.59</v>
      </c>
      <c r="AE37" s="1">
        <v>0.26</v>
      </c>
      <c r="AF37" s="1">
        <v>0.3</v>
      </c>
      <c r="AI37" s="1">
        <v>7</v>
      </c>
      <c r="AJ37" s="1" t="s">
        <v>1469</v>
      </c>
      <c r="AL37" s="1">
        <v>81.472899999999996</v>
      </c>
      <c r="AM37" s="1" t="s">
        <v>1469</v>
      </c>
      <c r="AN37" s="1">
        <v>4.9925092545365297</v>
      </c>
      <c r="AO37" s="1">
        <v>0.75358630257155101</v>
      </c>
      <c r="AP37" s="1" t="s">
        <v>1470</v>
      </c>
      <c r="AR37" s="1">
        <v>13.86</v>
      </c>
      <c r="AT37" s="1">
        <v>5</v>
      </c>
    </row>
    <row r="38" spans="1:46">
      <c r="A38" s="1" t="s">
        <v>1474</v>
      </c>
      <c r="C38" s="1" t="s">
        <v>1474</v>
      </c>
      <c r="D38" s="1" t="s">
        <v>1475</v>
      </c>
      <c r="E38" s="1" t="s">
        <v>1466</v>
      </c>
      <c r="F38" s="1" t="s">
        <v>1467</v>
      </c>
      <c r="G38" s="1" t="s">
        <v>49</v>
      </c>
      <c r="H38" s="2" t="s">
        <v>1468</v>
      </c>
      <c r="I38" s="1">
        <v>84</v>
      </c>
      <c r="J38" s="1">
        <v>20</v>
      </c>
      <c r="K38" s="1" t="s">
        <v>52</v>
      </c>
      <c r="L38" s="1" t="s">
        <v>52</v>
      </c>
      <c r="M38" s="1">
        <v>4.9119999999999999</v>
      </c>
      <c r="N38" s="1">
        <v>23</v>
      </c>
      <c r="O38" s="1">
        <v>69.450339999999997</v>
      </c>
      <c r="P38" s="1">
        <v>-163.92097999999999</v>
      </c>
      <c r="Q38" s="1">
        <v>8.5527999999999995</v>
      </c>
      <c r="R38" s="1">
        <v>30.306999999999999</v>
      </c>
      <c r="S38" s="1">
        <v>292.10199999999998</v>
      </c>
      <c r="T38" s="1">
        <v>166.22128330000001</v>
      </c>
      <c r="U38" s="1">
        <v>33.29413624</v>
      </c>
      <c r="V38" s="1">
        <v>5129.0322580000002</v>
      </c>
      <c r="W38" s="3">
        <v>1.4159999999999999</v>
      </c>
      <c r="X38" s="1" t="s">
        <v>1469</v>
      </c>
      <c r="Y38" s="1">
        <v>2.0299999999999998</v>
      </c>
      <c r="AA38" s="1">
        <v>0.69</v>
      </c>
      <c r="AB38" s="1">
        <v>11.59</v>
      </c>
      <c r="AE38" s="1">
        <v>0.26</v>
      </c>
      <c r="AF38" s="1">
        <v>0.3</v>
      </c>
      <c r="AI38" s="1">
        <v>7</v>
      </c>
      <c r="AJ38" s="1" t="s">
        <v>1469</v>
      </c>
      <c r="AL38" s="1">
        <v>81.472899999999996</v>
      </c>
      <c r="AM38" s="1" t="s">
        <v>1469</v>
      </c>
      <c r="AN38" s="1">
        <v>4.9925092545365297</v>
      </c>
      <c r="AO38" s="1">
        <v>0.75358630257155101</v>
      </c>
      <c r="AP38" s="1" t="s">
        <v>1470</v>
      </c>
      <c r="AR38" s="1">
        <v>13.86</v>
      </c>
      <c r="AT38" s="1">
        <v>5</v>
      </c>
    </row>
    <row r="39" spans="1:46">
      <c r="A39" s="1" t="s">
        <v>1476</v>
      </c>
      <c r="C39" s="1" t="s">
        <v>1476</v>
      </c>
      <c r="D39" s="1" t="s">
        <v>1477</v>
      </c>
      <c r="E39" s="1" t="s">
        <v>1466</v>
      </c>
      <c r="F39" s="1" t="s">
        <v>1467</v>
      </c>
      <c r="G39" s="1" t="s">
        <v>49</v>
      </c>
      <c r="H39" s="2" t="s">
        <v>1478</v>
      </c>
      <c r="I39" s="1">
        <v>84</v>
      </c>
      <c r="J39" s="1">
        <v>0.2</v>
      </c>
      <c r="L39" s="1" t="s">
        <v>65</v>
      </c>
      <c r="M39" s="1">
        <v>9.8420000000000005</v>
      </c>
      <c r="N39" s="1">
        <v>23</v>
      </c>
      <c r="O39" s="1">
        <v>69.450360000000003</v>
      </c>
      <c r="P39" s="1">
        <v>-163.92099999999999</v>
      </c>
      <c r="Q39" s="1">
        <v>8.08155</v>
      </c>
      <c r="R39" s="1">
        <v>30.408349999999999</v>
      </c>
      <c r="S39" s="1">
        <v>274.07400000000001</v>
      </c>
      <c r="W39" s="3">
        <v>2.452</v>
      </c>
      <c r="X39" s="1" t="s">
        <v>1479</v>
      </c>
      <c r="Y39" s="1">
        <v>3.87</v>
      </c>
      <c r="AA39" s="1">
        <v>0.71</v>
      </c>
      <c r="AB39" s="1">
        <v>12.31</v>
      </c>
      <c r="AE39" s="1">
        <v>0.19</v>
      </c>
      <c r="AF39" s="1">
        <v>0.2</v>
      </c>
      <c r="AI39" s="1">
        <v>5</v>
      </c>
      <c r="AJ39" s="1" t="s">
        <v>1479</v>
      </c>
      <c r="AL39" s="1">
        <v>78.904799999999994</v>
      </c>
      <c r="AM39" s="1" t="s">
        <v>1479</v>
      </c>
      <c r="AP39" s="1" t="s">
        <v>1480</v>
      </c>
      <c r="AR39" s="1">
        <v>13.86</v>
      </c>
      <c r="AT39" s="1">
        <v>10</v>
      </c>
    </row>
    <row r="40" spans="1:46">
      <c r="A40" s="1" t="s">
        <v>1481</v>
      </c>
      <c r="C40" s="1" t="s">
        <v>1481</v>
      </c>
      <c r="D40" s="1" t="s">
        <v>1482</v>
      </c>
      <c r="E40" s="1" t="s">
        <v>1466</v>
      </c>
      <c r="F40" s="1" t="s">
        <v>1467</v>
      </c>
      <c r="G40" s="1" t="s">
        <v>49</v>
      </c>
      <c r="H40" s="2" t="s">
        <v>1478</v>
      </c>
      <c r="I40" s="1">
        <v>84</v>
      </c>
      <c r="J40" s="1">
        <v>3</v>
      </c>
      <c r="L40" s="1" t="s">
        <v>65</v>
      </c>
      <c r="M40" s="1">
        <v>9.8420000000000005</v>
      </c>
      <c r="N40" s="1">
        <v>23</v>
      </c>
      <c r="O40" s="1">
        <v>69.450360000000003</v>
      </c>
      <c r="P40" s="1">
        <v>-163.92099999999999</v>
      </c>
      <c r="Q40" s="1">
        <v>8.08155</v>
      </c>
      <c r="R40" s="1">
        <v>30.408349999999999</v>
      </c>
      <c r="S40" s="1">
        <v>274.07400000000001</v>
      </c>
      <c r="W40" s="3">
        <v>2.452</v>
      </c>
      <c r="X40" s="1" t="s">
        <v>1479</v>
      </c>
      <c r="Y40" s="1">
        <v>3.87</v>
      </c>
      <c r="AA40" s="1">
        <v>0.71</v>
      </c>
      <c r="AB40" s="1">
        <v>12.31</v>
      </c>
      <c r="AE40" s="1">
        <v>0.19</v>
      </c>
      <c r="AF40" s="1">
        <v>0.2</v>
      </c>
      <c r="AI40" s="1">
        <v>5</v>
      </c>
      <c r="AJ40" s="1" t="s">
        <v>1479</v>
      </c>
      <c r="AL40" s="1">
        <v>78.904799999999994</v>
      </c>
      <c r="AM40" s="1" t="s">
        <v>1479</v>
      </c>
      <c r="AP40" s="1" t="s">
        <v>1480</v>
      </c>
      <c r="AR40" s="1">
        <v>13.86</v>
      </c>
      <c r="AT40" s="1">
        <v>10</v>
      </c>
    </row>
    <row r="41" spans="1:46">
      <c r="A41" s="1" t="s">
        <v>1483</v>
      </c>
      <c r="C41" s="1" t="s">
        <v>1483</v>
      </c>
      <c r="D41" s="1" t="s">
        <v>1484</v>
      </c>
      <c r="E41" s="1" t="s">
        <v>1466</v>
      </c>
      <c r="F41" s="1" t="s">
        <v>1467</v>
      </c>
      <c r="G41" s="1" t="s">
        <v>49</v>
      </c>
      <c r="H41" s="2" t="s">
        <v>1478</v>
      </c>
      <c r="I41" s="1">
        <v>84</v>
      </c>
      <c r="J41" s="1">
        <v>20</v>
      </c>
      <c r="L41" s="1" t="s">
        <v>65</v>
      </c>
      <c r="M41" s="1">
        <v>9.8420000000000005</v>
      </c>
      <c r="N41" s="1">
        <v>23</v>
      </c>
      <c r="O41" s="1">
        <v>69.450360000000003</v>
      </c>
      <c r="P41" s="1">
        <v>-163.92099999999999</v>
      </c>
      <c r="Q41" s="1">
        <v>8.08155</v>
      </c>
      <c r="R41" s="1">
        <v>30.408349999999999</v>
      </c>
      <c r="S41" s="1">
        <v>274.07400000000001</v>
      </c>
      <c r="W41" s="3">
        <v>2.452</v>
      </c>
      <c r="X41" s="1" t="s">
        <v>1479</v>
      </c>
      <c r="Y41" s="1">
        <v>3.87</v>
      </c>
      <c r="AA41" s="1">
        <v>0.71</v>
      </c>
      <c r="AB41" s="1">
        <v>12.31</v>
      </c>
      <c r="AE41" s="1">
        <v>0.19</v>
      </c>
      <c r="AF41" s="1">
        <v>0.2</v>
      </c>
      <c r="AI41" s="1">
        <v>5</v>
      </c>
      <c r="AJ41" s="1" t="s">
        <v>1479</v>
      </c>
      <c r="AL41" s="1">
        <v>78.904799999999994</v>
      </c>
      <c r="AM41" s="1" t="s">
        <v>1479</v>
      </c>
      <c r="AP41" s="1" t="s">
        <v>1480</v>
      </c>
      <c r="AR41" s="1">
        <v>13.86</v>
      </c>
      <c r="AT41" s="1">
        <v>10</v>
      </c>
    </row>
    <row r="42" spans="1:46">
      <c r="A42" s="1" t="s">
        <v>1485</v>
      </c>
      <c r="C42" s="1" t="s">
        <v>1485</v>
      </c>
      <c r="D42" s="1" t="s">
        <v>1486</v>
      </c>
      <c r="E42" s="1" t="s">
        <v>1466</v>
      </c>
      <c r="F42" s="1" t="s">
        <v>1467</v>
      </c>
      <c r="G42" s="1" t="s">
        <v>49</v>
      </c>
      <c r="H42" s="2" t="s">
        <v>1487</v>
      </c>
      <c r="I42" s="1">
        <v>84</v>
      </c>
      <c r="J42" s="1">
        <v>0.2</v>
      </c>
      <c r="K42" s="1" t="s">
        <v>1488</v>
      </c>
      <c r="L42" s="1" t="s">
        <v>78</v>
      </c>
      <c r="M42" s="1">
        <v>15.866</v>
      </c>
      <c r="N42" s="1">
        <v>23</v>
      </c>
      <c r="O42" s="1">
        <v>69.450400000000002</v>
      </c>
      <c r="P42" s="1">
        <v>-163.92089999999999</v>
      </c>
      <c r="Q42" s="1">
        <v>7.7727000000000004</v>
      </c>
      <c r="R42" s="1">
        <v>30.520099999999999</v>
      </c>
      <c r="S42" s="1">
        <v>264.95</v>
      </c>
      <c r="T42" s="1">
        <v>210.9043685</v>
      </c>
      <c r="U42" s="1">
        <v>44.680492719999997</v>
      </c>
      <c r="V42" s="1">
        <v>1760</v>
      </c>
      <c r="W42" s="3">
        <v>2.1309999999999998</v>
      </c>
      <c r="X42" s="1" t="s">
        <v>1069</v>
      </c>
      <c r="AI42" s="1">
        <v>3</v>
      </c>
      <c r="AJ42" s="1" t="s">
        <v>1069</v>
      </c>
      <c r="AL42" s="1">
        <v>64.302999999999997</v>
      </c>
      <c r="AM42" s="1" t="s">
        <v>1069</v>
      </c>
      <c r="AN42" s="1">
        <v>4.7202784853264301</v>
      </c>
      <c r="AO42" s="1">
        <v>0.71249486570964904</v>
      </c>
      <c r="AP42" s="1" t="s">
        <v>1489</v>
      </c>
      <c r="AR42" s="1">
        <v>13.86</v>
      </c>
      <c r="AT42" s="1">
        <v>16</v>
      </c>
    </row>
    <row r="43" spans="1:46">
      <c r="A43" s="1" t="s">
        <v>1490</v>
      </c>
      <c r="C43" s="1" t="s">
        <v>1490</v>
      </c>
      <c r="D43" s="1" t="s">
        <v>1491</v>
      </c>
      <c r="E43" s="1" t="s">
        <v>1466</v>
      </c>
      <c r="F43" s="1" t="s">
        <v>1467</v>
      </c>
      <c r="G43" s="1" t="s">
        <v>49</v>
      </c>
      <c r="H43" s="2" t="s">
        <v>1487</v>
      </c>
      <c r="I43" s="1">
        <v>84</v>
      </c>
      <c r="J43" s="1">
        <v>3</v>
      </c>
      <c r="K43" s="1" t="s">
        <v>1488</v>
      </c>
      <c r="L43" s="1" t="s">
        <v>78</v>
      </c>
      <c r="M43" s="1">
        <v>15.866</v>
      </c>
      <c r="N43" s="1">
        <v>23</v>
      </c>
      <c r="O43" s="1">
        <v>69.450400000000002</v>
      </c>
      <c r="P43" s="1">
        <v>-163.92089999999999</v>
      </c>
      <c r="Q43" s="1">
        <v>7.7727000000000004</v>
      </c>
      <c r="R43" s="1">
        <v>30.520099999999999</v>
      </c>
      <c r="S43" s="1">
        <v>264.95</v>
      </c>
      <c r="T43" s="1">
        <v>210.9043685</v>
      </c>
      <c r="U43" s="1">
        <v>44.680492719999997</v>
      </c>
      <c r="V43" s="1">
        <v>1760</v>
      </c>
      <c r="W43" s="3">
        <v>2.1309999999999998</v>
      </c>
      <c r="X43" s="1" t="s">
        <v>1069</v>
      </c>
      <c r="AI43" s="1">
        <v>3</v>
      </c>
      <c r="AJ43" s="1" t="s">
        <v>1069</v>
      </c>
      <c r="AL43" s="1">
        <v>64.302999999999997</v>
      </c>
      <c r="AM43" s="1" t="s">
        <v>1069</v>
      </c>
      <c r="AN43" s="1">
        <v>4.7202784853264301</v>
      </c>
      <c r="AO43" s="1">
        <v>0.71249486570964904</v>
      </c>
      <c r="AP43" s="1" t="s">
        <v>1489</v>
      </c>
      <c r="AR43" s="1">
        <v>13.86</v>
      </c>
      <c r="AT43" s="1">
        <v>16</v>
      </c>
    </row>
    <row r="44" spans="1:46">
      <c r="A44" s="1" t="s">
        <v>1492</v>
      </c>
      <c r="C44" s="1" t="s">
        <v>1492</v>
      </c>
      <c r="D44" s="1" t="s">
        <v>1493</v>
      </c>
      <c r="E44" s="1" t="s">
        <v>1466</v>
      </c>
      <c r="F44" s="1" t="s">
        <v>1467</v>
      </c>
      <c r="G44" s="1" t="s">
        <v>49</v>
      </c>
      <c r="H44" s="2" t="s">
        <v>1487</v>
      </c>
      <c r="I44" s="1">
        <v>84</v>
      </c>
      <c r="J44" s="1">
        <v>20</v>
      </c>
      <c r="K44" s="1" t="s">
        <v>1488</v>
      </c>
      <c r="L44" s="1" t="s">
        <v>78</v>
      </c>
      <c r="M44" s="1">
        <v>15.866</v>
      </c>
      <c r="N44" s="1">
        <v>23</v>
      </c>
      <c r="O44" s="1">
        <v>69.450400000000002</v>
      </c>
      <c r="P44" s="1">
        <v>-163.92089999999999</v>
      </c>
      <c r="Q44" s="1">
        <v>7.7727000000000004</v>
      </c>
      <c r="R44" s="1">
        <v>30.520099999999999</v>
      </c>
      <c r="S44" s="1">
        <v>264.95</v>
      </c>
      <c r="T44" s="1">
        <v>210.9043685</v>
      </c>
      <c r="U44" s="1">
        <v>44.680492719999997</v>
      </c>
      <c r="V44" s="1">
        <v>1760</v>
      </c>
      <c r="W44" s="3">
        <v>2.1309999999999998</v>
      </c>
      <c r="X44" s="1" t="s">
        <v>1069</v>
      </c>
      <c r="AI44" s="1">
        <v>3</v>
      </c>
      <c r="AJ44" s="1" t="s">
        <v>1069</v>
      </c>
      <c r="AL44" s="1">
        <v>64.302999999999997</v>
      </c>
      <c r="AM44" s="1" t="s">
        <v>1069</v>
      </c>
      <c r="AN44" s="1">
        <v>4.7202784853264301</v>
      </c>
      <c r="AO44" s="1">
        <v>0.71249486570964904</v>
      </c>
      <c r="AP44" s="1" t="s">
        <v>1489</v>
      </c>
      <c r="AR44" s="1">
        <v>13.86</v>
      </c>
      <c r="AS44" s="1" t="s">
        <v>1494</v>
      </c>
      <c r="AT44" s="1">
        <v>16</v>
      </c>
    </row>
    <row r="45" spans="1:46">
      <c r="A45" s="1" t="s">
        <v>1495</v>
      </c>
      <c r="C45" s="1" t="s">
        <v>1495</v>
      </c>
      <c r="D45" s="1" t="s">
        <v>1496</v>
      </c>
      <c r="E45" s="1" t="s">
        <v>1466</v>
      </c>
      <c r="F45" s="1" t="s">
        <v>1467</v>
      </c>
      <c r="G45" s="1" t="s">
        <v>49</v>
      </c>
      <c r="H45" s="2" t="s">
        <v>1497</v>
      </c>
      <c r="I45" s="1">
        <v>84</v>
      </c>
      <c r="J45" s="1">
        <v>0.2</v>
      </c>
      <c r="K45" s="1" t="s">
        <v>78</v>
      </c>
      <c r="L45" s="1" t="s">
        <v>78</v>
      </c>
      <c r="M45" s="1">
        <v>20.8</v>
      </c>
      <c r="N45" s="1">
        <v>23</v>
      </c>
      <c r="O45" s="1">
        <v>69.450400000000002</v>
      </c>
      <c r="P45" s="1">
        <v>-163.92089999999999</v>
      </c>
      <c r="Q45" s="1">
        <v>7.7683499999999999</v>
      </c>
      <c r="R45" s="1">
        <v>30.523199999999999</v>
      </c>
      <c r="S45" s="1">
        <v>264.2475</v>
      </c>
      <c r="T45" s="1">
        <v>100.87056459999999</v>
      </c>
      <c r="U45" s="1">
        <v>19.87467157</v>
      </c>
      <c r="V45" s="1">
        <v>8800</v>
      </c>
      <c r="W45" s="3">
        <v>1.5940000000000001</v>
      </c>
      <c r="X45" s="1" t="s">
        <v>1073</v>
      </c>
      <c r="Y45" s="1">
        <v>3.57</v>
      </c>
      <c r="AA45" s="1">
        <v>0.8</v>
      </c>
      <c r="AB45" s="1">
        <v>14.87</v>
      </c>
      <c r="AE45" s="1">
        <v>0.49</v>
      </c>
      <c r="AF45" s="1">
        <v>0.62</v>
      </c>
      <c r="AI45" s="1">
        <v>1</v>
      </c>
      <c r="AJ45" s="1" t="s">
        <v>1073</v>
      </c>
      <c r="AL45" s="1">
        <v>64.503200000000007</v>
      </c>
      <c r="AM45" s="1" t="s">
        <v>1073</v>
      </c>
      <c r="AN45" s="1">
        <v>5.0753324020840704</v>
      </c>
      <c r="AO45" s="1">
        <v>0.76608790974853802</v>
      </c>
      <c r="AP45" s="1" t="s">
        <v>1498</v>
      </c>
      <c r="AR45" s="1">
        <v>13.86</v>
      </c>
      <c r="AS45" s="1" t="s">
        <v>1499</v>
      </c>
      <c r="AT45" s="1">
        <v>20</v>
      </c>
    </row>
    <row r="46" spans="1:46">
      <c r="A46" s="1" t="s">
        <v>1500</v>
      </c>
      <c r="C46" s="1" t="s">
        <v>1500</v>
      </c>
      <c r="D46" s="1" t="s">
        <v>1501</v>
      </c>
      <c r="E46" s="1" t="s">
        <v>1466</v>
      </c>
      <c r="F46" s="1" t="s">
        <v>1467</v>
      </c>
      <c r="G46" s="1" t="s">
        <v>49</v>
      </c>
      <c r="H46" s="2" t="s">
        <v>1497</v>
      </c>
      <c r="I46" s="1">
        <v>84</v>
      </c>
      <c r="J46" s="1">
        <v>3</v>
      </c>
      <c r="K46" s="1" t="s">
        <v>78</v>
      </c>
      <c r="L46" s="1" t="s">
        <v>78</v>
      </c>
      <c r="M46" s="1">
        <v>20.8</v>
      </c>
      <c r="N46" s="1">
        <v>23</v>
      </c>
      <c r="O46" s="1">
        <v>69.450400000000002</v>
      </c>
      <c r="P46" s="1">
        <v>-163.92089999999999</v>
      </c>
      <c r="Q46" s="1">
        <v>7.7683499999999999</v>
      </c>
      <c r="R46" s="1">
        <v>30.523199999999999</v>
      </c>
      <c r="S46" s="1">
        <v>264.2475</v>
      </c>
      <c r="T46" s="1">
        <v>100.87056459999999</v>
      </c>
      <c r="U46" s="1">
        <v>19.87467157</v>
      </c>
      <c r="V46" s="1">
        <v>8800</v>
      </c>
      <c r="W46" s="3">
        <v>1.5940000000000001</v>
      </c>
      <c r="X46" s="1" t="s">
        <v>1073</v>
      </c>
      <c r="Y46" s="1">
        <v>3.57</v>
      </c>
      <c r="AA46" s="1">
        <v>0.8</v>
      </c>
      <c r="AB46" s="1">
        <v>14.87</v>
      </c>
      <c r="AE46" s="1">
        <v>0.49</v>
      </c>
      <c r="AF46" s="1">
        <v>0.62</v>
      </c>
      <c r="AI46" s="1">
        <v>1</v>
      </c>
      <c r="AJ46" s="1" t="s">
        <v>1073</v>
      </c>
      <c r="AL46" s="1">
        <v>64.503200000000007</v>
      </c>
      <c r="AM46" s="1" t="s">
        <v>1073</v>
      </c>
      <c r="AN46" s="1">
        <v>5.0753324020840704</v>
      </c>
      <c r="AO46" s="1">
        <v>0.76608790974853802</v>
      </c>
      <c r="AP46" s="1" t="s">
        <v>1498</v>
      </c>
      <c r="AR46" s="1">
        <v>13.86</v>
      </c>
      <c r="AT46" s="1">
        <v>20</v>
      </c>
    </row>
    <row r="47" spans="1:46">
      <c r="A47" s="1" t="s">
        <v>1502</v>
      </c>
      <c r="C47" s="1" t="s">
        <v>1502</v>
      </c>
      <c r="D47" s="1" t="s">
        <v>1503</v>
      </c>
      <c r="E47" s="1" t="s">
        <v>1466</v>
      </c>
      <c r="F47" s="1" t="s">
        <v>1467</v>
      </c>
      <c r="G47" s="1" t="s">
        <v>49</v>
      </c>
      <c r="H47" s="2" t="s">
        <v>1497</v>
      </c>
      <c r="I47" s="1">
        <v>84</v>
      </c>
      <c r="J47" s="1">
        <v>20</v>
      </c>
      <c r="K47" s="1" t="s">
        <v>78</v>
      </c>
      <c r="L47" s="1" t="s">
        <v>78</v>
      </c>
      <c r="M47" s="1">
        <v>20.8</v>
      </c>
      <c r="N47" s="1">
        <v>23</v>
      </c>
      <c r="O47" s="1">
        <v>69.450400000000002</v>
      </c>
      <c r="P47" s="1">
        <v>-163.92089999999999</v>
      </c>
      <c r="Q47" s="1">
        <v>7.7683499999999999</v>
      </c>
      <c r="R47" s="1">
        <v>30.523199999999999</v>
      </c>
      <c r="S47" s="1">
        <v>264.2475</v>
      </c>
      <c r="T47" s="1">
        <v>100.87056459999999</v>
      </c>
      <c r="U47" s="1">
        <v>19.87467157</v>
      </c>
      <c r="V47" s="1">
        <v>8800</v>
      </c>
      <c r="W47" s="3">
        <v>1.5940000000000001</v>
      </c>
      <c r="X47" s="1" t="s">
        <v>1073</v>
      </c>
      <c r="Y47" s="1">
        <v>3.57</v>
      </c>
      <c r="AA47" s="1">
        <v>0.8</v>
      </c>
      <c r="AB47" s="1">
        <v>14.87</v>
      </c>
      <c r="AE47" s="1">
        <v>0.49</v>
      </c>
      <c r="AF47" s="1">
        <v>0.62</v>
      </c>
      <c r="AI47" s="1">
        <v>1</v>
      </c>
      <c r="AJ47" s="1" t="s">
        <v>1073</v>
      </c>
      <c r="AL47" s="1">
        <v>64.503200000000007</v>
      </c>
      <c r="AM47" s="1" t="s">
        <v>1073</v>
      </c>
      <c r="AN47" s="1">
        <v>5.0753324020840704</v>
      </c>
      <c r="AO47" s="1">
        <v>0.76608790974853802</v>
      </c>
      <c r="AP47" s="1" t="s">
        <v>1498</v>
      </c>
      <c r="AR47" s="1">
        <v>13.86</v>
      </c>
      <c r="AS47" s="1" t="s">
        <v>1504</v>
      </c>
      <c r="AT47" s="1">
        <v>20</v>
      </c>
    </row>
    <row r="48" spans="1:46">
      <c r="A48" s="1" t="s">
        <v>1505</v>
      </c>
      <c r="C48" s="1" t="s">
        <v>1505</v>
      </c>
      <c r="D48" s="1" t="s">
        <v>1506</v>
      </c>
      <c r="E48" s="1" t="s">
        <v>1466</v>
      </c>
      <c r="F48" s="1" t="s">
        <v>1507</v>
      </c>
      <c r="G48" s="1" t="s">
        <v>49</v>
      </c>
      <c r="H48" s="2" t="s">
        <v>1508</v>
      </c>
      <c r="I48" s="1">
        <v>88</v>
      </c>
      <c r="J48" s="1">
        <v>0.2</v>
      </c>
      <c r="K48" s="1" t="s">
        <v>52</v>
      </c>
      <c r="L48" s="1" t="s">
        <v>52</v>
      </c>
      <c r="M48" s="1">
        <v>5.3970000000000002</v>
      </c>
      <c r="N48" s="1">
        <v>41</v>
      </c>
      <c r="O48" s="1">
        <v>69.826149999999998</v>
      </c>
      <c r="P48" s="1">
        <v>-165.63046</v>
      </c>
      <c r="Q48" s="1">
        <v>8.8771500000000003</v>
      </c>
      <c r="R48" s="1">
        <v>31.024850000000001</v>
      </c>
      <c r="S48" s="1">
        <v>283.2</v>
      </c>
      <c r="T48" s="1">
        <v>156.18352379999999</v>
      </c>
      <c r="U48" s="1">
        <v>20.073167210000001</v>
      </c>
      <c r="V48" s="1">
        <v>5950</v>
      </c>
      <c r="W48" s="3">
        <v>1.0029999999999999</v>
      </c>
      <c r="X48" s="1" t="s">
        <v>1509</v>
      </c>
      <c r="Y48" s="1">
        <v>1.1599999999999999</v>
      </c>
      <c r="AA48" s="1">
        <v>0.56000000000000005</v>
      </c>
      <c r="AB48" s="1">
        <v>1.78</v>
      </c>
      <c r="AE48" s="1">
        <v>4.8099999999999996</v>
      </c>
      <c r="AF48" s="1">
        <v>0.52</v>
      </c>
      <c r="AI48" s="1">
        <v>9</v>
      </c>
      <c r="AJ48" s="1" t="s">
        <v>1509</v>
      </c>
      <c r="AK48" s="1">
        <v>2.8</v>
      </c>
      <c r="AL48" s="1">
        <v>87.073099999999997</v>
      </c>
      <c r="AM48" s="1" t="s">
        <v>1509</v>
      </c>
      <c r="AN48" s="1">
        <v>7.7807115422319999</v>
      </c>
      <c r="AO48" s="1">
        <v>1.1744470252425701</v>
      </c>
      <c r="AP48" s="1" t="s">
        <v>1510</v>
      </c>
      <c r="AR48" s="1">
        <v>20.16</v>
      </c>
      <c r="AT48" s="1">
        <v>5</v>
      </c>
    </row>
    <row r="49" spans="1:46">
      <c r="A49" s="1" t="s">
        <v>1511</v>
      </c>
      <c r="C49" s="1" t="s">
        <v>1511</v>
      </c>
      <c r="D49" s="1" t="s">
        <v>1512</v>
      </c>
      <c r="E49" s="1" t="s">
        <v>1466</v>
      </c>
      <c r="F49" s="1" t="s">
        <v>1507</v>
      </c>
      <c r="G49" s="1" t="s">
        <v>49</v>
      </c>
      <c r="H49" s="2" t="s">
        <v>1508</v>
      </c>
      <c r="I49" s="1">
        <v>88</v>
      </c>
      <c r="J49" s="1">
        <v>3</v>
      </c>
      <c r="K49" s="1" t="s">
        <v>52</v>
      </c>
      <c r="L49" s="1" t="s">
        <v>52</v>
      </c>
      <c r="M49" s="1">
        <v>5.3970000000000002</v>
      </c>
      <c r="N49" s="1">
        <v>41</v>
      </c>
      <c r="O49" s="1">
        <v>69.826149999999998</v>
      </c>
      <c r="P49" s="1">
        <v>-165.63046</v>
      </c>
      <c r="Q49" s="1">
        <v>8.8771500000000003</v>
      </c>
      <c r="R49" s="1">
        <v>31.024850000000001</v>
      </c>
      <c r="S49" s="1">
        <v>283.2</v>
      </c>
      <c r="T49" s="1">
        <v>156.18352379999999</v>
      </c>
      <c r="U49" s="1">
        <v>20.073167210000001</v>
      </c>
      <c r="V49" s="1">
        <v>5950</v>
      </c>
      <c r="W49" s="3">
        <v>1.0029999999999999</v>
      </c>
      <c r="X49" s="1" t="s">
        <v>1509</v>
      </c>
      <c r="Y49" s="1">
        <v>1.1599999999999999</v>
      </c>
      <c r="AA49" s="1">
        <v>0.56000000000000005</v>
      </c>
      <c r="AB49" s="1">
        <v>1.78</v>
      </c>
      <c r="AE49" s="1">
        <v>4.8099999999999996</v>
      </c>
      <c r="AF49" s="1">
        <v>0.52</v>
      </c>
      <c r="AI49" s="1">
        <v>9</v>
      </c>
      <c r="AJ49" s="1" t="s">
        <v>1509</v>
      </c>
      <c r="AK49" s="1">
        <v>2.8</v>
      </c>
      <c r="AL49" s="1">
        <v>87.073099999999997</v>
      </c>
      <c r="AM49" s="1" t="s">
        <v>1509</v>
      </c>
      <c r="AN49" s="1">
        <v>7.7807115422319999</v>
      </c>
      <c r="AO49" s="1">
        <v>1.1744470252425701</v>
      </c>
      <c r="AP49" s="1" t="s">
        <v>1510</v>
      </c>
      <c r="AR49" s="1">
        <v>20.16</v>
      </c>
      <c r="AT49" s="1">
        <v>5</v>
      </c>
    </row>
    <row r="50" spans="1:46">
      <c r="A50" s="1" t="s">
        <v>1513</v>
      </c>
      <c r="C50" s="1" t="s">
        <v>1513</v>
      </c>
      <c r="D50" s="1" t="s">
        <v>1514</v>
      </c>
      <c r="E50" s="1" t="s">
        <v>1466</v>
      </c>
      <c r="F50" s="1" t="s">
        <v>1507</v>
      </c>
      <c r="G50" s="1" t="s">
        <v>49</v>
      </c>
      <c r="H50" s="2" t="s">
        <v>1508</v>
      </c>
      <c r="I50" s="1">
        <v>88</v>
      </c>
      <c r="J50" s="1">
        <v>20</v>
      </c>
      <c r="K50" s="1" t="s">
        <v>52</v>
      </c>
      <c r="L50" s="1" t="s">
        <v>52</v>
      </c>
      <c r="M50" s="1">
        <v>5.3970000000000002</v>
      </c>
      <c r="N50" s="1">
        <v>41</v>
      </c>
      <c r="O50" s="1">
        <v>69.826149999999998</v>
      </c>
      <c r="P50" s="1">
        <v>-165.63046</v>
      </c>
      <c r="Q50" s="1">
        <v>8.8771500000000003</v>
      </c>
      <c r="R50" s="1">
        <v>31.024850000000001</v>
      </c>
      <c r="S50" s="1">
        <v>283.2</v>
      </c>
      <c r="T50" s="1">
        <v>156.18352379999999</v>
      </c>
      <c r="U50" s="1">
        <v>20.073167210000001</v>
      </c>
      <c r="V50" s="1">
        <v>5950</v>
      </c>
      <c r="W50" s="3">
        <v>1.0029999999999999</v>
      </c>
      <c r="X50" s="1" t="s">
        <v>1509</v>
      </c>
      <c r="Y50" s="1">
        <v>1.1599999999999999</v>
      </c>
      <c r="AA50" s="1">
        <v>0.56000000000000005</v>
      </c>
      <c r="AB50" s="1">
        <v>1.78</v>
      </c>
      <c r="AE50" s="1">
        <v>4.8099999999999996</v>
      </c>
      <c r="AF50" s="1">
        <v>0.52</v>
      </c>
      <c r="AI50" s="1">
        <v>9</v>
      </c>
      <c r="AJ50" s="1" t="s">
        <v>1509</v>
      </c>
      <c r="AK50" s="1">
        <v>2.8</v>
      </c>
      <c r="AL50" s="1">
        <v>87.073099999999997</v>
      </c>
      <c r="AM50" s="1" t="s">
        <v>1509</v>
      </c>
      <c r="AN50" s="1">
        <v>7.7807115422319999</v>
      </c>
      <c r="AO50" s="1">
        <v>1.1744470252425701</v>
      </c>
      <c r="AP50" s="1" t="s">
        <v>1510</v>
      </c>
      <c r="AR50" s="1">
        <v>20.16</v>
      </c>
      <c r="AT50" s="1">
        <v>5</v>
      </c>
    </row>
    <row r="51" spans="1:46">
      <c r="A51" s="1" t="s">
        <v>1515</v>
      </c>
      <c r="C51" s="1" t="s">
        <v>1515</v>
      </c>
      <c r="D51" s="1" t="s">
        <v>1516</v>
      </c>
      <c r="E51" s="1" t="s">
        <v>1466</v>
      </c>
      <c r="F51" s="1" t="s">
        <v>1507</v>
      </c>
      <c r="G51" s="1" t="s">
        <v>49</v>
      </c>
      <c r="H51" s="2" t="s">
        <v>1517</v>
      </c>
      <c r="I51" s="1">
        <v>88</v>
      </c>
      <c r="J51" s="1">
        <v>0.2</v>
      </c>
      <c r="L51" s="1" t="s">
        <v>65</v>
      </c>
      <c r="M51" s="1">
        <v>9.9139999999999997</v>
      </c>
      <c r="N51" s="1">
        <v>41</v>
      </c>
      <c r="O51" s="1">
        <v>69.825760000000002</v>
      </c>
      <c r="P51" s="1">
        <v>-165.63043999999999</v>
      </c>
      <c r="Q51" s="1">
        <v>8.7609999999999992</v>
      </c>
      <c r="R51" s="1">
        <v>31.132349999999999</v>
      </c>
      <c r="S51" s="1">
        <v>283.82150000000001</v>
      </c>
      <c r="T51" s="1">
        <v>136.7585814</v>
      </c>
      <c r="U51" s="1">
        <v>18.1043755</v>
      </c>
      <c r="V51" s="1">
        <v>5400</v>
      </c>
      <c r="W51" s="3">
        <v>1.0720000000000001</v>
      </c>
      <c r="X51" s="1" t="s">
        <v>1518</v>
      </c>
      <c r="Y51" s="1">
        <v>1.1000000000000001</v>
      </c>
      <c r="AA51" s="1">
        <v>0.45</v>
      </c>
      <c r="AB51" s="1">
        <v>1.78</v>
      </c>
      <c r="AE51" s="1">
        <v>1.2</v>
      </c>
      <c r="AF51" s="1">
        <v>0.18</v>
      </c>
      <c r="AI51" s="1">
        <v>8</v>
      </c>
      <c r="AJ51" s="1" t="s">
        <v>1519</v>
      </c>
      <c r="AK51" s="1">
        <v>2.5</v>
      </c>
      <c r="AL51" s="1">
        <v>87.917500000000004</v>
      </c>
      <c r="AM51" s="1" t="s">
        <v>1518</v>
      </c>
      <c r="AN51" s="1">
        <v>7.5538966478020697</v>
      </c>
      <c r="AO51" s="1">
        <v>1.14021081476258</v>
      </c>
      <c r="AP51" s="1" t="s">
        <v>1520</v>
      </c>
      <c r="AR51" s="1">
        <v>20.16</v>
      </c>
      <c r="AT51" s="1">
        <v>10</v>
      </c>
    </row>
    <row r="52" spans="1:46">
      <c r="A52" s="1" t="s">
        <v>1521</v>
      </c>
      <c r="C52" s="1" t="s">
        <v>1521</v>
      </c>
      <c r="D52" s="1" t="s">
        <v>1522</v>
      </c>
      <c r="E52" s="1" t="s">
        <v>1466</v>
      </c>
      <c r="F52" s="1" t="s">
        <v>1507</v>
      </c>
      <c r="G52" s="1" t="s">
        <v>49</v>
      </c>
      <c r="H52" s="2" t="s">
        <v>1517</v>
      </c>
      <c r="I52" s="1">
        <v>88</v>
      </c>
      <c r="J52" s="1">
        <v>3</v>
      </c>
      <c r="L52" s="1" t="s">
        <v>65</v>
      </c>
      <c r="M52" s="1">
        <v>9.9139999999999997</v>
      </c>
      <c r="N52" s="1">
        <v>41</v>
      </c>
      <c r="O52" s="1">
        <v>69.825760000000002</v>
      </c>
      <c r="P52" s="1">
        <v>-165.63043999999999</v>
      </c>
      <c r="Q52" s="1">
        <v>8.7609999999999992</v>
      </c>
      <c r="R52" s="1">
        <v>31.132349999999999</v>
      </c>
      <c r="S52" s="1">
        <v>283.82150000000001</v>
      </c>
      <c r="T52" s="1">
        <v>136.7585814</v>
      </c>
      <c r="U52" s="1">
        <v>18.1043755</v>
      </c>
      <c r="V52" s="1">
        <v>5400</v>
      </c>
      <c r="W52" s="3">
        <v>1.0720000000000001</v>
      </c>
      <c r="X52" s="1" t="s">
        <v>1518</v>
      </c>
      <c r="Y52" s="1">
        <v>1.1000000000000001</v>
      </c>
      <c r="AA52" s="1">
        <v>0.45</v>
      </c>
      <c r="AB52" s="1">
        <v>1.78</v>
      </c>
      <c r="AE52" s="1">
        <v>1.2</v>
      </c>
      <c r="AF52" s="1">
        <v>0.18</v>
      </c>
      <c r="AI52" s="1">
        <v>8</v>
      </c>
      <c r="AJ52" s="1" t="s">
        <v>1519</v>
      </c>
      <c r="AK52" s="1">
        <v>2.5</v>
      </c>
      <c r="AL52" s="1">
        <v>87.917500000000004</v>
      </c>
      <c r="AM52" s="1" t="s">
        <v>1518</v>
      </c>
      <c r="AN52" s="1">
        <v>7.5538966478020697</v>
      </c>
      <c r="AO52" s="1">
        <v>1.14021081476258</v>
      </c>
      <c r="AP52" s="1" t="s">
        <v>1520</v>
      </c>
      <c r="AR52" s="1">
        <v>20.16</v>
      </c>
      <c r="AT52" s="1">
        <v>10</v>
      </c>
    </row>
    <row r="53" spans="1:46">
      <c r="A53" s="1" t="s">
        <v>1523</v>
      </c>
      <c r="C53" s="1" t="s">
        <v>1523</v>
      </c>
      <c r="D53" s="1" t="s">
        <v>1524</v>
      </c>
      <c r="E53" s="1" t="s">
        <v>1466</v>
      </c>
      <c r="F53" s="1" t="s">
        <v>1507</v>
      </c>
      <c r="G53" s="1" t="s">
        <v>49</v>
      </c>
      <c r="H53" s="2" t="s">
        <v>1517</v>
      </c>
      <c r="I53" s="1">
        <v>88</v>
      </c>
      <c r="J53" s="1">
        <v>20</v>
      </c>
      <c r="L53" s="1" t="s">
        <v>65</v>
      </c>
      <c r="M53" s="1">
        <v>9.9139999999999997</v>
      </c>
      <c r="N53" s="1">
        <v>41</v>
      </c>
      <c r="O53" s="1">
        <v>69.825760000000002</v>
      </c>
      <c r="P53" s="1">
        <v>-165.63043999999999</v>
      </c>
      <c r="Q53" s="1">
        <v>8.7609999999999992</v>
      </c>
      <c r="R53" s="1">
        <v>31.132349999999999</v>
      </c>
      <c r="S53" s="1">
        <v>283.82150000000001</v>
      </c>
      <c r="T53" s="1">
        <v>136.7585814</v>
      </c>
      <c r="U53" s="1">
        <v>18.1043755</v>
      </c>
      <c r="V53" s="1">
        <v>5400</v>
      </c>
      <c r="W53" s="3">
        <v>1.0720000000000001</v>
      </c>
      <c r="X53" s="1" t="s">
        <v>1518</v>
      </c>
      <c r="Y53" s="1">
        <v>1.1000000000000001</v>
      </c>
      <c r="AA53" s="1">
        <v>0.45</v>
      </c>
      <c r="AB53" s="1">
        <v>1.78</v>
      </c>
      <c r="AE53" s="1">
        <v>1.2</v>
      </c>
      <c r="AF53" s="1">
        <v>0.18</v>
      </c>
      <c r="AI53" s="1">
        <v>8</v>
      </c>
      <c r="AJ53" s="1" t="s">
        <v>1519</v>
      </c>
      <c r="AK53" s="1">
        <v>2.5</v>
      </c>
      <c r="AL53" s="1">
        <v>87.917500000000004</v>
      </c>
      <c r="AM53" s="1" t="s">
        <v>1518</v>
      </c>
      <c r="AN53" s="1">
        <v>7.5538966478020697</v>
      </c>
      <c r="AO53" s="1">
        <v>1.14021081476258</v>
      </c>
      <c r="AP53" s="1" t="s">
        <v>1520</v>
      </c>
      <c r="AR53" s="1">
        <v>20.16</v>
      </c>
      <c r="AS53" s="1" t="s">
        <v>1525</v>
      </c>
      <c r="AT53" s="1">
        <v>10</v>
      </c>
    </row>
    <row r="54" spans="1:46">
      <c r="A54" s="1" t="s">
        <v>1526</v>
      </c>
      <c r="C54" s="1" t="s">
        <v>1526</v>
      </c>
      <c r="D54" s="1" t="s">
        <v>1527</v>
      </c>
      <c r="E54" s="1" t="s">
        <v>1466</v>
      </c>
      <c r="F54" s="1" t="s">
        <v>1507</v>
      </c>
      <c r="G54" s="1" t="s">
        <v>49</v>
      </c>
      <c r="H54" s="2" t="s">
        <v>1528</v>
      </c>
      <c r="I54" s="1">
        <v>88</v>
      </c>
      <c r="J54" s="1">
        <v>0.2</v>
      </c>
      <c r="K54" s="1" t="s">
        <v>1488</v>
      </c>
      <c r="L54" s="1" t="s">
        <v>65</v>
      </c>
      <c r="M54" s="1">
        <v>21.463000000000001</v>
      </c>
      <c r="N54" s="1">
        <v>41</v>
      </c>
      <c r="O54" s="1">
        <v>69.825429999999997</v>
      </c>
      <c r="P54" s="1">
        <v>-165.63048000000001</v>
      </c>
      <c r="Q54" s="1">
        <v>8.3078000000000003</v>
      </c>
      <c r="R54" s="1">
        <v>31.478300000000001</v>
      </c>
      <c r="S54" s="1">
        <v>271.72949999999997</v>
      </c>
      <c r="T54" s="1">
        <v>116.9140419</v>
      </c>
      <c r="U54" s="1">
        <v>15.938204450000001</v>
      </c>
      <c r="V54" s="1">
        <v>5940</v>
      </c>
      <c r="W54" s="3">
        <v>2.0670000000000002</v>
      </c>
      <c r="X54" s="1" t="s">
        <v>1001</v>
      </c>
      <c r="Y54" s="1">
        <v>3.67</v>
      </c>
      <c r="AA54" s="1">
        <v>0.44</v>
      </c>
      <c r="AB54" s="1">
        <v>1.78</v>
      </c>
      <c r="AE54" s="1">
        <v>1.17</v>
      </c>
      <c r="AF54" s="1">
        <v>0.61</v>
      </c>
      <c r="AI54" s="1">
        <v>5</v>
      </c>
      <c r="AJ54" s="1" t="s">
        <v>1001</v>
      </c>
      <c r="AK54" s="1">
        <v>2.5</v>
      </c>
      <c r="AL54" s="1">
        <v>88.500900000000001</v>
      </c>
      <c r="AM54" s="1" t="s">
        <v>1001</v>
      </c>
      <c r="AN54" s="1">
        <v>7.33545878814473</v>
      </c>
      <c r="AO54" s="1">
        <v>1.1072390623614701</v>
      </c>
      <c r="AP54" s="1" t="s">
        <v>1529</v>
      </c>
      <c r="AR54" s="1">
        <v>20.16</v>
      </c>
      <c r="AT54" s="1">
        <v>20</v>
      </c>
    </row>
    <row r="55" spans="1:46">
      <c r="A55" s="1" t="s">
        <v>1530</v>
      </c>
      <c r="C55" s="1" t="s">
        <v>1530</v>
      </c>
      <c r="D55" s="1" t="s">
        <v>1531</v>
      </c>
      <c r="E55" s="1" t="s">
        <v>1466</v>
      </c>
      <c r="F55" s="1" t="s">
        <v>1507</v>
      </c>
      <c r="G55" s="1" t="s">
        <v>49</v>
      </c>
      <c r="H55" s="2" t="s">
        <v>1528</v>
      </c>
      <c r="I55" s="1">
        <v>88</v>
      </c>
      <c r="J55" s="1">
        <v>3</v>
      </c>
      <c r="K55" s="1" t="s">
        <v>1488</v>
      </c>
      <c r="L55" s="1" t="s">
        <v>65</v>
      </c>
      <c r="M55" s="1">
        <v>21.463000000000001</v>
      </c>
      <c r="N55" s="1">
        <v>41</v>
      </c>
      <c r="O55" s="1">
        <v>69.825429999999997</v>
      </c>
      <c r="P55" s="1">
        <v>-165.63048000000001</v>
      </c>
      <c r="Q55" s="1">
        <v>8.3078000000000003</v>
      </c>
      <c r="R55" s="1">
        <v>31.478300000000001</v>
      </c>
      <c r="S55" s="1">
        <v>271.72949999999997</v>
      </c>
      <c r="T55" s="1">
        <v>116.9140419</v>
      </c>
      <c r="U55" s="1">
        <v>15.938204450000001</v>
      </c>
      <c r="V55" s="1">
        <v>5940</v>
      </c>
      <c r="W55" s="3">
        <v>2.0670000000000002</v>
      </c>
      <c r="X55" s="1" t="s">
        <v>1001</v>
      </c>
      <c r="Y55" s="1">
        <v>3.67</v>
      </c>
      <c r="AA55" s="1">
        <v>0.44</v>
      </c>
      <c r="AB55" s="1">
        <v>1.78</v>
      </c>
      <c r="AE55" s="1">
        <v>1.17</v>
      </c>
      <c r="AF55" s="1">
        <v>0.61</v>
      </c>
      <c r="AI55" s="1">
        <v>5</v>
      </c>
      <c r="AJ55" s="1" t="s">
        <v>1001</v>
      </c>
      <c r="AK55" s="1">
        <v>2.5</v>
      </c>
      <c r="AL55" s="1">
        <v>88.500900000000001</v>
      </c>
      <c r="AM55" s="1" t="s">
        <v>1001</v>
      </c>
      <c r="AN55" s="1">
        <v>7.33545878814473</v>
      </c>
      <c r="AO55" s="1">
        <v>1.1072390623614701</v>
      </c>
      <c r="AP55" s="1" t="s">
        <v>1529</v>
      </c>
      <c r="AR55" s="1">
        <v>20.16</v>
      </c>
      <c r="AT55" s="1">
        <v>20</v>
      </c>
    </row>
    <row r="56" spans="1:46">
      <c r="A56" s="1" t="s">
        <v>1532</v>
      </c>
      <c r="C56" s="1" t="s">
        <v>1532</v>
      </c>
      <c r="D56" s="1" t="s">
        <v>1533</v>
      </c>
      <c r="E56" s="1" t="s">
        <v>1466</v>
      </c>
      <c r="F56" s="1" t="s">
        <v>1507</v>
      </c>
      <c r="G56" s="1" t="s">
        <v>49</v>
      </c>
      <c r="H56" s="2" t="s">
        <v>1528</v>
      </c>
      <c r="I56" s="1">
        <v>88</v>
      </c>
      <c r="J56" s="1">
        <v>20</v>
      </c>
      <c r="K56" s="1" t="s">
        <v>1488</v>
      </c>
      <c r="L56" s="1" t="s">
        <v>65</v>
      </c>
      <c r="M56" s="1">
        <v>21.463000000000001</v>
      </c>
      <c r="N56" s="1">
        <v>41</v>
      </c>
      <c r="O56" s="1">
        <v>69.825429999999997</v>
      </c>
      <c r="P56" s="1">
        <v>-165.63048000000001</v>
      </c>
      <c r="Q56" s="1">
        <v>8.3078000000000003</v>
      </c>
      <c r="R56" s="1">
        <v>31.478300000000001</v>
      </c>
      <c r="S56" s="1">
        <v>271.72949999999997</v>
      </c>
      <c r="T56" s="1">
        <v>116.9140419</v>
      </c>
      <c r="U56" s="1">
        <v>15.938204450000001</v>
      </c>
      <c r="V56" s="1">
        <v>5940</v>
      </c>
      <c r="W56" s="3">
        <v>2.0670000000000002</v>
      </c>
      <c r="X56" s="1" t="s">
        <v>1001</v>
      </c>
      <c r="Y56" s="1">
        <v>3.67</v>
      </c>
      <c r="AA56" s="1">
        <v>0.44</v>
      </c>
      <c r="AB56" s="1">
        <v>1.78</v>
      </c>
      <c r="AE56" s="1">
        <v>1.17</v>
      </c>
      <c r="AF56" s="1">
        <v>0.61</v>
      </c>
      <c r="AI56" s="1">
        <v>5</v>
      </c>
      <c r="AJ56" s="1" t="s">
        <v>1001</v>
      </c>
      <c r="AK56" s="1">
        <v>2.5</v>
      </c>
      <c r="AL56" s="1">
        <v>88.500900000000001</v>
      </c>
      <c r="AM56" s="1" t="s">
        <v>1001</v>
      </c>
      <c r="AN56" s="1">
        <v>7.33545878814473</v>
      </c>
      <c r="AO56" s="1">
        <v>1.1072390623614701</v>
      </c>
      <c r="AP56" s="1" t="s">
        <v>1529</v>
      </c>
      <c r="AR56" s="1">
        <v>20.16</v>
      </c>
      <c r="AS56" s="1" t="s">
        <v>1525</v>
      </c>
      <c r="AT56" s="1">
        <v>20</v>
      </c>
    </row>
    <row r="57" spans="1:46">
      <c r="A57" s="1" t="s">
        <v>1534</v>
      </c>
      <c r="C57" s="1" t="s">
        <v>1534</v>
      </c>
      <c r="D57" s="1" t="s">
        <v>1535</v>
      </c>
      <c r="E57" s="1" t="s">
        <v>1466</v>
      </c>
      <c r="F57" s="1" t="s">
        <v>1507</v>
      </c>
      <c r="G57" s="1" t="s">
        <v>49</v>
      </c>
      <c r="H57" s="2" t="s">
        <v>1536</v>
      </c>
      <c r="I57" s="1">
        <v>88</v>
      </c>
      <c r="J57" s="1">
        <v>0.2</v>
      </c>
      <c r="L57" s="1" t="s">
        <v>65</v>
      </c>
      <c r="M57" s="1">
        <v>30.294</v>
      </c>
      <c r="N57" s="1">
        <v>41</v>
      </c>
      <c r="O57" s="1">
        <v>69.82508</v>
      </c>
      <c r="P57" s="1">
        <v>-165.63061999999999</v>
      </c>
      <c r="Q57" s="1">
        <v>6.0864500000000001</v>
      </c>
      <c r="R57" s="1">
        <v>32.082099999999997</v>
      </c>
      <c r="S57" s="1">
        <v>261.096</v>
      </c>
      <c r="T57" s="1">
        <v>127.8600533</v>
      </c>
      <c r="U57" s="1">
        <v>16.519693490000002</v>
      </c>
      <c r="V57" s="1">
        <v>5320</v>
      </c>
      <c r="W57" s="3">
        <v>0.309</v>
      </c>
      <c r="X57" s="1" t="s">
        <v>1005</v>
      </c>
      <c r="Y57" s="1">
        <v>0.54</v>
      </c>
      <c r="AA57" s="1">
        <v>1.19</v>
      </c>
      <c r="AB57" s="1">
        <v>14.94</v>
      </c>
      <c r="AE57" s="1">
        <v>2.65</v>
      </c>
      <c r="AF57" s="1">
        <v>0.92</v>
      </c>
      <c r="AI57" s="1">
        <v>3</v>
      </c>
      <c r="AJ57" s="1" t="s">
        <v>1005</v>
      </c>
      <c r="AK57" s="1">
        <v>2.2000000000000002</v>
      </c>
      <c r="AL57" s="1">
        <v>75.015100000000004</v>
      </c>
      <c r="AM57" s="1" t="s">
        <v>1005</v>
      </c>
      <c r="AN57" s="1">
        <v>7.7398562738103198</v>
      </c>
      <c r="AO57" s="1">
        <v>1.16828019227326</v>
      </c>
      <c r="AP57" s="1" t="s">
        <v>1537</v>
      </c>
      <c r="AR57" s="1">
        <v>20.16</v>
      </c>
      <c r="AT57" s="1">
        <v>30</v>
      </c>
    </row>
    <row r="58" spans="1:46">
      <c r="A58" s="1" t="s">
        <v>1538</v>
      </c>
      <c r="C58" s="1" t="s">
        <v>1538</v>
      </c>
      <c r="D58" s="1" t="s">
        <v>1539</v>
      </c>
      <c r="E58" s="1" t="s">
        <v>1466</v>
      </c>
      <c r="F58" s="1" t="s">
        <v>1507</v>
      </c>
      <c r="G58" s="1" t="s">
        <v>49</v>
      </c>
      <c r="H58" s="2" t="s">
        <v>1536</v>
      </c>
      <c r="I58" s="1">
        <v>88</v>
      </c>
      <c r="J58" s="1">
        <v>3</v>
      </c>
      <c r="L58" s="1" t="s">
        <v>65</v>
      </c>
      <c r="M58" s="1">
        <v>30.294</v>
      </c>
      <c r="N58" s="1">
        <v>41</v>
      </c>
      <c r="O58" s="1">
        <v>69.82508</v>
      </c>
      <c r="P58" s="1">
        <v>-165.63061999999999</v>
      </c>
      <c r="Q58" s="1">
        <v>6.0864500000000001</v>
      </c>
      <c r="R58" s="1">
        <v>32.082099999999997</v>
      </c>
      <c r="S58" s="1">
        <v>261.096</v>
      </c>
      <c r="T58" s="1">
        <v>127.8600533</v>
      </c>
      <c r="U58" s="1">
        <v>16.519693490000002</v>
      </c>
      <c r="V58" s="1">
        <v>5320</v>
      </c>
      <c r="W58" s="3">
        <v>0.309</v>
      </c>
      <c r="X58" s="1" t="s">
        <v>1005</v>
      </c>
      <c r="Y58" s="1">
        <v>0.54</v>
      </c>
      <c r="AA58" s="1">
        <v>1.19</v>
      </c>
      <c r="AB58" s="1">
        <v>14.94</v>
      </c>
      <c r="AE58" s="1">
        <v>2.65</v>
      </c>
      <c r="AF58" s="1">
        <v>0.92</v>
      </c>
      <c r="AI58" s="1">
        <v>3</v>
      </c>
      <c r="AJ58" s="1" t="s">
        <v>1005</v>
      </c>
      <c r="AK58" s="1">
        <v>2.2000000000000002</v>
      </c>
      <c r="AL58" s="1">
        <v>75.015100000000004</v>
      </c>
      <c r="AM58" s="1" t="s">
        <v>1005</v>
      </c>
      <c r="AN58" s="1">
        <v>7.7398562738103198</v>
      </c>
      <c r="AO58" s="1">
        <v>1.16828019227326</v>
      </c>
      <c r="AP58" s="1" t="s">
        <v>1537</v>
      </c>
      <c r="AR58" s="1">
        <v>20.16</v>
      </c>
      <c r="AT58" s="1">
        <v>30</v>
      </c>
    </row>
    <row r="59" spans="1:46">
      <c r="A59" s="1" t="s">
        <v>1540</v>
      </c>
      <c r="C59" s="1" t="s">
        <v>1540</v>
      </c>
      <c r="D59" s="1" t="s">
        <v>1541</v>
      </c>
      <c r="E59" s="1" t="s">
        <v>1466</v>
      </c>
      <c r="F59" s="1" t="s">
        <v>1507</v>
      </c>
      <c r="G59" s="1" t="s">
        <v>49</v>
      </c>
      <c r="H59" s="2" t="s">
        <v>1536</v>
      </c>
      <c r="I59" s="1">
        <v>88</v>
      </c>
      <c r="J59" s="1">
        <v>20</v>
      </c>
      <c r="L59" s="1" t="s">
        <v>65</v>
      </c>
      <c r="M59" s="1">
        <v>30.294</v>
      </c>
      <c r="N59" s="1">
        <v>41</v>
      </c>
      <c r="O59" s="1">
        <v>69.82508</v>
      </c>
      <c r="P59" s="1">
        <v>-165.63061999999999</v>
      </c>
      <c r="Q59" s="1">
        <v>6.0864500000000001</v>
      </c>
      <c r="R59" s="1">
        <v>32.082099999999997</v>
      </c>
      <c r="S59" s="1">
        <v>261.096</v>
      </c>
      <c r="T59" s="1">
        <v>127.8600533</v>
      </c>
      <c r="U59" s="1">
        <v>16.519693490000002</v>
      </c>
      <c r="V59" s="1">
        <v>5320</v>
      </c>
      <c r="W59" s="3">
        <v>0.309</v>
      </c>
      <c r="X59" s="1" t="s">
        <v>1005</v>
      </c>
      <c r="Y59" s="1">
        <v>0.54</v>
      </c>
      <c r="AA59" s="1">
        <v>1.19</v>
      </c>
      <c r="AB59" s="1">
        <v>14.94</v>
      </c>
      <c r="AE59" s="1">
        <v>2.65</v>
      </c>
      <c r="AF59" s="1">
        <v>0.92</v>
      </c>
      <c r="AI59" s="1">
        <v>3</v>
      </c>
      <c r="AJ59" s="1" t="s">
        <v>1005</v>
      </c>
      <c r="AK59" s="1">
        <v>2.2000000000000002</v>
      </c>
      <c r="AL59" s="1">
        <v>75.015100000000004</v>
      </c>
      <c r="AM59" s="1" t="s">
        <v>1005</v>
      </c>
      <c r="AN59" s="1">
        <v>7.7398562738103198</v>
      </c>
      <c r="AO59" s="1">
        <v>1.16828019227326</v>
      </c>
      <c r="AP59" s="1" t="s">
        <v>1537</v>
      </c>
      <c r="AR59" s="1">
        <v>20.16</v>
      </c>
      <c r="AT59" s="1">
        <v>30</v>
      </c>
    </row>
    <row r="60" spans="1:46">
      <c r="A60" s="1" t="s">
        <v>1542</v>
      </c>
      <c r="C60" s="1" t="s">
        <v>1542</v>
      </c>
      <c r="D60" s="1" t="s">
        <v>1543</v>
      </c>
      <c r="E60" s="1" t="s">
        <v>1466</v>
      </c>
      <c r="F60" s="1" t="s">
        <v>1507</v>
      </c>
      <c r="G60" s="1" t="s">
        <v>49</v>
      </c>
      <c r="H60" s="2" t="s">
        <v>1544</v>
      </c>
      <c r="I60" s="1">
        <v>88</v>
      </c>
      <c r="J60" s="1">
        <v>0.2</v>
      </c>
      <c r="K60" s="1" t="s">
        <v>78</v>
      </c>
      <c r="L60" s="1" t="s">
        <v>78</v>
      </c>
      <c r="M60" s="1">
        <v>35.81</v>
      </c>
      <c r="N60" s="1">
        <v>41</v>
      </c>
      <c r="O60" s="1">
        <v>69.824740000000006</v>
      </c>
      <c r="P60" s="1">
        <v>-165.63070999999999</v>
      </c>
      <c r="Q60" s="1">
        <v>5.8640499999999998</v>
      </c>
      <c r="R60" s="1">
        <v>32.110399999999998</v>
      </c>
      <c r="S60" s="1">
        <v>267.18549999999999</v>
      </c>
      <c r="T60" s="1">
        <v>175.65303979999999</v>
      </c>
      <c r="U60" s="1">
        <v>31.086945660000001</v>
      </c>
      <c r="V60" s="1">
        <v>7280</v>
      </c>
      <c r="W60" s="3">
        <v>0.316</v>
      </c>
      <c r="X60" s="1" t="s">
        <v>1009</v>
      </c>
      <c r="Y60" s="1">
        <v>0.53</v>
      </c>
      <c r="AA60" s="1">
        <v>1.06</v>
      </c>
      <c r="AB60" s="1">
        <v>13.32</v>
      </c>
      <c r="AE60" s="1">
        <v>2.74</v>
      </c>
      <c r="AF60" s="1">
        <v>0.93</v>
      </c>
      <c r="AI60" s="1">
        <v>1</v>
      </c>
      <c r="AJ60" s="1" t="s">
        <v>1009</v>
      </c>
      <c r="AK60" s="1">
        <v>2.2000000000000002</v>
      </c>
      <c r="AL60" s="1">
        <v>76.191400000000002</v>
      </c>
      <c r="AM60" s="1" t="s">
        <v>1009</v>
      </c>
      <c r="AN60" s="1">
        <v>5.6503794782906303</v>
      </c>
      <c r="AO60" s="1">
        <v>0.85288746842122698</v>
      </c>
      <c r="AP60" s="1" t="s">
        <v>1545</v>
      </c>
      <c r="AR60" s="1">
        <v>20.16</v>
      </c>
      <c r="AT60" s="1">
        <v>37</v>
      </c>
    </row>
    <row r="61" spans="1:46">
      <c r="A61" s="1" t="s">
        <v>1546</v>
      </c>
      <c r="C61" s="1" t="s">
        <v>1546</v>
      </c>
      <c r="D61" s="1" t="s">
        <v>1547</v>
      </c>
      <c r="E61" s="1" t="s">
        <v>1466</v>
      </c>
      <c r="F61" s="1" t="s">
        <v>1507</v>
      </c>
      <c r="G61" s="1" t="s">
        <v>49</v>
      </c>
      <c r="H61" s="2" t="s">
        <v>1544</v>
      </c>
      <c r="I61" s="1">
        <v>88</v>
      </c>
      <c r="J61" s="1">
        <v>3</v>
      </c>
      <c r="K61" s="1" t="s">
        <v>78</v>
      </c>
      <c r="L61" s="1" t="s">
        <v>78</v>
      </c>
      <c r="M61" s="1">
        <v>35.81</v>
      </c>
      <c r="N61" s="1">
        <v>41</v>
      </c>
      <c r="O61" s="1">
        <v>69.824740000000006</v>
      </c>
      <c r="P61" s="1">
        <v>-165.63070999999999</v>
      </c>
      <c r="Q61" s="1">
        <v>5.8640499999999998</v>
      </c>
      <c r="R61" s="1">
        <v>32.110399999999998</v>
      </c>
      <c r="S61" s="1">
        <v>267.18549999999999</v>
      </c>
      <c r="T61" s="1">
        <v>175.65303979999999</v>
      </c>
      <c r="U61" s="1">
        <v>31.086945660000001</v>
      </c>
      <c r="V61" s="1">
        <v>7280</v>
      </c>
      <c r="W61" s="3">
        <v>0.316</v>
      </c>
      <c r="X61" s="1" t="s">
        <v>1009</v>
      </c>
      <c r="Y61" s="1">
        <v>0.53</v>
      </c>
      <c r="AA61" s="1">
        <v>1.06</v>
      </c>
      <c r="AB61" s="1">
        <v>13.32</v>
      </c>
      <c r="AE61" s="1">
        <v>2.74</v>
      </c>
      <c r="AF61" s="1">
        <v>0.93</v>
      </c>
      <c r="AI61" s="1">
        <v>1</v>
      </c>
      <c r="AJ61" s="1" t="s">
        <v>1009</v>
      </c>
      <c r="AK61" s="1">
        <v>2.2000000000000002</v>
      </c>
      <c r="AL61" s="1">
        <v>76.191400000000002</v>
      </c>
      <c r="AM61" s="1" t="s">
        <v>1009</v>
      </c>
      <c r="AN61" s="1">
        <v>5.6503794782906303</v>
      </c>
      <c r="AO61" s="1">
        <v>0.85288746842122698</v>
      </c>
      <c r="AP61" s="1" t="s">
        <v>1545</v>
      </c>
      <c r="AR61" s="1">
        <v>20.16</v>
      </c>
      <c r="AT61" s="1">
        <v>37</v>
      </c>
    </row>
    <row r="62" spans="1:46">
      <c r="A62" s="1" t="s">
        <v>1548</v>
      </c>
      <c r="C62" s="1" t="s">
        <v>1548</v>
      </c>
      <c r="D62" s="1" t="s">
        <v>1549</v>
      </c>
      <c r="E62" s="1" t="s">
        <v>1466</v>
      </c>
      <c r="F62" s="1" t="s">
        <v>1507</v>
      </c>
      <c r="G62" s="1" t="s">
        <v>49</v>
      </c>
      <c r="H62" s="2" t="s">
        <v>1544</v>
      </c>
      <c r="I62" s="1">
        <v>88</v>
      </c>
      <c r="J62" s="1">
        <v>20</v>
      </c>
      <c r="K62" s="1" t="s">
        <v>78</v>
      </c>
      <c r="L62" s="1" t="s">
        <v>78</v>
      </c>
      <c r="M62" s="1">
        <v>35.81</v>
      </c>
      <c r="N62" s="1">
        <v>41</v>
      </c>
      <c r="O62" s="1">
        <v>69.824740000000006</v>
      </c>
      <c r="P62" s="1">
        <v>-165.63070999999999</v>
      </c>
      <c r="Q62" s="1">
        <v>5.8640499999999998</v>
      </c>
      <c r="R62" s="1">
        <v>32.110399999999998</v>
      </c>
      <c r="S62" s="1">
        <v>267.18549999999999</v>
      </c>
      <c r="T62" s="1">
        <v>175.65303979999999</v>
      </c>
      <c r="U62" s="1">
        <v>31.086945660000001</v>
      </c>
      <c r="V62" s="1">
        <v>7280</v>
      </c>
      <c r="W62" s="3">
        <v>0.316</v>
      </c>
      <c r="X62" s="1" t="s">
        <v>1009</v>
      </c>
      <c r="Y62" s="1">
        <v>0.53</v>
      </c>
      <c r="AA62" s="1">
        <v>1.06</v>
      </c>
      <c r="AB62" s="1">
        <v>13.32</v>
      </c>
      <c r="AE62" s="1">
        <v>2.74</v>
      </c>
      <c r="AF62" s="1">
        <v>0.93</v>
      </c>
      <c r="AI62" s="1">
        <v>1</v>
      </c>
      <c r="AJ62" s="1" t="s">
        <v>1009</v>
      </c>
      <c r="AK62" s="1">
        <v>2.2000000000000002</v>
      </c>
      <c r="AL62" s="1">
        <v>76.191400000000002</v>
      </c>
      <c r="AM62" s="1" t="s">
        <v>1009</v>
      </c>
      <c r="AN62" s="1">
        <v>5.6503794782906303</v>
      </c>
      <c r="AO62" s="1">
        <v>0.85288746842122698</v>
      </c>
      <c r="AP62" s="1" t="s">
        <v>1545</v>
      </c>
      <c r="AR62" s="1">
        <v>20.16</v>
      </c>
      <c r="AT62" s="1">
        <v>37</v>
      </c>
    </row>
    <row r="63" spans="1:46">
      <c r="A63" s="1" t="s">
        <v>45</v>
      </c>
      <c r="B63" s="1">
        <v>10</v>
      </c>
      <c r="C63" s="1" t="s">
        <v>45</v>
      </c>
      <c r="D63" s="1" t="s">
        <v>46</v>
      </c>
      <c r="E63" s="1" t="s">
        <v>47</v>
      </c>
      <c r="F63" s="1" t="s">
        <v>48</v>
      </c>
      <c r="G63" s="1" t="s">
        <v>49</v>
      </c>
      <c r="H63" s="2" t="s">
        <v>50</v>
      </c>
      <c r="I63" s="1">
        <v>8</v>
      </c>
      <c r="J63" s="1">
        <v>0.2</v>
      </c>
      <c r="K63" s="1" t="s">
        <v>51</v>
      </c>
      <c r="L63" s="1" t="s">
        <v>52</v>
      </c>
      <c r="M63" s="1">
        <v>3.31</v>
      </c>
      <c r="N63" s="1">
        <v>39.5</v>
      </c>
      <c r="O63" s="1">
        <v>63.296239999999997</v>
      </c>
      <c r="P63" s="1">
        <v>-168.44944000000001</v>
      </c>
      <c r="Q63" s="1">
        <v>3.8214999999999999</v>
      </c>
      <c r="R63" s="1">
        <v>32.063000000000002</v>
      </c>
      <c r="S63" s="1">
        <v>355.36399999999998</v>
      </c>
      <c r="T63" s="1">
        <v>51.52</v>
      </c>
      <c r="U63" s="1">
        <v>44.84</v>
      </c>
      <c r="V63" s="1">
        <v>3620</v>
      </c>
      <c r="W63" s="3">
        <v>3.3151000000000002</v>
      </c>
      <c r="X63" s="1" t="s">
        <v>53</v>
      </c>
      <c r="Y63" s="1">
        <v>6.73</v>
      </c>
      <c r="Z63" s="1">
        <v>1.31</v>
      </c>
      <c r="AA63" s="1">
        <v>0.38100000000000001</v>
      </c>
      <c r="AB63" s="1">
        <v>1.1000000000000001</v>
      </c>
      <c r="AC63" s="1">
        <v>0.2</v>
      </c>
      <c r="AD63" s="1">
        <v>0.02</v>
      </c>
      <c r="AE63" s="1">
        <v>7.0000000000000007E-2</v>
      </c>
      <c r="AF63" s="1">
        <v>0.22</v>
      </c>
      <c r="AH63" s="1" t="s">
        <v>54</v>
      </c>
      <c r="AI63" s="1">
        <v>19</v>
      </c>
      <c r="AJ63" s="1" t="s">
        <v>53</v>
      </c>
      <c r="AK63" s="1">
        <v>7.5</v>
      </c>
      <c r="AL63" s="1">
        <v>82.887900000000002</v>
      </c>
      <c r="AM63" s="1" t="s">
        <v>53</v>
      </c>
      <c r="AN63" s="1">
        <v>1.14897413024086</v>
      </c>
      <c r="AO63" s="1">
        <v>0.17343005739484599</v>
      </c>
    </row>
    <row r="64" spans="1:46">
      <c r="A64" s="1" t="s">
        <v>55</v>
      </c>
      <c r="B64" s="1">
        <v>13</v>
      </c>
      <c r="C64" s="1" t="s">
        <v>55</v>
      </c>
      <c r="D64" s="1" t="s">
        <v>56</v>
      </c>
      <c r="E64" s="1" t="s">
        <v>47</v>
      </c>
      <c r="F64" s="1" t="s">
        <v>48</v>
      </c>
      <c r="G64" s="1" t="s">
        <v>49</v>
      </c>
      <c r="H64" s="2" t="s">
        <v>50</v>
      </c>
      <c r="I64" s="1">
        <v>8</v>
      </c>
      <c r="J64" s="1">
        <v>3</v>
      </c>
      <c r="K64" s="1" t="s">
        <v>51</v>
      </c>
      <c r="L64" s="1" t="s">
        <v>52</v>
      </c>
      <c r="M64" s="1">
        <v>3.31</v>
      </c>
      <c r="N64" s="1">
        <v>39.5</v>
      </c>
      <c r="O64" s="1">
        <v>63.296239999999997</v>
      </c>
      <c r="P64" s="1">
        <v>-168.44944000000001</v>
      </c>
      <c r="Q64" s="1">
        <v>3.8214999999999999</v>
      </c>
      <c r="R64" s="1">
        <v>32.063000000000002</v>
      </c>
      <c r="S64" s="1">
        <v>355.36399999999998</v>
      </c>
      <c r="T64" s="1">
        <v>51.52</v>
      </c>
      <c r="U64" s="1">
        <v>44.84</v>
      </c>
      <c r="V64" s="1">
        <v>3620</v>
      </c>
      <c r="W64" s="3">
        <v>3.3151000000000002</v>
      </c>
      <c r="X64" s="1" t="s">
        <v>53</v>
      </c>
      <c r="Y64" s="1">
        <v>6.73</v>
      </c>
      <c r="Z64" s="1">
        <v>1.31</v>
      </c>
      <c r="AA64" s="1">
        <v>0.38100000000000001</v>
      </c>
      <c r="AB64" s="1">
        <v>1.1000000000000001</v>
      </c>
      <c r="AC64" s="1">
        <v>0.2</v>
      </c>
      <c r="AD64" s="1">
        <v>0.02</v>
      </c>
      <c r="AE64" s="1">
        <v>7.0000000000000007E-2</v>
      </c>
      <c r="AF64" s="1">
        <v>0.22</v>
      </c>
      <c r="AH64" s="1" t="s">
        <v>57</v>
      </c>
      <c r="AI64" s="1">
        <v>19</v>
      </c>
      <c r="AJ64" s="1" t="s">
        <v>53</v>
      </c>
      <c r="AK64" s="1">
        <v>7.5</v>
      </c>
      <c r="AL64" s="1">
        <v>82.887900000000002</v>
      </c>
      <c r="AM64" s="1" t="s">
        <v>53</v>
      </c>
      <c r="AN64" s="1">
        <v>1.14897413024086</v>
      </c>
      <c r="AO64" s="1">
        <v>0.17343005739484599</v>
      </c>
      <c r="AS64" s="1" t="s">
        <v>58</v>
      </c>
    </row>
    <row r="65" spans="1:45">
      <c r="A65" s="1" t="s">
        <v>59</v>
      </c>
      <c r="B65" s="1">
        <v>16</v>
      </c>
      <c r="C65" s="1" t="s">
        <v>59</v>
      </c>
      <c r="D65" s="1" t="s">
        <v>60</v>
      </c>
      <c r="E65" s="1" t="s">
        <v>47</v>
      </c>
      <c r="F65" s="1" t="s">
        <v>48</v>
      </c>
      <c r="G65" s="1" t="s">
        <v>49</v>
      </c>
      <c r="H65" s="2" t="s">
        <v>50</v>
      </c>
      <c r="I65" s="1">
        <v>8</v>
      </c>
      <c r="J65" s="1">
        <v>20</v>
      </c>
      <c r="K65" s="1" t="s">
        <v>51</v>
      </c>
      <c r="L65" s="1" t="s">
        <v>52</v>
      </c>
      <c r="M65" s="1">
        <v>3.31</v>
      </c>
      <c r="N65" s="1">
        <v>39.5</v>
      </c>
      <c r="O65" s="1">
        <v>63.296239999999997</v>
      </c>
      <c r="P65" s="1">
        <v>-168.44944000000001</v>
      </c>
      <c r="Q65" s="1">
        <v>3.8214999999999999</v>
      </c>
      <c r="R65" s="1">
        <v>32.063000000000002</v>
      </c>
      <c r="S65" s="1">
        <v>355.36399999999998</v>
      </c>
      <c r="T65" s="1">
        <v>51.52</v>
      </c>
      <c r="U65" s="1">
        <v>44.84</v>
      </c>
      <c r="V65" s="1">
        <v>3620</v>
      </c>
      <c r="W65" s="3">
        <v>3.3151000000000002</v>
      </c>
      <c r="X65" s="1" t="s">
        <v>53</v>
      </c>
      <c r="Y65" s="1">
        <v>6.73</v>
      </c>
      <c r="Z65" s="1">
        <v>1.31</v>
      </c>
      <c r="AA65" s="1">
        <v>0.38100000000000001</v>
      </c>
      <c r="AB65" s="1">
        <v>1.1000000000000001</v>
      </c>
      <c r="AC65" s="1">
        <v>0.2</v>
      </c>
      <c r="AD65" s="1">
        <v>0.02</v>
      </c>
      <c r="AE65" s="1">
        <v>7.0000000000000007E-2</v>
      </c>
      <c r="AF65" s="1">
        <v>0.22</v>
      </c>
      <c r="AH65" s="1" t="s">
        <v>61</v>
      </c>
      <c r="AI65" s="1">
        <v>19</v>
      </c>
      <c r="AJ65" s="1" t="s">
        <v>53</v>
      </c>
      <c r="AK65" s="1">
        <v>7.5</v>
      </c>
      <c r="AL65" s="1">
        <v>82.887900000000002</v>
      </c>
      <c r="AM65" s="1" t="s">
        <v>53</v>
      </c>
      <c r="AN65" s="1">
        <v>1.14897413024086</v>
      </c>
      <c r="AO65" s="1">
        <v>0.17343005739484599</v>
      </c>
    </row>
    <row r="66" spans="1:45">
      <c r="A66" s="1" t="s">
        <v>62</v>
      </c>
      <c r="B66" s="1">
        <v>11</v>
      </c>
      <c r="C66" s="1" t="s">
        <v>62</v>
      </c>
      <c r="D66" s="1" t="s">
        <v>63</v>
      </c>
      <c r="E66" s="1" t="s">
        <v>47</v>
      </c>
      <c r="F66" s="1" t="s">
        <v>48</v>
      </c>
      <c r="G66" s="1" t="s">
        <v>49</v>
      </c>
      <c r="H66" s="2" t="s">
        <v>50</v>
      </c>
      <c r="I66" s="1">
        <v>8</v>
      </c>
      <c r="J66" s="1">
        <v>0.2</v>
      </c>
      <c r="K66" s="1" t="s">
        <v>64</v>
      </c>
      <c r="L66" s="1" t="s">
        <v>65</v>
      </c>
      <c r="M66" s="1">
        <v>20.12</v>
      </c>
      <c r="N66" s="1">
        <v>39.5</v>
      </c>
      <c r="O66" s="1">
        <v>63.296239999999997</v>
      </c>
      <c r="P66" s="1">
        <v>-168.44944000000001</v>
      </c>
      <c r="Q66" s="1">
        <v>1.2765</v>
      </c>
      <c r="R66" s="1">
        <v>32.513500000000001</v>
      </c>
      <c r="S66" s="1">
        <v>333.50900000000001</v>
      </c>
      <c r="T66" s="1">
        <v>352.88</v>
      </c>
      <c r="U66" s="1">
        <v>51.94</v>
      </c>
      <c r="V66" s="1">
        <v>4559.99999999999</v>
      </c>
      <c r="W66" s="3">
        <v>3.2966000000000002</v>
      </c>
      <c r="X66" s="1" t="s">
        <v>66</v>
      </c>
      <c r="Y66" s="1">
        <v>2.78</v>
      </c>
      <c r="Z66" s="1">
        <v>0.43</v>
      </c>
      <c r="AA66" s="1">
        <v>1.228</v>
      </c>
      <c r="AB66" s="1">
        <v>8.1</v>
      </c>
      <c r="AC66" s="1">
        <v>6.7</v>
      </c>
      <c r="AD66" s="1">
        <v>0.14000000000000001</v>
      </c>
      <c r="AE66" s="1">
        <v>2.38</v>
      </c>
      <c r="AF66" s="1">
        <v>6.84</v>
      </c>
      <c r="AH66" s="1" t="s">
        <v>67</v>
      </c>
      <c r="AI66" s="1">
        <v>5</v>
      </c>
      <c r="AJ66" s="1" t="s">
        <v>66</v>
      </c>
      <c r="AK66" s="1">
        <v>9</v>
      </c>
      <c r="AL66" s="1">
        <v>71.179299999999998</v>
      </c>
      <c r="AM66" s="1" t="s">
        <v>66</v>
      </c>
      <c r="AN66" s="1">
        <v>6.7939930689256798</v>
      </c>
      <c r="AO66" s="1">
        <v>1.0255083877623701</v>
      </c>
      <c r="AS66" s="1" t="s">
        <v>68</v>
      </c>
    </row>
    <row r="67" spans="1:45">
      <c r="A67" s="1" t="s">
        <v>69</v>
      </c>
      <c r="B67" s="1">
        <v>14</v>
      </c>
      <c r="C67" s="1" t="s">
        <v>69</v>
      </c>
      <c r="D67" s="1" t="s">
        <v>70</v>
      </c>
      <c r="E67" s="1" t="s">
        <v>47</v>
      </c>
      <c r="F67" s="1" t="s">
        <v>48</v>
      </c>
      <c r="G67" s="1" t="s">
        <v>49</v>
      </c>
      <c r="H67" s="2" t="s">
        <v>50</v>
      </c>
      <c r="I67" s="1">
        <v>8</v>
      </c>
      <c r="J67" s="1">
        <v>3</v>
      </c>
      <c r="K67" s="1" t="s">
        <v>64</v>
      </c>
      <c r="L67" s="1" t="s">
        <v>65</v>
      </c>
      <c r="M67" s="1">
        <v>20.12</v>
      </c>
      <c r="N67" s="1">
        <v>39.5</v>
      </c>
      <c r="O67" s="1">
        <v>63.296239999999997</v>
      </c>
      <c r="P67" s="1">
        <v>-168.44944000000001</v>
      </c>
      <c r="Q67" s="1">
        <v>1.2765</v>
      </c>
      <c r="R67" s="1">
        <v>32.513500000000001</v>
      </c>
      <c r="S67" s="1">
        <v>333.50900000000001</v>
      </c>
      <c r="T67" s="1">
        <v>352.88</v>
      </c>
      <c r="U67" s="1">
        <v>51.94</v>
      </c>
      <c r="V67" s="1">
        <v>4559.99999999999</v>
      </c>
      <c r="W67" s="3">
        <v>3.2966000000000002</v>
      </c>
      <c r="X67" s="1" t="s">
        <v>66</v>
      </c>
      <c r="Y67" s="1">
        <v>2.78</v>
      </c>
      <c r="Z67" s="1">
        <v>0.43</v>
      </c>
      <c r="AA67" s="1">
        <v>1.228</v>
      </c>
      <c r="AB67" s="1">
        <v>8.1</v>
      </c>
      <c r="AC67" s="1">
        <v>6.7</v>
      </c>
      <c r="AD67" s="1">
        <v>0.14000000000000001</v>
      </c>
      <c r="AE67" s="1">
        <v>2.38</v>
      </c>
      <c r="AF67" s="1">
        <v>6.84</v>
      </c>
      <c r="AH67" s="1" t="s">
        <v>71</v>
      </c>
      <c r="AI67" s="1">
        <v>5</v>
      </c>
      <c r="AJ67" s="1" t="s">
        <v>66</v>
      </c>
      <c r="AK67" s="1">
        <v>9</v>
      </c>
      <c r="AL67" s="1">
        <v>71.179299999999998</v>
      </c>
      <c r="AM67" s="1" t="s">
        <v>66</v>
      </c>
      <c r="AN67" s="1">
        <v>6.7939930689256798</v>
      </c>
      <c r="AO67" s="1">
        <v>1.0255083877623701</v>
      </c>
    </row>
    <row r="68" spans="1:45">
      <c r="A68" s="1" t="s">
        <v>72</v>
      </c>
      <c r="B68" s="1">
        <v>17</v>
      </c>
      <c r="C68" s="1" t="s">
        <v>72</v>
      </c>
      <c r="D68" s="1" t="s">
        <v>73</v>
      </c>
      <c r="E68" s="1" t="s">
        <v>47</v>
      </c>
      <c r="F68" s="1" t="s">
        <v>48</v>
      </c>
      <c r="G68" s="1" t="s">
        <v>49</v>
      </c>
      <c r="H68" s="2" t="s">
        <v>50</v>
      </c>
      <c r="I68" s="1">
        <v>8</v>
      </c>
      <c r="J68" s="1">
        <v>20</v>
      </c>
      <c r="K68" s="1" t="s">
        <v>64</v>
      </c>
      <c r="L68" s="1" t="s">
        <v>65</v>
      </c>
      <c r="M68" s="1">
        <v>20.12</v>
      </c>
      <c r="N68" s="1">
        <v>39.5</v>
      </c>
      <c r="O68" s="1">
        <v>63.296239999999997</v>
      </c>
      <c r="P68" s="1">
        <v>-168.44944000000001</v>
      </c>
      <c r="Q68" s="1">
        <v>1.2765</v>
      </c>
      <c r="R68" s="1">
        <v>32.513500000000001</v>
      </c>
      <c r="S68" s="1">
        <v>333.50900000000001</v>
      </c>
      <c r="T68" s="1">
        <v>352.88</v>
      </c>
      <c r="U68" s="1">
        <v>51.94</v>
      </c>
      <c r="V68" s="1">
        <v>4559.99999999999</v>
      </c>
      <c r="W68" s="3">
        <v>3.2966000000000002</v>
      </c>
      <c r="X68" s="1" t="s">
        <v>66</v>
      </c>
      <c r="Y68" s="1">
        <v>2.78</v>
      </c>
      <c r="Z68" s="1">
        <v>0.43</v>
      </c>
      <c r="AA68" s="1">
        <v>1.228</v>
      </c>
      <c r="AB68" s="1">
        <v>8.1</v>
      </c>
      <c r="AC68" s="1">
        <v>6.7</v>
      </c>
      <c r="AD68" s="1">
        <v>0.14000000000000001</v>
      </c>
      <c r="AE68" s="1">
        <v>2.38</v>
      </c>
      <c r="AF68" s="1">
        <v>6.84</v>
      </c>
      <c r="AH68" s="1" t="s">
        <v>74</v>
      </c>
      <c r="AI68" s="1">
        <v>5</v>
      </c>
      <c r="AJ68" s="1" t="s">
        <v>66</v>
      </c>
      <c r="AK68" s="1">
        <v>9</v>
      </c>
      <c r="AL68" s="1">
        <v>71.179299999999998</v>
      </c>
      <c r="AM68" s="1" t="s">
        <v>66</v>
      </c>
      <c r="AN68" s="1">
        <v>6.7939930689256798</v>
      </c>
      <c r="AO68" s="1">
        <v>1.0255083877623701</v>
      </c>
    </row>
    <row r="69" spans="1:45">
      <c r="A69" s="1" t="s">
        <v>75</v>
      </c>
      <c r="B69" s="1">
        <v>12</v>
      </c>
      <c r="C69" s="1" t="s">
        <v>75</v>
      </c>
      <c r="D69" s="1" t="s">
        <v>76</v>
      </c>
      <c r="E69" s="1" t="s">
        <v>47</v>
      </c>
      <c r="F69" s="1" t="s">
        <v>48</v>
      </c>
      <c r="G69" s="1" t="s">
        <v>49</v>
      </c>
      <c r="H69" s="2" t="s">
        <v>50</v>
      </c>
      <c r="I69" s="1">
        <v>8</v>
      </c>
      <c r="J69" s="1">
        <v>0.2</v>
      </c>
      <c r="K69" s="1" t="s">
        <v>77</v>
      </c>
      <c r="L69" s="1" t="s">
        <v>78</v>
      </c>
      <c r="M69" s="1">
        <v>36.04</v>
      </c>
      <c r="N69" s="1">
        <v>39.5</v>
      </c>
      <c r="O69" s="1">
        <v>63.296239999999997</v>
      </c>
      <c r="P69" s="1">
        <v>-168.44944000000001</v>
      </c>
      <c r="Q69" s="1">
        <v>1.1085</v>
      </c>
      <c r="R69" s="1">
        <v>32.526499999999999</v>
      </c>
      <c r="S69" s="1">
        <v>329.81299999999999</v>
      </c>
      <c r="T69" s="1">
        <v>473.46</v>
      </c>
      <c r="U69" s="1">
        <v>68.58</v>
      </c>
      <c r="V69" s="1">
        <v>8400.0000000000091</v>
      </c>
      <c r="W69" s="3">
        <v>4.4335000000000004</v>
      </c>
      <c r="X69" s="1" t="s">
        <v>79</v>
      </c>
      <c r="Y69" s="1">
        <v>9.93</v>
      </c>
      <c r="Z69" s="1">
        <v>2.12</v>
      </c>
      <c r="AA69" s="1">
        <v>1.3120000000000001</v>
      </c>
      <c r="AB69" s="1">
        <v>7.6</v>
      </c>
      <c r="AC69" s="1">
        <v>7.3</v>
      </c>
      <c r="AD69" s="1">
        <v>0.14000000000000001</v>
      </c>
      <c r="AE69" s="1">
        <v>2.5299999999999998</v>
      </c>
      <c r="AF69" s="1">
        <v>7.44</v>
      </c>
      <c r="AH69" s="1" t="s">
        <v>80</v>
      </c>
      <c r="AI69" s="1">
        <v>1</v>
      </c>
      <c r="AJ69" s="1" t="s">
        <v>79</v>
      </c>
      <c r="AK69" s="1">
        <v>9</v>
      </c>
      <c r="AL69" s="1">
        <v>57.040900000000001</v>
      </c>
      <c r="AM69" s="1" t="s">
        <v>79</v>
      </c>
      <c r="AN69" s="1">
        <v>6.9037620297462796</v>
      </c>
      <c r="AO69" s="1">
        <v>1.04207728750887</v>
      </c>
    </row>
    <row r="70" spans="1:45">
      <c r="A70" s="1" t="s">
        <v>81</v>
      </c>
      <c r="B70" s="1">
        <v>15</v>
      </c>
      <c r="C70" s="1" t="s">
        <v>81</v>
      </c>
      <c r="D70" s="1" t="s">
        <v>82</v>
      </c>
      <c r="E70" s="1" t="s">
        <v>47</v>
      </c>
      <c r="F70" s="1" t="s">
        <v>48</v>
      </c>
      <c r="G70" s="1" t="s">
        <v>49</v>
      </c>
      <c r="H70" s="2" t="s">
        <v>50</v>
      </c>
      <c r="I70" s="1">
        <v>8</v>
      </c>
      <c r="J70" s="1">
        <v>3</v>
      </c>
      <c r="K70" s="1" t="s">
        <v>77</v>
      </c>
      <c r="L70" s="1" t="s">
        <v>78</v>
      </c>
      <c r="M70" s="1">
        <v>36.04</v>
      </c>
      <c r="N70" s="1">
        <v>39.5</v>
      </c>
      <c r="O70" s="1">
        <v>63.296239999999997</v>
      </c>
      <c r="P70" s="1">
        <v>-168.44944000000001</v>
      </c>
      <c r="Q70" s="1">
        <v>1.1085</v>
      </c>
      <c r="R70" s="1">
        <v>32.526499999999999</v>
      </c>
      <c r="S70" s="1">
        <v>329.81299999999999</v>
      </c>
      <c r="T70" s="1">
        <v>473.46</v>
      </c>
      <c r="U70" s="1">
        <v>68.58</v>
      </c>
      <c r="V70" s="1">
        <v>8400.0000000000091</v>
      </c>
      <c r="W70" s="3">
        <v>4.4335000000000004</v>
      </c>
      <c r="X70" s="1" t="s">
        <v>79</v>
      </c>
      <c r="Y70" s="1">
        <v>9.93</v>
      </c>
      <c r="Z70" s="1">
        <v>2.12</v>
      </c>
      <c r="AA70" s="1">
        <v>1.3120000000000001</v>
      </c>
      <c r="AB70" s="1">
        <v>7.6</v>
      </c>
      <c r="AC70" s="1">
        <v>7.3</v>
      </c>
      <c r="AD70" s="1">
        <v>0.14000000000000001</v>
      </c>
      <c r="AE70" s="1">
        <v>2.5299999999999998</v>
      </c>
      <c r="AF70" s="1">
        <v>7.44</v>
      </c>
      <c r="AH70" s="1" t="s">
        <v>83</v>
      </c>
      <c r="AI70" s="1">
        <v>1</v>
      </c>
      <c r="AJ70" s="1" t="s">
        <v>79</v>
      </c>
      <c r="AK70" s="1">
        <v>9</v>
      </c>
      <c r="AL70" s="1">
        <v>57.040900000000001</v>
      </c>
      <c r="AM70" s="1" t="s">
        <v>79</v>
      </c>
      <c r="AN70" s="1">
        <v>6.9037620297462796</v>
      </c>
      <c r="AO70" s="1">
        <v>1.04207728750887</v>
      </c>
      <c r="AS70" s="1" t="s">
        <v>84</v>
      </c>
    </row>
    <row r="71" spans="1:45">
      <c r="A71" s="1" t="s">
        <v>85</v>
      </c>
      <c r="B71" s="1">
        <v>18</v>
      </c>
      <c r="C71" s="1" t="s">
        <v>85</v>
      </c>
      <c r="D71" s="1" t="s">
        <v>86</v>
      </c>
      <c r="E71" s="1" t="s">
        <v>47</v>
      </c>
      <c r="F71" s="1" t="s">
        <v>48</v>
      </c>
      <c r="G71" s="1" t="s">
        <v>49</v>
      </c>
      <c r="H71" s="2" t="s">
        <v>50</v>
      </c>
      <c r="I71" s="1">
        <v>8</v>
      </c>
      <c r="J71" s="1">
        <v>20</v>
      </c>
      <c r="K71" s="1" t="s">
        <v>77</v>
      </c>
      <c r="L71" s="1" t="s">
        <v>78</v>
      </c>
      <c r="M71" s="1">
        <v>36.04</v>
      </c>
      <c r="N71" s="1">
        <v>39.5</v>
      </c>
      <c r="O71" s="1">
        <v>63.296239999999997</v>
      </c>
      <c r="P71" s="1">
        <v>-168.44944000000001</v>
      </c>
      <c r="Q71" s="1">
        <v>1.1085</v>
      </c>
      <c r="R71" s="1">
        <v>32.526499999999999</v>
      </c>
      <c r="S71" s="1">
        <v>329.81299999999999</v>
      </c>
      <c r="T71" s="1">
        <v>473.46</v>
      </c>
      <c r="U71" s="1">
        <v>68.58</v>
      </c>
      <c r="V71" s="1">
        <v>8400.0000000000091</v>
      </c>
      <c r="W71" s="3">
        <v>4.4335000000000004</v>
      </c>
      <c r="X71" s="1" t="s">
        <v>79</v>
      </c>
      <c r="Y71" s="1">
        <v>9.93</v>
      </c>
      <c r="Z71" s="1">
        <v>2.12</v>
      </c>
      <c r="AA71" s="1">
        <v>1.3120000000000001</v>
      </c>
      <c r="AB71" s="1">
        <v>7.6</v>
      </c>
      <c r="AC71" s="1">
        <v>7.3</v>
      </c>
      <c r="AD71" s="1">
        <v>0.14000000000000001</v>
      </c>
      <c r="AE71" s="1">
        <v>2.5299999999999998</v>
      </c>
      <c r="AF71" s="1">
        <v>7.44</v>
      </c>
      <c r="AH71" s="1" t="s">
        <v>87</v>
      </c>
      <c r="AI71" s="1">
        <v>1</v>
      </c>
      <c r="AJ71" s="1" t="s">
        <v>79</v>
      </c>
      <c r="AK71" s="1">
        <v>9</v>
      </c>
      <c r="AL71" s="1">
        <v>57.040900000000001</v>
      </c>
      <c r="AM71" s="1" t="s">
        <v>79</v>
      </c>
      <c r="AN71" s="1">
        <v>6.9037620297462796</v>
      </c>
      <c r="AO71" s="1">
        <v>1.04207728750887</v>
      </c>
    </row>
    <row r="72" spans="1:45">
      <c r="A72" s="1" t="s">
        <v>88</v>
      </c>
      <c r="B72" s="1">
        <v>1</v>
      </c>
      <c r="C72" s="1" t="s">
        <v>88</v>
      </c>
      <c r="D72" s="1" t="s">
        <v>89</v>
      </c>
      <c r="E72" s="1" t="s">
        <v>47</v>
      </c>
      <c r="F72" s="1" t="s">
        <v>90</v>
      </c>
      <c r="G72" s="1" t="s">
        <v>49</v>
      </c>
      <c r="H72" s="2" t="s">
        <v>91</v>
      </c>
      <c r="I72" s="1">
        <v>4</v>
      </c>
      <c r="J72" s="1">
        <v>0.2</v>
      </c>
      <c r="K72" s="1" t="s">
        <v>51</v>
      </c>
      <c r="L72" s="1" t="s">
        <v>52</v>
      </c>
      <c r="M72" s="1">
        <v>3.26</v>
      </c>
      <c r="N72" s="1">
        <v>29.5</v>
      </c>
      <c r="O72" s="1">
        <v>64.380719999999997</v>
      </c>
      <c r="P72" s="1">
        <v>-167.07002</v>
      </c>
      <c r="Q72" s="1">
        <v>4.8674999999999997</v>
      </c>
      <c r="R72" s="1">
        <v>31.170500000000001</v>
      </c>
      <c r="S72" s="1">
        <v>336.28800000000001</v>
      </c>
      <c r="T72" s="1">
        <v>142.22</v>
      </c>
      <c r="U72" s="1">
        <v>23.68</v>
      </c>
      <c r="V72" s="1">
        <v>2080</v>
      </c>
      <c r="W72" s="3">
        <v>0.14019999999999999</v>
      </c>
      <c r="X72" s="1" t="s">
        <v>92</v>
      </c>
      <c r="Y72" s="1">
        <v>0.15</v>
      </c>
      <c r="Z72" s="1">
        <v>0.2</v>
      </c>
      <c r="AA72" s="1">
        <v>0.35699999999999998</v>
      </c>
      <c r="AB72" s="1">
        <v>2.6</v>
      </c>
      <c r="AC72" s="1">
        <v>0</v>
      </c>
      <c r="AD72" s="1">
        <v>0.02</v>
      </c>
      <c r="AE72" s="1">
        <v>0.19</v>
      </c>
      <c r="AF72" s="1">
        <v>0.02</v>
      </c>
      <c r="AH72" s="1" t="s">
        <v>93</v>
      </c>
      <c r="AI72" s="1">
        <v>24</v>
      </c>
      <c r="AJ72" s="1" t="s">
        <v>94</v>
      </c>
      <c r="AK72" s="1">
        <v>9</v>
      </c>
      <c r="AL72" s="1">
        <v>92.720500000000001</v>
      </c>
      <c r="AM72" s="1" t="s">
        <v>94</v>
      </c>
      <c r="AN72" s="1">
        <v>6.0059121621621596</v>
      </c>
      <c r="AO72" s="1">
        <v>0.906552779194289</v>
      </c>
      <c r="AS72" s="1" t="s">
        <v>95</v>
      </c>
    </row>
    <row r="73" spans="1:45">
      <c r="A73" s="1" t="s">
        <v>96</v>
      </c>
      <c r="B73" s="1">
        <v>2</v>
      </c>
      <c r="C73" s="1" t="s">
        <v>96</v>
      </c>
      <c r="D73" s="1" t="s">
        <v>97</v>
      </c>
      <c r="E73" s="1" t="s">
        <v>47</v>
      </c>
      <c r="F73" s="1" t="s">
        <v>90</v>
      </c>
      <c r="G73" s="1" t="s">
        <v>49</v>
      </c>
      <c r="H73" s="2" t="s">
        <v>91</v>
      </c>
      <c r="I73" s="1">
        <v>4</v>
      </c>
      <c r="J73" s="1">
        <v>3</v>
      </c>
      <c r="K73" s="1" t="s">
        <v>51</v>
      </c>
      <c r="L73" s="1" t="s">
        <v>52</v>
      </c>
      <c r="M73" s="1">
        <v>3.26</v>
      </c>
      <c r="N73" s="1">
        <v>29.5</v>
      </c>
      <c r="O73" s="1">
        <v>64.380719999999997</v>
      </c>
      <c r="P73" s="1">
        <v>-167.07002</v>
      </c>
      <c r="Q73" s="1">
        <v>4.8674999999999997</v>
      </c>
      <c r="R73" s="1">
        <v>31.170500000000001</v>
      </c>
      <c r="S73" s="1">
        <v>336.28800000000001</v>
      </c>
      <c r="T73" s="1">
        <v>142.22</v>
      </c>
      <c r="U73" s="1">
        <v>23.68</v>
      </c>
      <c r="V73" s="1">
        <v>2080</v>
      </c>
      <c r="W73" s="3">
        <v>0.14019999999999999</v>
      </c>
      <c r="X73" s="1" t="s">
        <v>92</v>
      </c>
      <c r="Y73" s="1">
        <v>0.15</v>
      </c>
      <c r="Z73" s="1">
        <v>0.2</v>
      </c>
      <c r="AA73" s="1">
        <v>0.35699999999999998</v>
      </c>
      <c r="AB73" s="1">
        <v>2.6</v>
      </c>
      <c r="AC73" s="1">
        <v>0</v>
      </c>
      <c r="AD73" s="1">
        <v>0.02</v>
      </c>
      <c r="AE73" s="1">
        <v>0.19</v>
      </c>
      <c r="AF73" s="1">
        <v>0.02</v>
      </c>
      <c r="AH73" s="1" t="s">
        <v>98</v>
      </c>
      <c r="AI73" s="1">
        <v>24</v>
      </c>
      <c r="AJ73" s="1" t="s">
        <v>94</v>
      </c>
      <c r="AK73" s="1">
        <v>9</v>
      </c>
      <c r="AL73" s="1">
        <v>92.720500000000001</v>
      </c>
      <c r="AM73" s="1" t="s">
        <v>94</v>
      </c>
      <c r="AN73" s="1">
        <v>6.0059121621621596</v>
      </c>
      <c r="AO73" s="1">
        <v>0.906552779194289</v>
      </c>
    </row>
    <row r="74" spans="1:45">
      <c r="A74" s="1" t="s">
        <v>99</v>
      </c>
      <c r="B74" s="1">
        <v>3</v>
      </c>
      <c r="C74" s="1" t="s">
        <v>99</v>
      </c>
      <c r="D74" s="1" t="s">
        <v>100</v>
      </c>
      <c r="E74" s="1" t="s">
        <v>47</v>
      </c>
      <c r="F74" s="1" t="s">
        <v>90</v>
      </c>
      <c r="G74" s="1" t="s">
        <v>49</v>
      </c>
      <c r="H74" s="2" t="s">
        <v>91</v>
      </c>
      <c r="I74" s="1">
        <v>4</v>
      </c>
      <c r="J74" s="1">
        <v>20</v>
      </c>
      <c r="K74" s="1" t="s">
        <v>51</v>
      </c>
      <c r="L74" s="1" t="s">
        <v>52</v>
      </c>
      <c r="M74" s="1">
        <v>3.26</v>
      </c>
      <c r="N74" s="1">
        <v>29.5</v>
      </c>
      <c r="O74" s="1">
        <v>64.380719999999997</v>
      </c>
      <c r="P74" s="1">
        <v>-167.07002</v>
      </c>
      <c r="Q74" s="1">
        <v>4.8674999999999997</v>
      </c>
      <c r="R74" s="1">
        <v>31.170500000000001</v>
      </c>
      <c r="S74" s="1">
        <v>336.28800000000001</v>
      </c>
      <c r="T74" s="1">
        <v>142.22</v>
      </c>
      <c r="U74" s="1">
        <v>23.68</v>
      </c>
      <c r="V74" s="1">
        <v>2080</v>
      </c>
      <c r="W74" s="3">
        <v>0.14019999999999999</v>
      </c>
      <c r="X74" s="1" t="s">
        <v>92</v>
      </c>
      <c r="Y74" s="1">
        <v>0.15</v>
      </c>
      <c r="Z74" s="1">
        <v>0.2</v>
      </c>
      <c r="AA74" s="1">
        <v>0.35699999999999998</v>
      </c>
      <c r="AB74" s="1">
        <v>2.6</v>
      </c>
      <c r="AC74" s="1">
        <v>0</v>
      </c>
      <c r="AD74" s="1">
        <v>0.02</v>
      </c>
      <c r="AE74" s="1">
        <v>0.19</v>
      </c>
      <c r="AF74" s="1">
        <v>0.02</v>
      </c>
      <c r="AH74" s="1" t="s">
        <v>101</v>
      </c>
      <c r="AI74" s="1">
        <v>24</v>
      </c>
      <c r="AJ74" s="1" t="s">
        <v>94</v>
      </c>
      <c r="AK74" s="1">
        <v>9</v>
      </c>
      <c r="AL74" s="1">
        <v>92.720500000000001</v>
      </c>
      <c r="AM74" s="1" t="s">
        <v>94</v>
      </c>
      <c r="AN74" s="1">
        <v>6.0059121621621596</v>
      </c>
      <c r="AO74" s="1">
        <v>0.906552779194289</v>
      </c>
    </row>
    <row r="75" spans="1:45">
      <c r="A75" s="1" t="s">
        <v>102</v>
      </c>
      <c r="B75" s="1">
        <v>4</v>
      </c>
      <c r="C75" s="1" t="s">
        <v>102</v>
      </c>
      <c r="D75" s="1" t="s">
        <v>103</v>
      </c>
      <c r="E75" s="1" t="s">
        <v>47</v>
      </c>
      <c r="F75" s="1" t="s">
        <v>90</v>
      </c>
      <c r="G75" s="1" t="s">
        <v>49</v>
      </c>
      <c r="H75" s="2" t="s">
        <v>91</v>
      </c>
      <c r="I75" s="1">
        <v>4</v>
      </c>
      <c r="J75" s="1">
        <v>0.2</v>
      </c>
      <c r="K75" s="1" t="s">
        <v>104</v>
      </c>
      <c r="L75" s="1" t="s">
        <v>78</v>
      </c>
      <c r="M75" s="1">
        <v>25.86</v>
      </c>
      <c r="N75" s="1">
        <v>29.5</v>
      </c>
      <c r="O75" s="1">
        <v>64.380719999999997</v>
      </c>
      <c r="P75" s="1">
        <v>-167.07002</v>
      </c>
      <c r="Q75" s="1">
        <v>-0.437</v>
      </c>
      <c r="R75" s="1">
        <v>32.165500000000002</v>
      </c>
      <c r="S75" s="1">
        <v>397.00700000000001</v>
      </c>
      <c r="T75" s="1">
        <v>295.5</v>
      </c>
      <c r="U75" s="1">
        <v>39.020000000000003</v>
      </c>
      <c r="V75" s="1">
        <v>4840</v>
      </c>
      <c r="W75" s="3">
        <v>2.5131999999999999</v>
      </c>
      <c r="X75" s="1" t="s">
        <v>105</v>
      </c>
      <c r="Y75" s="1">
        <v>1.02</v>
      </c>
      <c r="Z75" s="1">
        <v>4.0999999999999996</v>
      </c>
      <c r="AA75" s="1">
        <v>0.96</v>
      </c>
      <c r="AB75" s="1">
        <v>4.2</v>
      </c>
      <c r="AC75" s="1">
        <v>0.5</v>
      </c>
      <c r="AD75" s="1">
        <v>0.05</v>
      </c>
      <c r="AE75" s="1">
        <v>1.0900000000000001</v>
      </c>
      <c r="AF75" s="1">
        <v>0.55000000000000004</v>
      </c>
      <c r="AH75" s="1" t="s">
        <v>106</v>
      </c>
      <c r="AI75" s="1">
        <v>8</v>
      </c>
      <c r="AJ75" s="1" t="s">
        <v>107</v>
      </c>
      <c r="AK75" s="1">
        <v>9</v>
      </c>
      <c r="AL75" s="1">
        <v>73.072999999999993</v>
      </c>
      <c r="AM75" s="1" t="s">
        <v>105</v>
      </c>
      <c r="AN75" s="1">
        <v>7.5730394669400303</v>
      </c>
      <c r="AO75" s="1">
        <v>1.14310029689661</v>
      </c>
    </row>
    <row r="76" spans="1:45">
      <c r="A76" s="1" t="s">
        <v>108</v>
      </c>
      <c r="B76" s="1">
        <v>5</v>
      </c>
      <c r="C76" s="1" t="s">
        <v>108</v>
      </c>
      <c r="D76" s="1" t="s">
        <v>109</v>
      </c>
      <c r="E76" s="1" t="s">
        <v>47</v>
      </c>
      <c r="F76" s="1" t="s">
        <v>90</v>
      </c>
      <c r="G76" s="1" t="s">
        <v>49</v>
      </c>
      <c r="H76" s="2" t="s">
        <v>91</v>
      </c>
      <c r="I76" s="1">
        <v>4</v>
      </c>
      <c r="J76" s="1">
        <v>3</v>
      </c>
      <c r="K76" s="1" t="s">
        <v>104</v>
      </c>
      <c r="L76" s="1" t="s">
        <v>78</v>
      </c>
      <c r="M76" s="1">
        <v>25.86</v>
      </c>
      <c r="N76" s="1">
        <v>29.5</v>
      </c>
      <c r="O76" s="1">
        <v>64.380719999999997</v>
      </c>
      <c r="P76" s="1">
        <v>-167.07002</v>
      </c>
      <c r="Q76" s="1">
        <v>-0.437</v>
      </c>
      <c r="R76" s="1">
        <v>32.165500000000002</v>
      </c>
      <c r="S76" s="1">
        <v>397.00700000000001</v>
      </c>
      <c r="T76" s="1">
        <v>295.5</v>
      </c>
      <c r="U76" s="1">
        <v>39.020000000000003</v>
      </c>
      <c r="V76" s="1">
        <v>4840</v>
      </c>
      <c r="W76" s="3">
        <v>2.5131999999999999</v>
      </c>
      <c r="X76" s="1" t="s">
        <v>105</v>
      </c>
      <c r="Y76" s="1">
        <v>1.02</v>
      </c>
      <c r="Z76" s="1">
        <v>4.0999999999999996</v>
      </c>
      <c r="AA76" s="1">
        <v>0.96</v>
      </c>
      <c r="AB76" s="1">
        <v>4.2</v>
      </c>
      <c r="AC76" s="1">
        <v>0.5</v>
      </c>
      <c r="AD76" s="1">
        <v>0.05</v>
      </c>
      <c r="AE76" s="1">
        <v>1.0900000000000001</v>
      </c>
      <c r="AF76" s="1">
        <v>0.55000000000000004</v>
      </c>
      <c r="AH76" s="1" t="s">
        <v>110</v>
      </c>
      <c r="AI76" s="1">
        <v>8</v>
      </c>
      <c r="AJ76" s="1" t="s">
        <v>107</v>
      </c>
      <c r="AK76" s="1">
        <v>9</v>
      </c>
      <c r="AL76" s="1">
        <v>73.072999999999993</v>
      </c>
      <c r="AM76" s="1" t="s">
        <v>105</v>
      </c>
      <c r="AN76" s="1">
        <v>7.5730394669400303</v>
      </c>
      <c r="AO76" s="1">
        <v>1.14310029689661</v>
      </c>
    </row>
    <row r="77" spans="1:45">
      <c r="A77" s="1" t="s">
        <v>111</v>
      </c>
      <c r="B77" s="1">
        <v>6</v>
      </c>
      <c r="C77" s="1" t="s">
        <v>111</v>
      </c>
      <c r="D77" s="1" t="s">
        <v>112</v>
      </c>
      <c r="E77" s="1" t="s">
        <v>47</v>
      </c>
      <c r="F77" s="1" t="s">
        <v>90</v>
      </c>
      <c r="G77" s="1" t="s">
        <v>49</v>
      </c>
      <c r="H77" s="2" t="s">
        <v>91</v>
      </c>
      <c r="I77" s="1">
        <v>4</v>
      </c>
      <c r="J77" s="1">
        <v>20</v>
      </c>
      <c r="K77" s="1" t="s">
        <v>104</v>
      </c>
      <c r="L77" s="1" t="s">
        <v>78</v>
      </c>
      <c r="M77" s="1">
        <v>25.86</v>
      </c>
      <c r="N77" s="1">
        <v>29.5</v>
      </c>
      <c r="O77" s="1">
        <v>64.380719999999997</v>
      </c>
      <c r="P77" s="1">
        <v>-167.07002</v>
      </c>
      <c r="Q77" s="1">
        <v>-0.437</v>
      </c>
      <c r="R77" s="1">
        <v>32.165500000000002</v>
      </c>
      <c r="S77" s="1">
        <v>397.00700000000001</v>
      </c>
      <c r="T77" s="1">
        <v>295.5</v>
      </c>
      <c r="U77" s="1">
        <v>39.020000000000003</v>
      </c>
      <c r="V77" s="1">
        <v>4840</v>
      </c>
      <c r="W77" s="3">
        <v>2.5131999999999999</v>
      </c>
      <c r="X77" s="1" t="s">
        <v>105</v>
      </c>
      <c r="Y77" s="1">
        <v>1.02</v>
      </c>
      <c r="Z77" s="1">
        <v>4.0999999999999996</v>
      </c>
      <c r="AA77" s="1">
        <v>0.96</v>
      </c>
      <c r="AB77" s="1">
        <v>4.2</v>
      </c>
      <c r="AC77" s="1">
        <v>0.5</v>
      </c>
      <c r="AD77" s="1">
        <v>0.05</v>
      </c>
      <c r="AE77" s="1">
        <v>1.0900000000000001</v>
      </c>
      <c r="AF77" s="1">
        <v>0.55000000000000004</v>
      </c>
      <c r="AH77" s="1" t="s">
        <v>113</v>
      </c>
      <c r="AI77" s="1">
        <v>8</v>
      </c>
      <c r="AJ77" s="1" t="s">
        <v>107</v>
      </c>
      <c r="AK77" s="1">
        <v>9</v>
      </c>
      <c r="AL77" s="1">
        <v>73.072999999999993</v>
      </c>
      <c r="AM77" s="1" t="s">
        <v>105</v>
      </c>
      <c r="AN77" s="1">
        <v>7.5730394669400303</v>
      </c>
      <c r="AO77" s="1">
        <v>1.14310029689661</v>
      </c>
    </row>
    <row r="78" spans="1:45">
      <c r="A78" s="1" t="s">
        <v>114</v>
      </c>
      <c r="B78" s="1">
        <v>7</v>
      </c>
      <c r="C78" s="1" t="s">
        <v>114</v>
      </c>
      <c r="D78" s="1" t="s">
        <v>115</v>
      </c>
      <c r="E78" s="1" t="s">
        <v>47</v>
      </c>
      <c r="F78" s="1" t="s">
        <v>90</v>
      </c>
      <c r="G78" s="1" t="s">
        <v>49</v>
      </c>
      <c r="H78" s="2" t="s">
        <v>91</v>
      </c>
      <c r="I78" s="1">
        <v>4</v>
      </c>
      <c r="J78" s="1">
        <v>0.2</v>
      </c>
      <c r="K78" s="1" t="s">
        <v>77</v>
      </c>
      <c r="L78" s="1" t="s">
        <v>78</v>
      </c>
      <c r="M78" s="1">
        <v>25.97</v>
      </c>
      <c r="N78" s="1">
        <v>29.5</v>
      </c>
      <c r="O78" s="1">
        <v>64.380719999999997</v>
      </c>
      <c r="P78" s="1">
        <v>-167.07002</v>
      </c>
      <c r="Q78" s="1">
        <v>-0.4375</v>
      </c>
      <c r="R78" s="1">
        <v>32.165500000000002</v>
      </c>
      <c r="S78" s="1">
        <v>397.32600000000002</v>
      </c>
      <c r="T78" s="1">
        <v>243.38</v>
      </c>
      <c r="U78" s="1">
        <v>34.04</v>
      </c>
      <c r="V78" s="1">
        <v>2880.00000000001</v>
      </c>
      <c r="W78" s="3">
        <v>2.7296</v>
      </c>
      <c r="X78" s="1" t="s">
        <v>105</v>
      </c>
      <c r="Y78" s="1">
        <v>1.02</v>
      </c>
      <c r="Z78" s="1">
        <v>4.0999999999999996</v>
      </c>
      <c r="AA78" s="1">
        <v>0.96</v>
      </c>
      <c r="AB78" s="1">
        <v>4.2</v>
      </c>
      <c r="AC78" s="1">
        <v>0.5</v>
      </c>
      <c r="AD78" s="1">
        <v>0.05</v>
      </c>
      <c r="AE78" s="1">
        <v>1.0900000000000001</v>
      </c>
      <c r="AF78" s="1">
        <v>0.55000000000000004</v>
      </c>
      <c r="AH78" s="1" t="s">
        <v>116</v>
      </c>
      <c r="AI78" s="1">
        <v>9</v>
      </c>
      <c r="AJ78" s="1" t="s">
        <v>117</v>
      </c>
      <c r="AK78" s="1">
        <v>8</v>
      </c>
      <c r="AL78" s="1">
        <v>73.4255</v>
      </c>
      <c r="AM78" s="1" t="s">
        <v>105</v>
      </c>
      <c r="AN78" s="1">
        <v>7.1498237367802604</v>
      </c>
      <c r="AO78" s="1">
        <v>1.07921867724985</v>
      </c>
    </row>
    <row r="79" spans="1:45">
      <c r="A79" s="1" t="s">
        <v>118</v>
      </c>
      <c r="B79" s="1">
        <v>8</v>
      </c>
      <c r="C79" s="1" t="s">
        <v>118</v>
      </c>
      <c r="D79" s="1" t="s">
        <v>119</v>
      </c>
      <c r="E79" s="1" t="s">
        <v>47</v>
      </c>
      <c r="F79" s="1" t="s">
        <v>90</v>
      </c>
      <c r="G79" s="1" t="s">
        <v>49</v>
      </c>
      <c r="H79" s="2" t="s">
        <v>91</v>
      </c>
      <c r="I79" s="1">
        <v>4</v>
      </c>
      <c r="J79" s="1">
        <v>3</v>
      </c>
      <c r="K79" s="1" t="s">
        <v>77</v>
      </c>
      <c r="L79" s="1" t="s">
        <v>78</v>
      </c>
      <c r="M79" s="1">
        <v>25.97</v>
      </c>
      <c r="N79" s="1">
        <v>29.5</v>
      </c>
      <c r="O79" s="1">
        <v>64.380719999999997</v>
      </c>
      <c r="P79" s="1">
        <v>-167.07002</v>
      </c>
      <c r="Q79" s="1">
        <v>-0.4375</v>
      </c>
      <c r="R79" s="1">
        <v>32.165500000000002</v>
      </c>
      <c r="S79" s="1">
        <v>397.32600000000002</v>
      </c>
      <c r="T79" s="1">
        <v>243.38</v>
      </c>
      <c r="U79" s="1">
        <v>34.04</v>
      </c>
      <c r="V79" s="1">
        <v>2880.00000000001</v>
      </c>
      <c r="W79" s="3">
        <v>2.7296</v>
      </c>
      <c r="X79" s="1" t="s">
        <v>105</v>
      </c>
      <c r="Y79" s="1">
        <v>1.02</v>
      </c>
      <c r="Z79" s="1">
        <v>4.0999999999999996</v>
      </c>
      <c r="AA79" s="1">
        <v>0.96</v>
      </c>
      <c r="AB79" s="1">
        <v>4.2</v>
      </c>
      <c r="AC79" s="1">
        <v>0.5</v>
      </c>
      <c r="AD79" s="1">
        <v>0.05</v>
      </c>
      <c r="AE79" s="1">
        <v>1.0900000000000001</v>
      </c>
      <c r="AF79" s="1">
        <v>0.55000000000000004</v>
      </c>
      <c r="AH79" s="1" t="s">
        <v>120</v>
      </c>
      <c r="AI79" s="1">
        <v>9</v>
      </c>
      <c r="AJ79" s="1" t="s">
        <v>117</v>
      </c>
      <c r="AK79" s="1">
        <v>8</v>
      </c>
      <c r="AL79" s="1">
        <v>73.4255</v>
      </c>
      <c r="AM79" s="1" t="s">
        <v>105</v>
      </c>
      <c r="AN79" s="1">
        <v>7.1498237367802604</v>
      </c>
      <c r="AO79" s="1">
        <v>1.07921867724985</v>
      </c>
      <c r="AS79" s="1" t="s">
        <v>121</v>
      </c>
    </row>
    <row r="80" spans="1:45">
      <c r="A80" s="1" t="s">
        <v>122</v>
      </c>
      <c r="B80" s="1">
        <v>9</v>
      </c>
      <c r="C80" s="1" t="s">
        <v>122</v>
      </c>
      <c r="D80" s="1" t="s">
        <v>123</v>
      </c>
      <c r="E80" s="1" t="s">
        <v>47</v>
      </c>
      <c r="F80" s="1" t="s">
        <v>90</v>
      </c>
      <c r="G80" s="1" t="s">
        <v>49</v>
      </c>
      <c r="H80" s="2" t="s">
        <v>91</v>
      </c>
      <c r="I80" s="1">
        <v>4</v>
      </c>
      <c r="J80" s="1">
        <v>20</v>
      </c>
      <c r="K80" s="1" t="s">
        <v>77</v>
      </c>
      <c r="L80" s="1" t="s">
        <v>78</v>
      </c>
      <c r="M80" s="1">
        <v>25.97</v>
      </c>
      <c r="N80" s="1">
        <v>29.5</v>
      </c>
      <c r="O80" s="1">
        <v>64.380719999999997</v>
      </c>
      <c r="P80" s="1">
        <v>-167.07002</v>
      </c>
      <c r="Q80" s="1">
        <v>-0.4375</v>
      </c>
      <c r="R80" s="1">
        <v>32.165500000000002</v>
      </c>
      <c r="S80" s="1">
        <v>397.32600000000002</v>
      </c>
      <c r="T80" s="1">
        <v>243.38</v>
      </c>
      <c r="U80" s="1">
        <v>34.04</v>
      </c>
      <c r="V80" s="1">
        <v>2880.00000000001</v>
      </c>
      <c r="W80" s="3">
        <v>2.7296</v>
      </c>
      <c r="X80" s="1" t="s">
        <v>105</v>
      </c>
      <c r="Y80" s="1">
        <v>1.02</v>
      </c>
      <c r="Z80" s="1">
        <v>4.0999999999999996</v>
      </c>
      <c r="AA80" s="1">
        <v>0.96</v>
      </c>
      <c r="AB80" s="1">
        <v>4.2</v>
      </c>
      <c r="AC80" s="1">
        <v>0.5</v>
      </c>
      <c r="AD80" s="1">
        <v>0.05</v>
      </c>
      <c r="AE80" s="1">
        <v>1.0900000000000001</v>
      </c>
      <c r="AF80" s="1">
        <v>0.55000000000000004</v>
      </c>
      <c r="AH80" s="1" t="s">
        <v>124</v>
      </c>
      <c r="AI80" s="1">
        <v>9</v>
      </c>
      <c r="AJ80" s="1" t="s">
        <v>117</v>
      </c>
      <c r="AK80" s="1">
        <v>8</v>
      </c>
      <c r="AL80" s="1">
        <v>73.4255</v>
      </c>
      <c r="AM80" s="1" t="s">
        <v>105</v>
      </c>
      <c r="AN80" s="1">
        <v>7.1498237367802604</v>
      </c>
      <c r="AO80" s="1">
        <v>1.07921867724985</v>
      </c>
    </row>
    <row r="81" spans="1:45">
      <c r="A81" s="1" t="s">
        <v>125</v>
      </c>
      <c r="B81" s="1">
        <v>20</v>
      </c>
      <c r="C81" s="1" t="s">
        <v>125</v>
      </c>
      <c r="D81" s="1" t="s">
        <v>126</v>
      </c>
      <c r="E81" s="1" t="s">
        <v>47</v>
      </c>
      <c r="F81" s="1" t="s">
        <v>127</v>
      </c>
      <c r="G81" s="1" t="s">
        <v>49</v>
      </c>
      <c r="H81" s="2" t="s">
        <v>128</v>
      </c>
      <c r="I81" s="1">
        <v>12</v>
      </c>
      <c r="J81" s="1">
        <v>3</v>
      </c>
      <c r="K81" s="1" t="s">
        <v>52</v>
      </c>
      <c r="L81" s="1" t="s">
        <v>52</v>
      </c>
      <c r="M81" s="1">
        <v>4.47</v>
      </c>
      <c r="N81" s="1">
        <v>45</v>
      </c>
      <c r="O81" s="1">
        <v>64.145859999999999</v>
      </c>
      <c r="P81" s="1">
        <v>-171.50888</v>
      </c>
      <c r="Q81" s="1">
        <v>6.4020000000000001</v>
      </c>
      <c r="R81" s="1">
        <v>32.412500000000001</v>
      </c>
      <c r="S81" s="1">
        <v>315.666</v>
      </c>
      <c r="T81" s="1">
        <v>162.06</v>
      </c>
      <c r="U81" s="1">
        <v>24.76</v>
      </c>
      <c r="V81" s="1">
        <v>2059.99999999999</v>
      </c>
      <c r="W81" s="3">
        <v>0.21729999999999999</v>
      </c>
      <c r="X81" s="1" t="s">
        <v>129</v>
      </c>
      <c r="Y81" s="1">
        <v>0.38</v>
      </c>
      <c r="Z81" s="1">
        <v>0.15</v>
      </c>
      <c r="AA81" s="1">
        <v>0.36299999999999999</v>
      </c>
      <c r="AB81" s="1">
        <v>6.7</v>
      </c>
      <c r="AC81" s="1">
        <v>2.1</v>
      </c>
      <c r="AD81" s="1">
        <v>0.03</v>
      </c>
      <c r="AE81" s="1">
        <v>0.31</v>
      </c>
      <c r="AF81" s="1">
        <v>2.13</v>
      </c>
      <c r="AH81" s="1" t="s">
        <v>130</v>
      </c>
      <c r="AI81" s="1">
        <v>24</v>
      </c>
      <c r="AJ81" s="1" t="s">
        <v>131</v>
      </c>
      <c r="AK81" s="1">
        <v>9</v>
      </c>
      <c r="AL81" s="1">
        <v>94.029700000000005</v>
      </c>
      <c r="AM81" s="1" t="s">
        <v>129</v>
      </c>
      <c r="AN81" s="1">
        <v>6.5452342487883701</v>
      </c>
      <c r="AO81" s="1">
        <v>0.98795988660956502</v>
      </c>
    </row>
    <row r="82" spans="1:45">
      <c r="A82" s="1" t="s">
        <v>132</v>
      </c>
      <c r="B82" s="1">
        <v>19</v>
      </c>
      <c r="C82" s="1" t="s">
        <v>132</v>
      </c>
      <c r="D82" s="1" t="s">
        <v>133</v>
      </c>
      <c r="E82" s="1" t="s">
        <v>47</v>
      </c>
      <c r="F82" s="1" t="s">
        <v>127</v>
      </c>
      <c r="G82" s="1" t="s">
        <v>49</v>
      </c>
      <c r="H82" s="2" t="s">
        <v>128</v>
      </c>
      <c r="I82" s="1">
        <v>12</v>
      </c>
      <c r="J82" s="1">
        <v>20</v>
      </c>
      <c r="K82" s="1" t="s">
        <v>52</v>
      </c>
      <c r="L82" s="1" t="s">
        <v>52</v>
      </c>
      <c r="M82" s="1">
        <v>4.47</v>
      </c>
      <c r="N82" s="1">
        <v>45</v>
      </c>
      <c r="O82" s="1">
        <v>64.145859999999999</v>
      </c>
      <c r="P82" s="1">
        <v>-171.50888</v>
      </c>
      <c r="Q82" s="1">
        <v>6.4020000000000001</v>
      </c>
      <c r="R82" s="1">
        <v>32.412500000000001</v>
      </c>
      <c r="S82" s="1">
        <v>315.666</v>
      </c>
      <c r="T82" s="1">
        <v>162.06</v>
      </c>
      <c r="U82" s="1">
        <v>24.76</v>
      </c>
      <c r="V82" s="1">
        <v>2059.99999999999</v>
      </c>
      <c r="W82" s="3">
        <v>0.21729999999999999</v>
      </c>
      <c r="X82" s="1" t="s">
        <v>129</v>
      </c>
      <c r="Y82" s="1">
        <v>0.38</v>
      </c>
      <c r="Z82" s="1">
        <v>0.15</v>
      </c>
      <c r="AA82" s="1">
        <v>0.36299999999999999</v>
      </c>
      <c r="AB82" s="1">
        <v>6.7</v>
      </c>
      <c r="AC82" s="1">
        <v>2.1</v>
      </c>
      <c r="AD82" s="1">
        <v>0.03</v>
      </c>
      <c r="AE82" s="1">
        <v>0.31</v>
      </c>
      <c r="AF82" s="1">
        <v>2.13</v>
      </c>
      <c r="AH82" s="1" t="s">
        <v>134</v>
      </c>
      <c r="AI82" s="1">
        <v>24</v>
      </c>
      <c r="AJ82" s="1" t="s">
        <v>131</v>
      </c>
      <c r="AK82" s="1">
        <v>9</v>
      </c>
      <c r="AL82" s="1">
        <v>94.029700000000005</v>
      </c>
      <c r="AM82" s="1" t="s">
        <v>129</v>
      </c>
      <c r="AN82" s="1">
        <v>6.5452342487883701</v>
      </c>
      <c r="AO82" s="1">
        <v>0.98795988660956502</v>
      </c>
    </row>
    <row r="83" spans="1:45">
      <c r="A83" s="1" t="s">
        <v>135</v>
      </c>
      <c r="B83" s="1">
        <v>26</v>
      </c>
      <c r="C83" s="1" t="s">
        <v>135</v>
      </c>
      <c r="D83" s="1" t="s">
        <v>136</v>
      </c>
      <c r="E83" s="1" t="s">
        <v>47</v>
      </c>
      <c r="F83" s="1" t="s">
        <v>127</v>
      </c>
      <c r="G83" s="1" t="s">
        <v>49</v>
      </c>
      <c r="H83" s="2" t="s">
        <v>128</v>
      </c>
      <c r="I83" s="1">
        <v>12</v>
      </c>
      <c r="J83" s="1">
        <v>0.2</v>
      </c>
      <c r="K83" s="1" t="s">
        <v>137</v>
      </c>
      <c r="L83" s="1" t="s">
        <v>52</v>
      </c>
      <c r="M83" s="1">
        <v>6.89</v>
      </c>
      <c r="N83" s="1">
        <v>45</v>
      </c>
      <c r="O83" s="1">
        <v>64.145859999999999</v>
      </c>
      <c r="P83" s="1">
        <v>-171.50886</v>
      </c>
      <c r="Q83" s="1">
        <v>6.4450000000000003</v>
      </c>
      <c r="R83" s="1">
        <v>32.406999999999996</v>
      </c>
      <c r="S83" s="1">
        <v>316.10899999999998</v>
      </c>
      <c r="W83" s="3">
        <v>0.21609999999999999</v>
      </c>
      <c r="X83" s="1" t="s">
        <v>138</v>
      </c>
      <c r="Y83" s="1">
        <v>0.4</v>
      </c>
      <c r="Z83" s="1">
        <v>0.12</v>
      </c>
      <c r="AA83" s="1">
        <v>0.48599999999999999</v>
      </c>
      <c r="AB83" s="1">
        <v>5.9</v>
      </c>
      <c r="AC83" s="1">
        <v>3.1</v>
      </c>
      <c r="AD83" s="1">
        <v>0.05</v>
      </c>
      <c r="AE83" s="1">
        <v>0.46</v>
      </c>
      <c r="AF83" s="1">
        <v>3.15</v>
      </c>
      <c r="AH83" s="1" t="s">
        <v>139</v>
      </c>
      <c r="AI83" s="1">
        <v>16</v>
      </c>
      <c r="AJ83" s="1" t="s">
        <v>140</v>
      </c>
      <c r="AK83" s="1">
        <v>10</v>
      </c>
      <c r="AL83" s="1">
        <v>93.357200000000006</v>
      </c>
      <c r="AM83" s="1" t="s">
        <v>138</v>
      </c>
    </row>
    <row r="84" spans="1:45">
      <c r="A84" s="1" t="s">
        <v>141</v>
      </c>
      <c r="B84" s="1">
        <v>22</v>
      </c>
      <c r="C84" s="1" t="s">
        <v>141</v>
      </c>
      <c r="D84" s="1" t="s">
        <v>142</v>
      </c>
      <c r="E84" s="1" t="s">
        <v>47</v>
      </c>
      <c r="F84" s="1" t="s">
        <v>127</v>
      </c>
      <c r="G84" s="1" t="s">
        <v>49</v>
      </c>
      <c r="H84" s="2" t="s">
        <v>128</v>
      </c>
      <c r="I84" s="1">
        <v>12</v>
      </c>
      <c r="J84" s="1">
        <v>3</v>
      </c>
      <c r="K84" s="1" t="s">
        <v>137</v>
      </c>
      <c r="L84" s="1" t="s">
        <v>52</v>
      </c>
      <c r="M84" s="1">
        <v>6.89</v>
      </c>
      <c r="N84" s="1">
        <v>45</v>
      </c>
      <c r="O84" s="1">
        <v>64.145859999999999</v>
      </c>
      <c r="P84" s="1">
        <v>-171.50886</v>
      </c>
      <c r="Q84" s="1">
        <v>6.4450000000000003</v>
      </c>
      <c r="R84" s="1">
        <v>32.406999999999996</v>
      </c>
      <c r="S84" s="1">
        <v>316.10899999999998</v>
      </c>
      <c r="W84" s="3">
        <v>0.21609999999999999</v>
      </c>
      <c r="X84" s="1" t="s">
        <v>138</v>
      </c>
      <c r="Y84" s="1">
        <v>0.4</v>
      </c>
      <c r="Z84" s="1">
        <v>0.12</v>
      </c>
      <c r="AA84" s="1">
        <v>0.48599999999999999</v>
      </c>
      <c r="AB84" s="1">
        <v>5.9</v>
      </c>
      <c r="AC84" s="1">
        <v>3.1</v>
      </c>
      <c r="AD84" s="1">
        <v>0.05</v>
      </c>
      <c r="AE84" s="1">
        <v>0.46</v>
      </c>
      <c r="AF84" s="1">
        <v>3.15</v>
      </c>
      <c r="AH84" s="1" t="s">
        <v>143</v>
      </c>
      <c r="AI84" s="1">
        <v>16</v>
      </c>
      <c r="AJ84" s="1" t="s">
        <v>140</v>
      </c>
      <c r="AK84" s="1">
        <v>10</v>
      </c>
      <c r="AL84" s="1">
        <v>93.357200000000006</v>
      </c>
      <c r="AM84" s="1" t="s">
        <v>138</v>
      </c>
    </row>
    <row r="85" spans="1:45">
      <c r="A85" s="1" t="s">
        <v>144</v>
      </c>
      <c r="B85" s="1">
        <v>21</v>
      </c>
      <c r="C85" s="1" t="s">
        <v>144</v>
      </c>
      <c r="D85" s="1" t="s">
        <v>145</v>
      </c>
      <c r="E85" s="1" t="s">
        <v>47</v>
      </c>
      <c r="F85" s="1" t="s">
        <v>127</v>
      </c>
      <c r="G85" s="1" t="s">
        <v>49</v>
      </c>
      <c r="H85" s="2" t="s">
        <v>128</v>
      </c>
      <c r="I85" s="1">
        <v>12</v>
      </c>
      <c r="J85" s="1">
        <v>20</v>
      </c>
      <c r="K85" s="1" t="s">
        <v>137</v>
      </c>
      <c r="L85" s="1" t="s">
        <v>52</v>
      </c>
      <c r="M85" s="1">
        <v>6.89</v>
      </c>
      <c r="N85" s="1">
        <v>45</v>
      </c>
      <c r="O85" s="1">
        <v>64.145859999999999</v>
      </c>
      <c r="P85" s="1">
        <v>-171.50886</v>
      </c>
      <c r="Q85" s="1">
        <v>6.4450000000000003</v>
      </c>
      <c r="R85" s="1">
        <v>32.406999999999996</v>
      </c>
      <c r="S85" s="1">
        <v>316.10899999999998</v>
      </c>
      <c r="W85" s="3">
        <v>0.21609999999999999</v>
      </c>
      <c r="X85" s="1" t="s">
        <v>138</v>
      </c>
      <c r="Y85" s="1">
        <v>0.4</v>
      </c>
      <c r="Z85" s="1">
        <v>0.12</v>
      </c>
      <c r="AA85" s="1">
        <v>0.48599999999999999</v>
      </c>
      <c r="AB85" s="1">
        <v>5.9</v>
      </c>
      <c r="AC85" s="1">
        <v>3.1</v>
      </c>
      <c r="AD85" s="1">
        <v>0.05</v>
      </c>
      <c r="AE85" s="1">
        <v>0.46</v>
      </c>
      <c r="AF85" s="1">
        <v>3.15</v>
      </c>
      <c r="AH85" s="1" t="s">
        <v>146</v>
      </c>
      <c r="AI85" s="1">
        <v>16</v>
      </c>
      <c r="AJ85" s="1" t="s">
        <v>140</v>
      </c>
      <c r="AK85" s="1">
        <v>10</v>
      </c>
      <c r="AL85" s="1">
        <v>93.357200000000006</v>
      </c>
      <c r="AM85" s="1" t="s">
        <v>138</v>
      </c>
      <c r="AS85" s="1" t="s">
        <v>147</v>
      </c>
    </row>
    <row r="86" spans="1:45">
      <c r="A86" s="1" t="s">
        <v>148</v>
      </c>
      <c r="B86" s="1">
        <v>27</v>
      </c>
      <c r="C86" s="1" t="s">
        <v>148</v>
      </c>
      <c r="D86" s="1" t="s">
        <v>149</v>
      </c>
      <c r="E86" s="1" t="s">
        <v>47</v>
      </c>
      <c r="F86" s="1" t="s">
        <v>127</v>
      </c>
      <c r="G86" s="1" t="s">
        <v>49</v>
      </c>
      <c r="H86" s="2" t="s">
        <v>128</v>
      </c>
      <c r="I86" s="1">
        <v>12</v>
      </c>
      <c r="J86" s="1">
        <v>0.2</v>
      </c>
      <c r="K86" s="1" t="s">
        <v>150</v>
      </c>
      <c r="L86" s="1" t="s">
        <v>78</v>
      </c>
      <c r="M86" s="1">
        <v>41.96</v>
      </c>
      <c r="N86" s="1">
        <v>45</v>
      </c>
      <c r="O86" s="1">
        <v>64.145859999999999</v>
      </c>
      <c r="P86" s="1">
        <v>-171.50886</v>
      </c>
      <c r="Q86" s="1">
        <v>1.59</v>
      </c>
      <c r="R86" s="1">
        <v>32.728000000000002</v>
      </c>
      <c r="S86" s="1">
        <v>298.96300000000002</v>
      </c>
      <c r="T86" s="1">
        <v>178.12</v>
      </c>
      <c r="U86" s="1">
        <v>26.42</v>
      </c>
      <c r="V86" s="1">
        <v>3100.00000000001</v>
      </c>
      <c r="W86" s="3">
        <v>0.4284</v>
      </c>
      <c r="X86" s="1" t="s">
        <v>151</v>
      </c>
      <c r="Y86" s="1">
        <v>0.42</v>
      </c>
      <c r="Z86" s="1">
        <v>0.42</v>
      </c>
      <c r="AA86" s="1">
        <v>1.829</v>
      </c>
      <c r="AB86" s="1">
        <v>29</v>
      </c>
      <c r="AC86" s="1">
        <v>18.2</v>
      </c>
      <c r="AD86" s="1">
        <v>0.22</v>
      </c>
      <c r="AE86" s="1">
        <v>1.67</v>
      </c>
      <c r="AF86" s="1">
        <v>18.420000000000002</v>
      </c>
      <c r="AH86" s="1" t="s">
        <v>152</v>
      </c>
      <c r="AI86" s="1">
        <v>3</v>
      </c>
      <c r="AJ86" s="1" t="s">
        <v>153</v>
      </c>
      <c r="AK86" s="1">
        <v>10</v>
      </c>
      <c r="AL86" s="1">
        <v>83.320999999999998</v>
      </c>
      <c r="AM86" s="1" t="s">
        <v>151</v>
      </c>
      <c r="AN86" s="1">
        <v>6.7418622255866802</v>
      </c>
      <c r="AO86" s="1">
        <v>1.01763958122063</v>
      </c>
    </row>
    <row r="87" spans="1:45">
      <c r="A87" s="1" t="s">
        <v>154</v>
      </c>
      <c r="B87" s="1">
        <v>24</v>
      </c>
      <c r="C87" s="1" t="s">
        <v>154</v>
      </c>
      <c r="D87" s="1" t="s">
        <v>155</v>
      </c>
      <c r="E87" s="1" t="s">
        <v>47</v>
      </c>
      <c r="F87" s="1" t="s">
        <v>127</v>
      </c>
      <c r="G87" s="1" t="s">
        <v>49</v>
      </c>
      <c r="H87" s="2" t="s">
        <v>128</v>
      </c>
      <c r="I87" s="1">
        <v>12</v>
      </c>
      <c r="J87" s="1">
        <v>3</v>
      </c>
      <c r="K87" s="1" t="s">
        <v>150</v>
      </c>
      <c r="L87" s="1" t="s">
        <v>78</v>
      </c>
      <c r="M87" s="1">
        <v>41.96</v>
      </c>
      <c r="N87" s="1">
        <v>45</v>
      </c>
      <c r="O87" s="1">
        <v>64.145859999999999</v>
      </c>
      <c r="P87" s="1">
        <v>-171.50886</v>
      </c>
      <c r="Q87" s="1">
        <v>1.59</v>
      </c>
      <c r="R87" s="1">
        <v>32.728000000000002</v>
      </c>
      <c r="S87" s="1">
        <v>298.96300000000002</v>
      </c>
      <c r="T87" s="1">
        <v>178.12</v>
      </c>
      <c r="U87" s="1">
        <v>26.42</v>
      </c>
      <c r="V87" s="1">
        <v>3100.00000000001</v>
      </c>
      <c r="W87" s="3">
        <v>0.4284</v>
      </c>
      <c r="X87" s="1" t="s">
        <v>151</v>
      </c>
      <c r="Y87" s="1">
        <v>0.42</v>
      </c>
      <c r="Z87" s="1">
        <v>0.42</v>
      </c>
      <c r="AA87" s="1">
        <v>1.829</v>
      </c>
      <c r="AB87" s="1">
        <v>29</v>
      </c>
      <c r="AC87" s="1">
        <v>18.2</v>
      </c>
      <c r="AD87" s="1">
        <v>0.22</v>
      </c>
      <c r="AE87" s="1">
        <v>1.67</v>
      </c>
      <c r="AF87" s="1">
        <v>18.420000000000002</v>
      </c>
      <c r="AH87" s="1" t="s">
        <v>156</v>
      </c>
      <c r="AI87" s="1">
        <v>3</v>
      </c>
      <c r="AJ87" s="1" t="s">
        <v>153</v>
      </c>
      <c r="AK87" s="1">
        <v>10</v>
      </c>
      <c r="AL87" s="1">
        <v>83.320999999999998</v>
      </c>
      <c r="AM87" s="1" t="s">
        <v>151</v>
      </c>
      <c r="AN87" s="1">
        <v>6.7418622255866802</v>
      </c>
      <c r="AO87" s="1">
        <v>1.01763958122063</v>
      </c>
    </row>
    <row r="88" spans="1:45">
      <c r="A88" s="1" t="s">
        <v>157</v>
      </c>
      <c r="B88" s="1">
        <v>23</v>
      </c>
      <c r="C88" s="1" t="s">
        <v>157</v>
      </c>
      <c r="D88" s="1" t="s">
        <v>158</v>
      </c>
      <c r="E88" s="1" t="s">
        <v>47</v>
      </c>
      <c r="F88" s="1" t="s">
        <v>127</v>
      </c>
      <c r="G88" s="1" t="s">
        <v>49</v>
      </c>
      <c r="H88" s="2" t="s">
        <v>128</v>
      </c>
      <c r="I88" s="1">
        <v>12</v>
      </c>
      <c r="J88" s="1">
        <v>20</v>
      </c>
      <c r="K88" s="1" t="s">
        <v>150</v>
      </c>
      <c r="L88" s="1" t="s">
        <v>78</v>
      </c>
      <c r="M88" s="1">
        <v>41.96</v>
      </c>
      <c r="N88" s="1">
        <v>45</v>
      </c>
      <c r="O88" s="1">
        <v>64.145859999999999</v>
      </c>
      <c r="P88" s="1">
        <v>-171.50886</v>
      </c>
      <c r="Q88" s="1">
        <v>1.59</v>
      </c>
      <c r="R88" s="1">
        <v>32.728000000000002</v>
      </c>
      <c r="S88" s="1">
        <v>298.96300000000002</v>
      </c>
      <c r="T88" s="1">
        <v>178.12</v>
      </c>
      <c r="U88" s="1">
        <v>26.42</v>
      </c>
      <c r="V88" s="1">
        <v>3100.00000000001</v>
      </c>
      <c r="W88" s="3">
        <v>0.4284</v>
      </c>
      <c r="X88" s="1" t="s">
        <v>151</v>
      </c>
      <c r="Y88" s="1">
        <v>0.42</v>
      </c>
      <c r="Z88" s="1">
        <v>0.42</v>
      </c>
      <c r="AA88" s="1">
        <v>1.829</v>
      </c>
      <c r="AB88" s="1">
        <v>29</v>
      </c>
      <c r="AC88" s="1">
        <v>18.2</v>
      </c>
      <c r="AD88" s="1">
        <v>0.22</v>
      </c>
      <c r="AE88" s="1">
        <v>1.67</v>
      </c>
      <c r="AF88" s="1">
        <v>18.420000000000002</v>
      </c>
      <c r="AH88" s="1" t="s">
        <v>159</v>
      </c>
      <c r="AI88" s="1">
        <v>3</v>
      </c>
      <c r="AJ88" s="1" t="s">
        <v>153</v>
      </c>
      <c r="AK88" s="1">
        <v>10</v>
      </c>
      <c r="AL88" s="1">
        <v>83.320999999999998</v>
      </c>
      <c r="AM88" s="1" t="s">
        <v>151</v>
      </c>
      <c r="AN88" s="1">
        <v>6.7418622255866802</v>
      </c>
      <c r="AO88" s="1">
        <v>1.01763958122063</v>
      </c>
    </row>
    <row r="89" spans="1:45">
      <c r="A89" s="1" t="s">
        <v>160</v>
      </c>
      <c r="B89" s="1">
        <v>95</v>
      </c>
      <c r="C89" s="1" t="s">
        <v>160</v>
      </c>
      <c r="D89" s="1" t="s">
        <v>161</v>
      </c>
      <c r="E89" s="1" t="s">
        <v>47</v>
      </c>
      <c r="F89" s="1" t="s">
        <v>162</v>
      </c>
      <c r="G89" s="1" t="s">
        <v>49</v>
      </c>
      <c r="H89" s="2" t="s">
        <v>163</v>
      </c>
      <c r="I89" s="1">
        <v>68</v>
      </c>
      <c r="J89" s="1">
        <v>0.2</v>
      </c>
      <c r="K89" s="1" t="s">
        <v>52</v>
      </c>
      <c r="L89" s="1" t="s">
        <v>52</v>
      </c>
      <c r="M89" s="1">
        <v>3.05</v>
      </c>
      <c r="N89" s="1">
        <v>47</v>
      </c>
      <c r="O89" s="1">
        <v>68.947879999999998</v>
      </c>
      <c r="P89" s="1">
        <v>-166.91064</v>
      </c>
      <c r="Q89" s="1">
        <v>2.6269999999999998</v>
      </c>
      <c r="R89" s="1">
        <v>30.6145</v>
      </c>
      <c r="S89" s="1">
        <v>346.85399999999998</v>
      </c>
      <c r="T89" s="1">
        <v>181.1</v>
      </c>
      <c r="U89" s="1">
        <v>35.54</v>
      </c>
      <c r="V89" s="1">
        <v>2379.99999999999</v>
      </c>
      <c r="W89" s="3">
        <v>0.2747</v>
      </c>
      <c r="X89" s="1" t="s">
        <v>164</v>
      </c>
      <c r="Y89" s="1">
        <v>0.39</v>
      </c>
      <c r="Z89" s="1">
        <v>0.28000000000000003</v>
      </c>
      <c r="AA89" s="1">
        <v>0.65400000000000003</v>
      </c>
      <c r="AB89" s="1">
        <v>5.3</v>
      </c>
      <c r="AC89" s="1">
        <v>0.1</v>
      </c>
      <c r="AD89" s="1">
        <v>0</v>
      </c>
      <c r="AE89" s="1">
        <v>0.32</v>
      </c>
      <c r="AF89" s="1">
        <v>0.1</v>
      </c>
      <c r="AH89" s="1" t="s">
        <v>165</v>
      </c>
      <c r="AI89" s="1">
        <v>23</v>
      </c>
      <c r="AJ89" s="1" t="s">
        <v>166</v>
      </c>
      <c r="AK89" s="1">
        <v>8</v>
      </c>
      <c r="AL89" s="1">
        <v>88.521199999999993</v>
      </c>
      <c r="AM89" s="1" t="s">
        <v>164</v>
      </c>
      <c r="AN89" s="1">
        <v>5.09566685424873</v>
      </c>
      <c r="AO89" s="1">
        <v>0.76915726101867699</v>
      </c>
    </row>
    <row r="90" spans="1:45">
      <c r="A90" s="1" t="s">
        <v>167</v>
      </c>
      <c r="B90" s="1">
        <v>98</v>
      </c>
      <c r="C90" s="1" t="s">
        <v>167</v>
      </c>
      <c r="D90" s="1" t="s">
        <v>168</v>
      </c>
      <c r="E90" s="1" t="s">
        <v>47</v>
      </c>
      <c r="F90" s="1" t="s">
        <v>162</v>
      </c>
      <c r="G90" s="1" t="s">
        <v>49</v>
      </c>
      <c r="H90" s="2" t="s">
        <v>163</v>
      </c>
      <c r="I90" s="1">
        <v>68</v>
      </c>
      <c r="J90" s="1">
        <v>3</v>
      </c>
      <c r="K90" s="1" t="s">
        <v>52</v>
      </c>
      <c r="L90" s="1" t="s">
        <v>52</v>
      </c>
      <c r="M90" s="1">
        <v>3.05</v>
      </c>
      <c r="N90" s="1">
        <v>47</v>
      </c>
      <c r="O90" s="1">
        <v>68.947879999999998</v>
      </c>
      <c r="P90" s="1">
        <v>-166.91064</v>
      </c>
      <c r="Q90" s="1">
        <v>2.6269999999999998</v>
      </c>
      <c r="R90" s="1">
        <v>30.6145</v>
      </c>
      <c r="S90" s="1">
        <v>346.85399999999998</v>
      </c>
      <c r="T90" s="1">
        <v>181.1</v>
      </c>
      <c r="U90" s="1">
        <v>35.54</v>
      </c>
      <c r="V90" s="1">
        <v>2379.99999999999</v>
      </c>
      <c r="W90" s="3">
        <v>0.2747</v>
      </c>
      <c r="X90" s="1" t="s">
        <v>164</v>
      </c>
      <c r="Y90" s="1">
        <v>0.39</v>
      </c>
      <c r="Z90" s="1">
        <v>0.28000000000000003</v>
      </c>
      <c r="AA90" s="1">
        <v>0.65400000000000003</v>
      </c>
      <c r="AB90" s="1">
        <v>5.3</v>
      </c>
      <c r="AC90" s="1">
        <v>0.1</v>
      </c>
      <c r="AD90" s="1">
        <v>0</v>
      </c>
      <c r="AE90" s="1">
        <v>0.32</v>
      </c>
      <c r="AF90" s="1">
        <v>0.1</v>
      </c>
      <c r="AH90" s="1" t="s">
        <v>169</v>
      </c>
      <c r="AI90" s="1">
        <v>23</v>
      </c>
      <c r="AJ90" s="1" t="s">
        <v>166</v>
      </c>
      <c r="AK90" s="1">
        <v>8</v>
      </c>
      <c r="AL90" s="1">
        <v>88.521199999999993</v>
      </c>
      <c r="AM90" s="1" t="s">
        <v>164</v>
      </c>
      <c r="AN90" s="1">
        <v>5.09566685424873</v>
      </c>
      <c r="AO90" s="1">
        <v>0.76915726101867699</v>
      </c>
    </row>
    <row r="91" spans="1:45">
      <c r="A91" s="1" t="s">
        <v>170</v>
      </c>
      <c r="B91" s="1">
        <v>103</v>
      </c>
      <c r="C91" s="1" t="s">
        <v>170</v>
      </c>
      <c r="D91" s="1" t="s">
        <v>171</v>
      </c>
      <c r="E91" s="1" t="s">
        <v>47</v>
      </c>
      <c r="F91" s="1" t="s">
        <v>162</v>
      </c>
      <c r="G91" s="1" t="s">
        <v>49</v>
      </c>
      <c r="H91" s="2" t="s">
        <v>163</v>
      </c>
      <c r="I91" s="1">
        <v>68</v>
      </c>
      <c r="J91" s="1">
        <v>20</v>
      </c>
      <c r="K91" s="1" t="s">
        <v>52</v>
      </c>
      <c r="L91" s="1" t="s">
        <v>52</v>
      </c>
      <c r="M91" s="1">
        <v>3.05</v>
      </c>
      <c r="N91" s="1">
        <v>47</v>
      </c>
      <c r="O91" s="1">
        <v>68.947879999999998</v>
      </c>
      <c r="P91" s="1">
        <v>-166.91064</v>
      </c>
      <c r="Q91" s="1">
        <v>2.6269999999999998</v>
      </c>
      <c r="R91" s="1">
        <v>30.6145</v>
      </c>
      <c r="S91" s="1">
        <v>346.85399999999998</v>
      </c>
      <c r="T91" s="1">
        <v>181.1</v>
      </c>
      <c r="U91" s="1">
        <v>35.54</v>
      </c>
      <c r="V91" s="1">
        <v>2379.99999999999</v>
      </c>
      <c r="W91" s="3">
        <v>0.2747</v>
      </c>
      <c r="X91" s="1" t="s">
        <v>164</v>
      </c>
      <c r="Y91" s="1">
        <v>0.39</v>
      </c>
      <c r="Z91" s="1">
        <v>0.28000000000000003</v>
      </c>
      <c r="AA91" s="1">
        <v>0.65400000000000003</v>
      </c>
      <c r="AB91" s="1">
        <v>5.3</v>
      </c>
      <c r="AC91" s="1">
        <v>0.1</v>
      </c>
      <c r="AD91" s="1">
        <v>0</v>
      </c>
      <c r="AE91" s="1">
        <v>0.32</v>
      </c>
      <c r="AF91" s="1">
        <v>0.1</v>
      </c>
      <c r="AH91" s="1" t="s">
        <v>172</v>
      </c>
      <c r="AI91" s="1">
        <v>23</v>
      </c>
      <c r="AJ91" s="1" t="s">
        <v>166</v>
      </c>
      <c r="AK91" s="1">
        <v>8</v>
      </c>
      <c r="AL91" s="1">
        <v>88.521199999999993</v>
      </c>
      <c r="AM91" s="1" t="s">
        <v>164</v>
      </c>
      <c r="AN91" s="1">
        <v>5.09566685424873</v>
      </c>
      <c r="AO91" s="1">
        <v>0.76915726101867699</v>
      </c>
    </row>
    <row r="92" spans="1:45">
      <c r="A92" s="1" t="s">
        <v>173</v>
      </c>
      <c r="B92" s="1">
        <v>96</v>
      </c>
      <c r="C92" s="1" t="s">
        <v>173</v>
      </c>
      <c r="D92" s="1" t="s">
        <v>174</v>
      </c>
      <c r="E92" s="1" t="s">
        <v>47</v>
      </c>
      <c r="F92" s="1" t="s">
        <v>162</v>
      </c>
      <c r="G92" s="1" t="s">
        <v>49</v>
      </c>
      <c r="H92" s="2" t="s">
        <v>163</v>
      </c>
      <c r="I92" s="1">
        <v>68</v>
      </c>
      <c r="J92" s="1">
        <v>0.2</v>
      </c>
      <c r="K92" s="1" t="s">
        <v>65</v>
      </c>
      <c r="L92" s="1" t="s">
        <v>65</v>
      </c>
      <c r="M92" s="1">
        <v>20</v>
      </c>
      <c r="N92" s="1">
        <v>47</v>
      </c>
      <c r="O92" s="1">
        <v>68.947879999999998</v>
      </c>
      <c r="P92" s="1">
        <v>-166.91051999999999</v>
      </c>
      <c r="Q92" s="1">
        <v>0.33200000000000002</v>
      </c>
      <c r="R92" s="1">
        <v>31.936499999999999</v>
      </c>
      <c r="S92" s="1">
        <v>380.66500000000002</v>
      </c>
      <c r="W92" s="3">
        <v>0.74650000000000005</v>
      </c>
      <c r="X92" s="1" t="s">
        <v>175</v>
      </c>
      <c r="Y92" s="1">
        <v>0.77</v>
      </c>
      <c r="Z92" s="1">
        <v>0.68</v>
      </c>
      <c r="AA92" s="1">
        <v>0.80600000000000005</v>
      </c>
      <c r="AB92" s="1">
        <v>4.0999999999999996</v>
      </c>
      <c r="AC92" s="1">
        <v>0.9</v>
      </c>
      <c r="AD92" s="1">
        <v>0.03</v>
      </c>
      <c r="AE92" s="1">
        <v>1.34</v>
      </c>
      <c r="AF92" s="1">
        <v>0.93</v>
      </c>
      <c r="AH92" s="1" t="s">
        <v>176</v>
      </c>
      <c r="AI92" s="1">
        <v>8</v>
      </c>
      <c r="AJ92" s="1" t="s">
        <v>177</v>
      </c>
      <c r="AK92" s="1">
        <v>9</v>
      </c>
      <c r="AL92" s="1">
        <v>89.271100000000004</v>
      </c>
      <c r="AM92" s="1" t="s">
        <v>175</v>
      </c>
    </row>
    <row r="93" spans="1:45">
      <c r="A93" s="1" t="s">
        <v>178</v>
      </c>
      <c r="B93" s="1">
        <v>99</v>
      </c>
      <c r="C93" s="1" t="s">
        <v>178</v>
      </c>
      <c r="D93" s="1" t="s">
        <v>179</v>
      </c>
      <c r="E93" s="1" t="s">
        <v>47</v>
      </c>
      <c r="F93" s="1" t="s">
        <v>162</v>
      </c>
      <c r="G93" s="1" t="s">
        <v>49</v>
      </c>
      <c r="H93" s="2" t="s">
        <v>163</v>
      </c>
      <c r="I93" s="1">
        <v>68</v>
      </c>
      <c r="J93" s="1">
        <v>3</v>
      </c>
      <c r="K93" s="1" t="s">
        <v>65</v>
      </c>
      <c r="L93" s="1" t="s">
        <v>65</v>
      </c>
      <c r="M93" s="1">
        <v>20</v>
      </c>
      <c r="N93" s="1">
        <v>47</v>
      </c>
      <c r="O93" s="1">
        <v>68.947879999999998</v>
      </c>
      <c r="P93" s="1">
        <v>-166.91051999999999</v>
      </c>
      <c r="Q93" s="1">
        <v>0.33200000000000002</v>
      </c>
      <c r="R93" s="1">
        <v>31.936499999999999</v>
      </c>
      <c r="S93" s="1">
        <v>380.66500000000002</v>
      </c>
      <c r="W93" s="3">
        <v>0.74650000000000005</v>
      </c>
      <c r="X93" s="1" t="s">
        <v>175</v>
      </c>
      <c r="Y93" s="1">
        <v>0.77</v>
      </c>
      <c r="Z93" s="1">
        <v>0.68</v>
      </c>
      <c r="AA93" s="1">
        <v>0.80600000000000005</v>
      </c>
      <c r="AB93" s="1">
        <v>4.0999999999999996</v>
      </c>
      <c r="AC93" s="1">
        <v>0.9</v>
      </c>
      <c r="AD93" s="1">
        <v>0.03</v>
      </c>
      <c r="AE93" s="1">
        <v>1.34</v>
      </c>
      <c r="AF93" s="1">
        <v>0.93</v>
      </c>
      <c r="AH93" s="1" t="s">
        <v>180</v>
      </c>
      <c r="AI93" s="1">
        <v>8</v>
      </c>
      <c r="AJ93" s="1" t="s">
        <v>177</v>
      </c>
      <c r="AK93" s="1">
        <v>9</v>
      </c>
      <c r="AL93" s="1">
        <v>89.271100000000004</v>
      </c>
      <c r="AM93" s="1" t="s">
        <v>175</v>
      </c>
    </row>
    <row r="94" spans="1:45">
      <c r="A94" s="1" t="s">
        <v>181</v>
      </c>
      <c r="B94" s="1">
        <v>101</v>
      </c>
      <c r="C94" s="1" t="s">
        <v>181</v>
      </c>
      <c r="D94" s="1" t="s">
        <v>182</v>
      </c>
      <c r="E94" s="1" t="s">
        <v>47</v>
      </c>
      <c r="F94" s="1" t="s">
        <v>162</v>
      </c>
      <c r="G94" s="1" t="s">
        <v>49</v>
      </c>
      <c r="H94" s="2" t="s">
        <v>163</v>
      </c>
      <c r="I94" s="1">
        <v>68</v>
      </c>
      <c r="J94" s="1">
        <v>20</v>
      </c>
      <c r="K94" s="1" t="s">
        <v>65</v>
      </c>
      <c r="L94" s="1" t="s">
        <v>65</v>
      </c>
      <c r="M94" s="1">
        <v>20</v>
      </c>
      <c r="N94" s="1">
        <v>47</v>
      </c>
      <c r="O94" s="1">
        <v>68.947879999999998</v>
      </c>
      <c r="P94" s="1">
        <v>-166.91051999999999</v>
      </c>
      <c r="Q94" s="1">
        <v>0.33200000000000002</v>
      </c>
      <c r="R94" s="1">
        <v>31.936499999999999</v>
      </c>
      <c r="S94" s="1">
        <v>380.66500000000002</v>
      </c>
      <c r="W94" s="3">
        <v>0.74650000000000005</v>
      </c>
      <c r="X94" s="1" t="s">
        <v>175</v>
      </c>
      <c r="Y94" s="1">
        <v>0.77</v>
      </c>
      <c r="Z94" s="1">
        <v>0.68</v>
      </c>
      <c r="AA94" s="1">
        <v>0.80600000000000005</v>
      </c>
      <c r="AB94" s="1">
        <v>4.0999999999999996</v>
      </c>
      <c r="AC94" s="1">
        <v>0.9</v>
      </c>
      <c r="AD94" s="1">
        <v>0.03</v>
      </c>
      <c r="AE94" s="1">
        <v>1.34</v>
      </c>
      <c r="AF94" s="1">
        <v>0.93</v>
      </c>
      <c r="AH94" s="1" t="s">
        <v>183</v>
      </c>
      <c r="AI94" s="1">
        <v>8</v>
      </c>
      <c r="AJ94" s="1" t="s">
        <v>177</v>
      </c>
      <c r="AK94" s="1">
        <v>9</v>
      </c>
      <c r="AL94" s="1">
        <v>89.271100000000004</v>
      </c>
      <c r="AM94" s="1" t="s">
        <v>175</v>
      </c>
    </row>
    <row r="95" spans="1:45">
      <c r="A95" s="1" t="s">
        <v>184</v>
      </c>
      <c r="B95" s="1">
        <v>97</v>
      </c>
      <c r="C95" s="1" t="s">
        <v>184</v>
      </c>
      <c r="D95" s="1" t="s">
        <v>185</v>
      </c>
      <c r="E95" s="1" t="s">
        <v>47</v>
      </c>
      <c r="F95" s="1" t="s">
        <v>162</v>
      </c>
      <c r="G95" s="1" t="s">
        <v>49</v>
      </c>
      <c r="H95" s="2" t="s">
        <v>163</v>
      </c>
      <c r="I95" s="1">
        <v>68</v>
      </c>
      <c r="J95" s="1">
        <v>0.2</v>
      </c>
      <c r="K95" s="1" t="s">
        <v>150</v>
      </c>
      <c r="L95" s="1" t="s">
        <v>78</v>
      </c>
      <c r="M95" s="1">
        <v>43.01</v>
      </c>
      <c r="N95" s="1">
        <v>47</v>
      </c>
      <c r="O95" s="1">
        <v>68.947860000000006</v>
      </c>
      <c r="P95" s="1">
        <v>-166.91036</v>
      </c>
      <c r="Q95" s="1">
        <v>0.94199999999999995</v>
      </c>
      <c r="R95" s="1">
        <v>32.058</v>
      </c>
      <c r="S95" s="1">
        <v>356.86200000000002</v>
      </c>
      <c r="T95" s="1">
        <v>225.68</v>
      </c>
      <c r="U95" s="1">
        <v>31.38</v>
      </c>
      <c r="V95" s="1">
        <v>1980</v>
      </c>
      <c r="W95" s="3">
        <v>0.80810000000000004</v>
      </c>
      <c r="X95" s="1" t="s">
        <v>186</v>
      </c>
      <c r="Y95" s="1">
        <v>0.78</v>
      </c>
      <c r="Z95" s="1">
        <v>0.78</v>
      </c>
      <c r="AA95" s="1">
        <v>0.85</v>
      </c>
      <c r="AB95" s="1">
        <v>3</v>
      </c>
      <c r="AC95" s="1">
        <v>0.6</v>
      </c>
      <c r="AD95" s="1">
        <v>0.03</v>
      </c>
      <c r="AE95" s="1">
        <v>2.39</v>
      </c>
      <c r="AF95" s="1">
        <v>0.63</v>
      </c>
      <c r="AH95" s="1" t="s">
        <v>187</v>
      </c>
      <c r="AI95" s="1">
        <v>1</v>
      </c>
      <c r="AJ95" s="1" t="s">
        <v>186</v>
      </c>
      <c r="AK95" s="1">
        <v>9</v>
      </c>
      <c r="AL95" s="1">
        <v>86.331999999999994</v>
      </c>
      <c r="AM95" s="1" t="s">
        <v>186</v>
      </c>
      <c r="AN95" s="1">
        <v>7.1918419375398299</v>
      </c>
      <c r="AO95" s="1">
        <v>1.0855610471758199</v>
      </c>
    </row>
    <row r="96" spans="1:45">
      <c r="A96" s="1" t="s">
        <v>188</v>
      </c>
      <c r="B96" s="1">
        <v>100</v>
      </c>
      <c r="C96" s="1" t="s">
        <v>188</v>
      </c>
      <c r="D96" s="1" t="s">
        <v>189</v>
      </c>
      <c r="E96" s="1" t="s">
        <v>47</v>
      </c>
      <c r="F96" s="1" t="s">
        <v>162</v>
      </c>
      <c r="G96" s="1" t="s">
        <v>49</v>
      </c>
      <c r="H96" s="2" t="s">
        <v>163</v>
      </c>
      <c r="I96" s="1">
        <v>68</v>
      </c>
      <c r="J96" s="1">
        <v>3</v>
      </c>
      <c r="K96" s="1" t="s">
        <v>150</v>
      </c>
      <c r="L96" s="1" t="s">
        <v>78</v>
      </c>
      <c r="M96" s="1">
        <v>43.01</v>
      </c>
      <c r="N96" s="1">
        <v>47</v>
      </c>
      <c r="O96" s="1">
        <v>68.947860000000006</v>
      </c>
      <c r="P96" s="1">
        <v>-166.91036</v>
      </c>
      <c r="Q96" s="1">
        <v>0.94199999999999995</v>
      </c>
      <c r="R96" s="1">
        <v>32.058</v>
      </c>
      <c r="S96" s="1">
        <v>356.86200000000002</v>
      </c>
      <c r="T96" s="1">
        <v>225.68</v>
      </c>
      <c r="U96" s="1">
        <v>31.38</v>
      </c>
      <c r="V96" s="1">
        <v>1980</v>
      </c>
      <c r="W96" s="3">
        <v>0.80810000000000004</v>
      </c>
      <c r="X96" s="1" t="s">
        <v>186</v>
      </c>
      <c r="Y96" s="1">
        <v>0.78</v>
      </c>
      <c r="Z96" s="1">
        <v>0.78</v>
      </c>
      <c r="AA96" s="1">
        <v>0.85</v>
      </c>
      <c r="AB96" s="1">
        <v>3</v>
      </c>
      <c r="AC96" s="1">
        <v>0.6</v>
      </c>
      <c r="AD96" s="1">
        <v>0.03</v>
      </c>
      <c r="AE96" s="1">
        <v>2.39</v>
      </c>
      <c r="AF96" s="1">
        <v>0.63</v>
      </c>
      <c r="AH96" s="1" t="s">
        <v>190</v>
      </c>
      <c r="AI96" s="1">
        <v>1</v>
      </c>
      <c r="AJ96" s="1" t="s">
        <v>186</v>
      </c>
      <c r="AK96" s="1">
        <v>9</v>
      </c>
      <c r="AL96" s="1">
        <v>86.331999999999994</v>
      </c>
      <c r="AM96" s="1" t="s">
        <v>186</v>
      </c>
      <c r="AN96" s="1">
        <v>7.1918419375398299</v>
      </c>
      <c r="AO96" s="1">
        <v>1.0855610471758199</v>
      </c>
    </row>
    <row r="97" spans="1:46">
      <c r="A97" s="1" t="s">
        <v>191</v>
      </c>
      <c r="B97" s="1">
        <v>102</v>
      </c>
      <c r="C97" s="1" t="s">
        <v>191</v>
      </c>
      <c r="D97" s="1" t="s">
        <v>192</v>
      </c>
      <c r="E97" s="1" t="s">
        <v>47</v>
      </c>
      <c r="F97" s="1" t="s">
        <v>162</v>
      </c>
      <c r="G97" s="1" t="s">
        <v>49</v>
      </c>
      <c r="H97" s="2" t="s">
        <v>163</v>
      </c>
      <c r="I97" s="1">
        <v>68</v>
      </c>
      <c r="J97" s="1">
        <v>20</v>
      </c>
      <c r="K97" s="1" t="s">
        <v>150</v>
      </c>
      <c r="L97" s="1" t="s">
        <v>78</v>
      </c>
      <c r="M97" s="1">
        <v>43.01</v>
      </c>
      <c r="N97" s="1">
        <v>47</v>
      </c>
      <c r="O97" s="1">
        <v>68.947860000000006</v>
      </c>
      <c r="P97" s="1">
        <v>-166.91036</v>
      </c>
      <c r="Q97" s="1">
        <v>0.94199999999999995</v>
      </c>
      <c r="R97" s="1">
        <v>32.058</v>
      </c>
      <c r="S97" s="1">
        <v>356.86200000000002</v>
      </c>
      <c r="T97" s="1">
        <v>225.68</v>
      </c>
      <c r="U97" s="1">
        <v>31.38</v>
      </c>
      <c r="V97" s="1">
        <v>1980</v>
      </c>
      <c r="W97" s="3">
        <v>0.80810000000000004</v>
      </c>
      <c r="X97" s="1" t="s">
        <v>186</v>
      </c>
      <c r="Y97" s="1">
        <v>0.78</v>
      </c>
      <c r="Z97" s="1">
        <v>0.78</v>
      </c>
      <c r="AA97" s="1">
        <v>0.85</v>
      </c>
      <c r="AB97" s="1">
        <v>3</v>
      </c>
      <c r="AC97" s="1">
        <v>0.6</v>
      </c>
      <c r="AD97" s="1">
        <v>0.03</v>
      </c>
      <c r="AE97" s="1">
        <v>2.39</v>
      </c>
      <c r="AF97" s="1">
        <v>0.63</v>
      </c>
      <c r="AH97" s="1" t="s">
        <v>193</v>
      </c>
      <c r="AI97" s="1">
        <v>1</v>
      </c>
      <c r="AJ97" s="1" t="s">
        <v>186</v>
      </c>
      <c r="AK97" s="1">
        <v>9</v>
      </c>
      <c r="AL97" s="1">
        <v>86.331999999999994</v>
      </c>
      <c r="AM97" s="1" t="s">
        <v>186</v>
      </c>
      <c r="AN97" s="1">
        <v>7.1918419375398299</v>
      </c>
      <c r="AO97" s="1">
        <v>1.0855610471758199</v>
      </c>
    </row>
    <row r="98" spans="1:46">
      <c r="A98" s="1" t="s">
        <v>194</v>
      </c>
      <c r="B98" s="1">
        <v>86</v>
      </c>
      <c r="C98" s="1" t="s">
        <v>194</v>
      </c>
      <c r="D98" s="1" t="s">
        <v>195</v>
      </c>
      <c r="E98" s="1" t="s">
        <v>47</v>
      </c>
      <c r="F98" s="1" t="s">
        <v>196</v>
      </c>
      <c r="G98" s="1" t="s">
        <v>49</v>
      </c>
      <c r="H98" s="2" t="s">
        <v>197</v>
      </c>
      <c r="I98" s="1">
        <v>58</v>
      </c>
      <c r="J98" s="1">
        <v>0.2</v>
      </c>
      <c r="K98" s="1" t="s">
        <v>52</v>
      </c>
      <c r="L98" s="1" t="s">
        <v>52</v>
      </c>
      <c r="M98" s="1">
        <v>4.72</v>
      </c>
      <c r="N98" s="1">
        <v>53</v>
      </c>
      <c r="O98" s="1">
        <v>69.035600000000002</v>
      </c>
      <c r="P98" s="1">
        <v>-168.90182999999999</v>
      </c>
      <c r="Q98" s="1">
        <v>6.2119999999999997</v>
      </c>
      <c r="R98" s="1">
        <v>32.499000000000002</v>
      </c>
      <c r="S98" s="1">
        <v>321.12299999999999</v>
      </c>
      <c r="T98" s="1">
        <v>157.91999999999999</v>
      </c>
      <c r="U98" s="1">
        <v>25.72</v>
      </c>
      <c r="V98" s="1">
        <v>2580</v>
      </c>
      <c r="W98" s="3">
        <v>0.27289999999999998</v>
      </c>
      <c r="X98" s="1" t="s">
        <v>198</v>
      </c>
      <c r="Y98" s="1">
        <v>0.23</v>
      </c>
      <c r="Z98" s="1">
        <v>0.19</v>
      </c>
      <c r="AA98" s="1">
        <v>0.55600000000000005</v>
      </c>
      <c r="AB98" s="1">
        <v>0.6</v>
      </c>
      <c r="AC98" s="1">
        <v>0.1</v>
      </c>
      <c r="AD98" s="1">
        <v>0.01</v>
      </c>
      <c r="AE98" s="1">
        <v>0.42</v>
      </c>
      <c r="AF98" s="1">
        <v>0.11</v>
      </c>
      <c r="AH98" s="1" t="s">
        <v>199</v>
      </c>
      <c r="AI98" s="1">
        <v>24</v>
      </c>
      <c r="AJ98" s="1" t="s">
        <v>200</v>
      </c>
      <c r="AK98" s="1">
        <v>8</v>
      </c>
      <c r="AL98" s="1">
        <v>90.555800000000005</v>
      </c>
      <c r="AM98" s="1" t="s">
        <v>198</v>
      </c>
      <c r="AN98" s="1">
        <v>6.13996889580093</v>
      </c>
      <c r="AO98" s="1">
        <v>0.92678775785674405</v>
      </c>
      <c r="AS98" s="1" t="s">
        <v>201</v>
      </c>
    </row>
    <row r="99" spans="1:46">
      <c r="A99" s="1" t="s">
        <v>202</v>
      </c>
      <c r="B99" s="1">
        <v>89</v>
      </c>
      <c r="C99" s="1" t="s">
        <v>202</v>
      </c>
      <c r="D99" s="1" t="s">
        <v>203</v>
      </c>
      <c r="E99" s="1" t="s">
        <v>47</v>
      </c>
      <c r="F99" s="1" t="s">
        <v>196</v>
      </c>
      <c r="G99" s="1" t="s">
        <v>49</v>
      </c>
      <c r="H99" s="2" t="s">
        <v>197</v>
      </c>
      <c r="I99" s="1">
        <v>58</v>
      </c>
      <c r="J99" s="1">
        <v>3</v>
      </c>
      <c r="K99" s="1" t="s">
        <v>52</v>
      </c>
      <c r="L99" s="1" t="s">
        <v>52</v>
      </c>
      <c r="M99" s="1">
        <v>4.72</v>
      </c>
      <c r="N99" s="1">
        <v>53</v>
      </c>
      <c r="O99" s="1">
        <v>69.035600000000002</v>
      </c>
      <c r="P99" s="1">
        <v>-168.90182999999999</v>
      </c>
      <c r="Q99" s="1">
        <v>6.2119999999999997</v>
      </c>
      <c r="R99" s="1">
        <v>32.499000000000002</v>
      </c>
      <c r="S99" s="1">
        <v>321.12299999999999</v>
      </c>
      <c r="T99" s="1">
        <v>157.91999999999999</v>
      </c>
      <c r="U99" s="1">
        <v>25.72</v>
      </c>
      <c r="V99" s="1">
        <v>2580</v>
      </c>
      <c r="W99" s="3">
        <v>0.27289999999999998</v>
      </c>
      <c r="X99" s="1" t="s">
        <v>198</v>
      </c>
      <c r="Y99" s="1">
        <v>0.23</v>
      </c>
      <c r="Z99" s="1">
        <v>0.19</v>
      </c>
      <c r="AA99" s="1">
        <v>0.55600000000000005</v>
      </c>
      <c r="AB99" s="1">
        <v>0.6</v>
      </c>
      <c r="AC99" s="1">
        <v>0.1</v>
      </c>
      <c r="AD99" s="1">
        <v>0.01</v>
      </c>
      <c r="AE99" s="1">
        <v>0.42</v>
      </c>
      <c r="AF99" s="1">
        <v>0.11</v>
      </c>
      <c r="AH99" s="1" t="s">
        <v>204</v>
      </c>
      <c r="AI99" s="1">
        <v>24</v>
      </c>
      <c r="AJ99" s="1" t="s">
        <v>200</v>
      </c>
      <c r="AK99" s="1">
        <v>8</v>
      </c>
      <c r="AL99" s="1">
        <v>90.555800000000005</v>
      </c>
      <c r="AM99" s="1" t="s">
        <v>198</v>
      </c>
      <c r="AN99" s="1">
        <v>6.13996889580093</v>
      </c>
      <c r="AO99" s="1">
        <v>0.92678775785674405</v>
      </c>
    </row>
    <row r="100" spans="1:46">
      <c r="A100" s="1" t="s">
        <v>205</v>
      </c>
      <c r="B100" s="1">
        <v>92</v>
      </c>
      <c r="C100" s="1" t="s">
        <v>205</v>
      </c>
      <c r="D100" s="1" t="s">
        <v>206</v>
      </c>
      <c r="E100" s="1" t="s">
        <v>47</v>
      </c>
      <c r="F100" s="1" t="s">
        <v>196</v>
      </c>
      <c r="G100" s="1" t="s">
        <v>49</v>
      </c>
      <c r="H100" s="2" t="s">
        <v>197</v>
      </c>
      <c r="I100" s="1">
        <v>58</v>
      </c>
      <c r="J100" s="1">
        <v>20</v>
      </c>
      <c r="K100" s="1" t="s">
        <v>52</v>
      </c>
      <c r="L100" s="1" t="s">
        <v>52</v>
      </c>
      <c r="M100" s="1">
        <v>4.72</v>
      </c>
      <c r="N100" s="1">
        <v>53</v>
      </c>
      <c r="O100" s="1">
        <v>69.035600000000002</v>
      </c>
      <c r="P100" s="1">
        <v>-168.90182999999999</v>
      </c>
      <c r="Q100" s="1">
        <v>6.2119999999999997</v>
      </c>
      <c r="R100" s="1">
        <v>32.499000000000002</v>
      </c>
      <c r="S100" s="1">
        <v>321.12299999999999</v>
      </c>
      <c r="T100" s="1">
        <v>157.91999999999999</v>
      </c>
      <c r="U100" s="1">
        <v>25.72</v>
      </c>
      <c r="V100" s="1">
        <v>2580</v>
      </c>
      <c r="W100" s="3">
        <v>0.27289999999999998</v>
      </c>
      <c r="X100" s="1" t="s">
        <v>198</v>
      </c>
      <c r="Y100" s="1">
        <v>0.23</v>
      </c>
      <c r="Z100" s="1">
        <v>0.19</v>
      </c>
      <c r="AA100" s="1">
        <v>0.55600000000000005</v>
      </c>
      <c r="AB100" s="1">
        <v>0.6</v>
      </c>
      <c r="AC100" s="1">
        <v>0.1</v>
      </c>
      <c r="AD100" s="1">
        <v>0.01</v>
      </c>
      <c r="AE100" s="1">
        <v>0.42</v>
      </c>
      <c r="AF100" s="1">
        <v>0.11</v>
      </c>
      <c r="AH100" s="1" t="s">
        <v>207</v>
      </c>
      <c r="AI100" s="1">
        <v>24</v>
      </c>
      <c r="AJ100" s="1" t="s">
        <v>200</v>
      </c>
      <c r="AK100" s="1">
        <v>8</v>
      </c>
      <c r="AL100" s="1">
        <v>90.555800000000005</v>
      </c>
      <c r="AM100" s="1" t="s">
        <v>198</v>
      </c>
      <c r="AN100" s="1">
        <v>6.13996889580093</v>
      </c>
      <c r="AO100" s="1">
        <v>0.92678775785674405</v>
      </c>
    </row>
    <row r="101" spans="1:46">
      <c r="A101" s="1" t="s">
        <v>1550</v>
      </c>
      <c r="C101" s="1" t="s">
        <v>1550</v>
      </c>
      <c r="D101" s="1" t="s">
        <v>1551</v>
      </c>
      <c r="E101" s="1" t="s">
        <v>1466</v>
      </c>
      <c r="F101" s="1" t="s">
        <v>196</v>
      </c>
      <c r="G101" s="1" t="s">
        <v>49</v>
      </c>
      <c r="H101" s="2" t="s">
        <v>1552</v>
      </c>
      <c r="I101" s="1">
        <v>9</v>
      </c>
      <c r="J101" s="1">
        <v>3</v>
      </c>
      <c r="K101" s="1" t="s">
        <v>52</v>
      </c>
      <c r="L101" s="1" t="s">
        <v>52</v>
      </c>
      <c r="M101" s="1">
        <v>4.7270000000000003</v>
      </c>
      <c r="N101" s="1">
        <v>53</v>
      </c>
      <c r="O101" s="1">
        <v>69.032830000000004</v>
      </c>
      <c r="P101" s="1">
        <v>-168.89215999999999</v>
      </c>
      <c r="Q101" s="1">
        <v>7.2838000000000003</v>
      </c>
      <c r="R101" s="1">
        <v>32.24615</v>
      </c>
      <c r="S101" s="1">
        <v>353.27100000000002</v>
      </c>
      <c r="T101" s="1">
        <v>445.51654939999997</v>
      </c>
      <c r="U101" s="1">
        <v>58.19487144</v>
      </c>
      <c r="V101" s="1">
        <v>4652.7777779999997</v>
      </c>
      <c r="W101" s="3">
        <v>3.31</v>
      </c>
      <c r="X101" s="1" t="s">
        <v>1553</v>
      </c>
      <c r="Y101" s="1">
        <v>5.56</v>
      </c>
      <c r="AA101" s="1">
        <v>0.32</v>
      </c>
      <c r="AB101" s="1">
        <v>3.92</v>
      </c>
      <c r="AE101" s="1">
        <v>0.17</v>
      </c>
      <c r="AF101" s="1">
        <v>0.17</v>
      </c>
      <c r="AI101" s="1">
        <v>13</v>
      </c>
      <c r="AJ101" s="1" t="s">
        <v>1553</v>
      </c>
      <c r="AK101" s="1">
        <v>2.8</v>
      </c>
      <c r="AL101" s="1">
        <v>87.441900000000004</v>
      </c>
      <c r="AM101" s="1" t="s">
        <v>1553</v>
      </c>
      <c r="AN101" s="1">
        <v>7.6555981373605402</v>
      </c>
      <c r="AO101" s="1">
        <v>1.1555619829978201</v>
      </c>
      <c r="AP101" s="1" t="s">
        <v>1554</v>
      </c>
      <c r="AQ101" s="1">
        <v>-1.1599999999999999</v>
      </c>
      <c r="AR101" s="1">
        <v>15.1</v>
      </c>
      <c r="AT101" s="1">
        <v>5</v>
      </c>
    </row>
    <row r="102" spans="1:46">
      <c r="A102" s="1" t="s">
        <v>1555</v>
      </c>
      <c r="C102" s="1" t="s">
        <v>1555</v>
      </c>
      <c r="D102" s="1" t="s">
        <v>1556</v>
      </c>
      <c r="E102" s="1" t="s">
        <v>1466</v>
      </c>
      <c r="F102" s="1" t="s">
        <v>196</v>
      </c>
      <c r="G102" s="1" t="s">
        <v>49</v>
      </c>
      <c r="H102" s="2" t="s">
        <v>1552</v>
      </c>
      <c r="I102" s="1">
        <v>9</v>
      </c>
      <c r="J102" s="1">
        <v>20</v>
      </c>
      <c r="K102" s="1" t="s">
        <v>52</v>
      </c>
      <c r="L102" s="1" t="s">
        <v>52</v>
      </c>
      <c r="M102" s="1">
        <v>4.7270000000000003</v>
      </c>
      <c r="N102" s="1">
        <v>53</v>
      </c>
      <c r="O102" s="1">
        <v>69.032830000000004</v>
      </c>
      <c r="P102" s="1">
        <v>-168.89215999999999</v>
      </c>
      <c r="Q102" s="1">
        <v>7.2838000000000003</v>
      </c>
      <c r="R102" s="1">
        <v>32.24615</v>
      </c>
      <c r="S102" s="1">
        <v>353.27100000000002</v>
      </c>
      <c r="T102" s="1">
        <v>445.51654939999997</v>
      </c>
      <c r="U102" s="1">
        <v>58.19487144</v>
      </c>
      <c r="V102" s="1">
        <v>4652.7777779999997</v>
      </c>
      <c r="W102" s="3">
        <v>3.31</v>
      </c>
      <c r="X102" s="1" t="s">
        <v>1553</v>
      </c>
      <c r="Y102" s="1">
        <v>5.56</v>
      </c>
      <c r="AA102" s="1">
        <v>0.32</v>
      </c>
      <c r="AB102" s="1">
        <v>3.92</v>
      </c>
      <c r="AE102" s="1">
        <v>0.17</v>
      </c>
      <c r="AF102" s="1">
        <v>0.17</v>
      </c>
      <c r="AI102" s="1">
        <v>13</v>
      </c>
      <c r="AJ102" s="1" t="s">
        <v>1553</v>
      </c>
      <c r="AK102" s="1">
        <v>2.8</v>
      </c>
      <c r="AL102" s="1">
        <v>87.441900000000004</v>
      </c>
      <c r="AM102" s="1" t="s">
        <v>1553</v>
      </c>
      <c r="AN102" s="1">
        <v>7.6555981373605402</v>
      </c>
      <c r="AO102" s="1">
        <v>1.1555619829978201</v>
      </c>
      <c r="AP102" s="1" t="s">
        <v>1554</v>
      </c>
      <c r="AQ102" s="1">
        <v>-1.1599999999999999</v>
      </c>
      <c r="AR102" s="1">
        <v>15.1</v>
      </c>
      <c r="AS102" s="1" t="s">
        <v>1557</v>
      </c>
      <c r="AT102" s="1">
        <v>5</v>
      </c>
    </row>
    <row r="103" spans="1:46">
      <c r="A103" s="1" t="s">
        <v>1558</v>
      </c>
      <c r="C103" s="1" t="s">
        <v>1558</v>
      </c>
      <c r="D103" s="1" t="s">
        <v>1559</v>
      </c>
      <c r="E103" s="1" t="s">
        <v>1466</v>
      </c>
      <c r="F103" s="1" t="s">
        <v>196</v>
      </c>
      <c r="G103" s="1" t="s">
        <v>49</v>
      </c>
      <c r="H103" s="2" t="s">
        <v>1560</v>
      </c>
      <c r="I103" s="1">
        <v>9</v>
      </c>
      <c r="J103" s="1">
        <v>3</v>
      </c>
      <c r="L103" s="1" t="s">
        <v>65</v>
      </c>
      <c r="M103" s="1">
        <v>10.631</v>
      </c>
      <c r="N103" s="1">
        <v>53</v>
      </c>
      <c r="O103" s="1">
        <v>69.033159999999995</v>
      </c>
      <c r="P103" s="1">
        <v>-168.89243999999999</v>
      </c>
      <c r="Q103" s="1">
        <v>7.2626499999999998</v>
      </c>
      <c r="R103" s="1">
        <v>32.249749999999999</v>
      </c>
      <c r="S103" s="1">
        <v>348.47300000000001</v>
      </c>
      <c r="T103" s="1">
        <v>229.67241369999999</v>
      </c>
      <c r="U103" s="1">
        <v>30.458866530000002</v>
      </c>
      <c r="V103" s="1">
        <v>3442.8571430000002</v>
      </c>
      <c r="W103" s="3">
        <v>3.4279999999999999</v>
      </c>
      <c r="X103" s="1" t="s">
        <v>1561</v>
      </c>
      <c r="Y103" s="1">
        <v>8.16</v>
      </c>
      <c r="AA103" s="1">
        <v>0.54</v>
      </c>
      <c r="AB103" s="1">
        <v>4.16</v>
      </c>
      <c r="AE103" s="1">
        <v>0.23</v>
      </c>
      <c r="AF103" s="1">
        <v>0.13</v>
      </c>
      <c r="AI103" s="1">
        <v>12</v>
      </c>
      <c r="AJ103" s="1" t="s">
        <v>1562</v>
      </c>
      <c r="AK103" s="1">
        <v>2.8</v>
      </c>
      <c r="AL103" s="1">
        <v>87.201999999999998</v>
      </c>
      <c r="AM103" s="1" t="s">
        <v>1561</v>
      </c>
      <c r="AN103" s="1">
        <v>7.5404123614970198</v>
      </c>
      <c r="AO103" s="1">
        <v>1.1381754507920001</v>
      </c>
      <c r="AP103" s="1" t="s">
        <v>1563</v>
      </c>
      <c r="AR103" s="1">
        <v>15.1</v>
      </c>
      <c r="AT103" s="1">
        <v>11</v>
      </c>
    </row>
    <row r="104" spans="1:46">
      <c r="A104" s="1" t="s">
        <v>1564</v>
      </c>
      <c r="C104" s="1" t="s">
        <v>1564</v>
      </c>
      <c r="D104" s="1" t="s">
        <v>1565</v>
      </c>
      <c r="E104" s="1" t="s">
        <v>1466</v>
      </c>
      <c r="F104" s="1" t="s">
        <v>196</v>
      </c>
      <c r="G104" s="1" t="s">
        <v>49</v>
      </c>
      <c r="H104" s="2" t="s">
        <v>1560</v>
      </c>
      <c r="I104" s="1">
        <v>9</v>
      </c>
      <c r="J104" s="1">
        <v>20</v>
      </c>
      <c r="L104" s="1" t="s">
        <v>65</v>
      </c>
      <c r="M104" s="1">
        <v>10.631</v>
      </c>
      <c r="N104" s="1">
        <v>53</v>
      </c>
      <c r="O104" s="1">
        <v>69.033159999999995</v>
      </c>
      <c r="P104" s="1">
        <v>-168.89243999999999</v>
      </c>
      <c r="Q104" s="1">
        <v>7.2626499999999998</v>
      </c>
      <c r="R104" s="1">
        <v>32.249749999999999</v>
      </c>
      <c r="S104" s="1">
        <v>348.47300000000001</v>
      </c>
      <c r="T104" s="1">
        <v>229.67241369999999</v>
      </c>
      <c r="U104" s="1">
        <v>30.458866530000002</v>
      </c>
      <c r="V104" s="1">
        <v>3442.8571430000002</v>
      </c>
      <c r="W104" s="3">
        <v>3.4279999999999999</v>
      </c>
      <c r="X104" s="1" t="s">
        <v>1561</v>
      </c>
      <c r="Y104" s="1">
        <v>8.16</v>
      </c>
      <c r="AA104" s="1">
        <v>0.54</v>
      </c>
      <c r="AB104" s="1">
        <v>4.16</v>
      </c>
      <c r="AE104" s="1">
        <v>0.23</v>
      </c>
      <c r="AF104" s="1">
        <v>0.13</v>
      </c>
      <c r="AI104" s="1">
        <v>12</v>
      </c>
      <c r="AJ104" s="1" t="s">
        <v>1562</v>
      </c>
      <c r="AK104" s="1">
        <v>2.8</v>
      </c>
      <c r="AL104" s="1">
        <v>87.201999999999998</v>
      </c>
      <c r="AM104" s="1" t="s">
        <v>1561</v>
      </c>
      <c r="AN104" s="1">
        <v>7.5404123614970198</v>
      </c>
      <c r="AO104" s="1">
        <v>1.1381754507920001</v>
      </c>
      <c r="AP104" s="1" t="s">
        <v>1563</v>
      </c>
      <c r="AR104" s="1">
        <v>15.1</v>
      </c>
      <c r="AT104" s="1">
        <v>11</v>
      </c>
    </row>
    <row r="105" spans="1:46">
      <c r="A105" s="1" t="s">
        <v>1566</v>
      </c>
      <c r="C105" s="1" t="s">
        <v>1566</v>
      </c>
      <c r="D105" s="1" t="s">
        <v>1567</v>
      </c>
      <c r="E105" s="1" t="s">
        <v>1466</v>
      </c>
      <c r="F105" s="1" t="s">
        <v>196</v>
      </c>
      <c r="G105" s="1" t="s">
        <v>49</v>
      </c>
      <c r="H105" s="2" t="s">
        <v>1568</v>
      </c>
      <c r="I105" s="1">
        <v>9</v>
      </c>
      <c r="J105" s="1">
        <v>3</v>
      </c>
      <c r="K105" s="1" t="s">
        <v>1488</v>
      </c>
      <c r="L105" s="1" t="s">
        <v>65</v>
      </c>
      <c r="M105" s="1">
        <v>14.382999999999999</v>
      </c>
      <c r="N105" s="1">
        <v>53</v>
      </c>
      <c r="O105" s="1">
        <v>69.033450000000002</v>
      </c>
      <c r="P105" s="1">
        <v>-168.89275000000001</v>
      </c>
      <c r="Q105" s="1">
        <v>6.4493499999999999</v>
      </c>
      <c r="R105" s="1">
        <v>32.292749999999998</v>
      </c>
      <c r="S105" s="1">
        <v>312.83100000000002</v>
      </c>
      <c r="T105" s="1">
        <v>228.021581</v>
      </c>
      <c r="U105" s="1">
        <v>34.45570206</v>
      </c>
      <c r="V105" s="1">
        <v>5783.3333329999996</v>
      </c>
      <c r="W105" s="3">
        <v>2.677</v>
      </c>
      <c r="X105" s="1" t="s">
        <v>1569</v>
      </c>
      <c r="AI105" s="1">
        <v>9</v>
      </c>
      <c r="AJ105" s="1" t="s">
        <v>1569</v>
      </c>
      <c r="AK105" s="1">
        <v>2.8</v>
      </c>
      <c r="AL105" s="1">
        <v>87.609399999999994</v>
      </c>
      <c r="AM105" s="1" t="s">
        <v>1569</v>
      </c>
      <c r="AN105" s="1">
        <v>6.61781845579379</v>
      </c>
      <c r="AO105" s="1">
        <v>0.99891599332736403</v>
      </c>
      <c r="AP105" s="1" t="s">
        <v>1570</v>
      </c>
      <c r="AR105" s="1">
        <v>15.1</v>
      </c>
      <c r="AT105" s="1">
        <v>14</v>
      </c>
    </row>
    <row r="106" spans="1:46">
      <c r="A106" s="1" t="s">
        <v>1571</v>
      </c>
      <c r="C106" s="1" t="s">
        <v>1571</v>
      </c>
      <c r="D106" s="1" t="s">
        <v>1572</v>
      </c>
      <c r="E106" s="1" t="s">
        <v>1466</v>
      </c>
      <c r="F106" s="1" t="s">
        <v>196</v>
      </c>
      <c r="G106" s="1" t="s">
        <v>49</v>
      </c>
      <c r="H106" s="2" t="s">
        <v>1568</v>
      </c>
      <c r="I106" s="1">
        <v>9</v>
      </c>
      <c r="J106" s="1">
        <v>20</v>
      </c>
      <c r="K106" s="1" t="s">
        <v>1488</v>
      </c>
      <c r="L106" s="1" t="s">
        <v>65</v>
      </c>
      <c r="M106" s="1">
        <v>14.382999999999999</v>
      </c>
      <c r="N106" s="1">
        <v>53</v>
      </c>
      <c r="O106" s="1">
        <v>69.033450000000002</v>
      </c>
      <c r="P106" s="1">
        <v>-168.89275000000001</v>
      </c>
      <c r="Q106" s="1">
        <v>6.4493499999999999</v>
      </c>
      <c r="R106" s="1">
        <v>32.292749999999998</v>
      </c>
      <c r="S106" s="1">
        <v>312.83100000000002</v>
      </c>
      <c r="T106" s="1">
        <v>228.021581</v>
      </c>
      <c r="U106" s="1">
        <v>34.45570206</v>
      </c>
      <c r="V106" s="1">
        <v>5783.3333329999996</v>
      </c>
      <c r="W106" s="3">
        <v>2.677</v>
      </c>
      <c r="X106" s="1" t="s">
        <v>1569</v>
      </c>
      <c r="AI106" s="1">
        <v>9</v>
      </c>
      <c r="AJ106" s="1" t="s">
        <v>1569</v>
      </c>
      <c r="AK106" s="1">
        <v>2.8</v>
      </c>
      <c r="AL106" s="1">
        <v>87.609399999999994</v>
      </c>
      <c r="AM106" s="1" t="s">
        <v>1569</v>
      </c>
      <c r="AN106" s="1">
        <v>6.61781845579379</v>
      </c>
      <c r="AO106" s="1">
        <v>0.99891599332736403</v>
      </c>
      <c r="AP106" s="1" t="s">
        <v>1570</v>
      </c>
      <c r="AR106" s="1">
        <v>15.1</v>
      </c>
      <c r="AT106" s="1">
        <v>14</v>
      </c>
    </row>
    <row r="107" spans="1:46">
      <c r="A107" s="1" t="s">
        <v>208</v>
      </c>
      <c r="B107" s="1">
        <v>87</v>
      </c>
      <c r="C107" s="1" t="s">
        <v>208</v>
      </c>
      <c r="D107" s="1" t="s">
        <v>209</v>
      </c>
      <c r="E107" s="1" t="s">
        <v>47</v>
      </c>
      <c r="F107" s="1" t="s">
        <v>196</v>
      </c>
      <c r="G107" s="1" t="s">
        <v>49</v>
      </c>
      <c r="H107" s="2" t="s">
        <v>197</v>
      </c>
      <c r="I107" s="1">
        <v>58</v>
      </c>
      <c r="J107" s="1">
        <v>0.2</v>
      </c>
      <c r="K107" s="1" t="s">
        <v>210</v>
      </c>
      <c r="L107" s="1" t="s">
        <v>65</v>
      </c>
      <c r="M107" s="1">
        <v>17.64</v>
      </c>
      <c r="N107" s="1">
        <v>53</v>
      </c>
      <c r="O107" s="1">
        <v>69.035219999999995</v>
      </c>
      <c r="P107" s="1">
        <v>-168.90006</v>
      </c>
      <c r="Q107" s="1">
        <v>3.0074999999999998</v>
      </c>
      <c r="R107" s="1">
        <v>32.707500000000003</v>
      </c>
      <c r="S107" s="1">
        <v>357.35599999999999</v>
      </c>
      <c r="W107" s="3">
        <v>0.2185</v>
      </c>
      <c r="X107" s="1" t="s">
        <v>211</v>
      </c>
      <c r="Y107" s="1">
        <v>0.46</v>
      </c>
      <c r="Z107" s="1">
        <v>0.73</v>
      </c>
      <c r="AA107" s="1">
        <v>1.0549999999999999</v>
      </c>
      <c r="AB107" s="1">
        <v>3.8</v>
      </c>
      <c r="AC107" s="1">
        <v>2.6</v>
      </c>
      <c r="AD107" s="1">
        <v>0.09</v>
      </c>
      <c r="AE107" s="1">
        <v>3.72</v>
      </c>
      <c r="AF107" s="1">
        <v>2.69</v>
      </c>
      <c r="AH107" s="1" t="s">
        <v>212</v>
      </c>
      <c r="AI107" s="1">
        <v>14</v>
      </c>
      <c r="AJ107" s="1" t="s">
        <v>213</v>
      </c>
      <c r="AK107" s="1">
        <v>9</v>
      </c>
      <c r="AL107" s="1">
        <v>81.267799999999994</v>
      </c>
      <c r="AM107" s="1" t="s">
        <v>211</v>
      </c>
      <c r="AS107" s="1" t="s">
        <v>201</v>
      </c>
    </row>
    <row r="108" spans="1:46">
      <c r="A108" s="1" t="s">
        <v>214</v>
      </c>
      <c r="B108" s="1">
        <v>90</v>
      </c>
      <c r="C108" s="1" t="s">
        <v>214</v>
      </c>
      <c r="D108" s="1" t="s">
        <v>215</v>
      </c>
      <c r="E108" s="1" t="s">
        <v>47</v>
      </c>
      <c r="F108" s="1" t="s">
        <v>196</v>
      </c>
      <c r="G108" s="1" t="s">
        <v>49</v>
      </c>
      <c r="H108" s="2" t="s">
        <v>197</v>
      </c>
      <c r="I108" s="1">
        <v>58</v>
      </c>
      <c r="J108" s="1">
        <v>3</v>
      </c>
      <c r="K108" s="1" t="s">
        <v>210</v>
      </c>
      <c r="L108" s="1" t="s">
        <v>65</v>
      </c>
      <c r="M108" s="1">
        <v>17.64</v>
      </c>
      <c r="N108" s="1">
        <v>53</v>
      </c>
      <c r="O108" s="1">
        <v>69.035219999999995</v>
      </c>
      <c r="P108" s="1">
        <v>-168.90006</v>
      </c>
      <c r="Q108" s="1">
        <v>3.0074999999999998</v>
      </c>
      <c r="R108" s="1">
        <v>32.707500000000003</v>
      </c>
      <c r="S108" s="1">
        <v>357.35599999999999</v>
      </c>
      <c r="W108" s="3">
        <v>0.2185</v>
      </c>
      <c r="X108" s="1" t="s">
        <v>211</v>
      </c>
      <c r="Y108" s="1">
        <v>0.46</v>
      </c>
      <c r="Z108" s="1">
        <v>0.73</v>
      </c>
      <c r="AA108" s="1">
        <v>1.0549999999999999</v>
      </c>
      <c r="AB108" s="1">
        <v>3.8</v>
      </c>
      <c r="AC108" s="1">
        <v>2.6</v>
      </c>
      <c r="AD108" s="1">
        <v>0.09</v>
      </c>
      <c r="AE108" s="1">
        <v>3.72</v>
      </c>
      <c r="AF108" s="1">
        <v>2.69</v>
      </c>
      <c r="AH108" s="1" t="s">
        <v>216</v>
      </c>
      <c r="AI108" s="1">
        <v>14</v>
      </c>
      <c r="AJ108" s="1" t="s">
        <v>213</v>
      </c>
      <c r="AK108" s="1">
        <v>9</v>
      </c>
      <c r="AL108" s="1">
        <v>81.267799999999994</v>
      </c>
      <c r="AM108" s="1" t="s">
        <v>211</v>
      </c>
      <c r="AS108" s="1" t="s">
        <v>217</v>
      </c>
    </row>
    <row r="109" spans="1:46">
      <c r="A109" s="1" t="s">
        <v>218</v>
      </c>
      <c r="B109" s="1">
        <v>93</v>
      </c>
      <c r="C109" s="1" t="s">
        <v>218</v>
      </c>
      <c r="D109" s="1" t="s">
        <v>219</v>
      </c>
      <c r="E109" s="1" t="s">
        <v>47</v>
      </c>
      <c r="F109" s="1" t="s">
        <v>196</v>
      </c>
      <c r="G109" s="1" t="s">
        <v>49</v>
      </c>
      <c r="H109" s="2" t="s">
        <v>197</v>
      </c>
      <c r="I109" s="1">
        <v>58</v>
      </c>
      <c r="J109" s="1">
        <v>20</v>
      </c>
      <c r="K109" s="1" t="s">
        <v>210</v>
      </c>
      <c r="L109" s="1" t="s">
        <v>65</v>
      </c>
      <c r="M109" s="1">
        <v>17.64</v>
      </c>
      <c r="N109" s="1">
        <v>53</v>
      </c>
      <c r="O109" s="1">
        <v>69.035219999999995</v>
      </c>
      <c r="P109" s="1">
        <v>-168.90006</v>
      </c>
      <c r="Q109" s="1">
        <v>3.0074999999999998</v>
      </c>
      <c r="R109" s="1">
        <v>32.707500000000003</v>
      </c>
      <c r="S109" s="1">
        <v>357.35599999999999</v>
      </c>
      <c r="W109" s="3">
        <v>0.2185</v>
      </c>
      <c r="X109" s="1" t="s">
        <v>211</v>
      </c>
      <c r="Y109" s="1">
        <v>0.46</v>
      </c>
      <c r="Z109" s="1">
        <v>0.73</v>
      </c>
      <c r="AA109" s="1">
        <v>1.0549999999999999</v>
      </c>
      <c r="AB109" s="1">
        <v>3.8</v>
      </c>
      <c r="AC109" s="1">
        <v>2.6</v>
      </c>
      <c r="AD109" s="1">
        <v>0.09</v>
      </c>
      <c r="AE109" s="1">
        <v>3.72</v>
      </c>
      <c r="AF109" s="1">
        <v>2.69</v>
      </c>
      <c r="AH109" s="1" t="s">
        <v>220</v>
      </c>
      <c r="AI109" s="1">
        <v>14</v>
      </c>
      <c r="AJ109" s="1" t="s">
        <v>213</v>
      </c>
      <c r="AK109" s="1">
        <v>9</v>
      </c>
      <c r="AL109" s="1">
        <v>81.267799999999994</v>
      </c>
      <c r="AM109" s="1" t="s">
        <v>211</v>
      </c>
    </row>
    <row r="110" spans="1:46">
      <c r="A110" s="1" t="s">
        <v>1573</v>
      </c>
      <c r="C110" s="1" t="s">
        <v>1573</v>
      </c>
      <c r="D110" s="1" t="s">
        <v>1574</v>
      </c>
      <c r="E110" s="1" t="s">
        <v>1466</v>
      </c>
      <c r="F110" s="1" t="s">
        <v>196</v>
      </c>
      <c r="G110" s="1" t="s">
        <v>49</v>
      </c>
      <c r="H110" s="2" t="s">
        <v>1575</v>
      </c>
      <c r="I110" s="1">
        <v>9</v>
      </c>
      <c r="J110" s="1">
        <v>3</v>
      </c>
      <c r="L110" s="1" t="s">
        <v>65</v>
      </c>
      <c r="M110" s="1">
        <v>20.681999999999999</v>
      </c>
      <c r="N110" s="1">
        <v>53</v>
      </c>
      <c r="O110" s="1">
        <v>69.033519999999996</v>
      </c>
      <c r="P110" s="1">
        <v>-168.89279999999999</v>
      </c>
      <c r="Q110" s="1">
        <v>5.3671499999999996</v>
      </c>
      <c r="R110" s="1">
        <v>32.2273</v>
      </c>
      <c r="S110" s="1">
        <v>291.02</v>
      </c>
      <c r="T110" s="1">
        <v>111.5121977</v>
      </c>
      <c r="U110" s="1">
        <v>16.69003785</v>
      </c>
      <c r="W110" s="3">
        <v>1.853</v>
      </c>
      <c r="X110" s="1" t="s">
        <v>1576</v>
      </c>
      <c r="Y110" s="1">
        <v>3.52</v>
      </c>
      <c r="AA110" s="1">
        <v>0.68</v>
      </c>
      <c r="AB110" s="1">
        <v>6.99</v>
      </c>
      <c r="AE110" s="1">
        <v>0.28999999999999998</v>
      </c>
      <c r="AF110" s="1">
        <v>0.36</v>
      </c>
      <c r="AI110" s="1">
        <v>7</v>
      </c>
      <c r="AJ110" s="1" t="s">
        <v>1576</v>
      </c>
      <c r="AK110" s="1">
        <v>2.8</v>
      </c>
      <c r="AL110" s="1">
        <v>87.462000000000003</v>
      </c>
      <c r="AM110" s="1" t="s">
        <v>1576</v>
      </c>
      <c r="AN110" s="1">
        <v>6.6813627807321003</v>
      </c>
      <c r="AO110" s="1">
        <v>1.00850758954447</v>
      </c>
      <c r="AP110" s="1" t="s">
        <v>1577</v>
      </c>
      <c r="AR110" s="1">
        <v>15.1</v>
      </c>
      <c r="AT110" s="1">
        <v>21</v>
      </c>
    </row>
    <row r="111" spans="1:46">
      <c r="A111" s="1" t="s">
        <v>1578</v>
      </c>
      <c r="C111" s="1" t="s">
        <v>1578</v>
      </c>
      <c r="D111" s="1" t="s">
        <v>1579</v>
      </c>
      <c r="E111" s="1" t="s">
        <v>1466</v>
      </c>
      <c r="F111" s="1" t="s">
        <v>196</v>
      </c>
      <c r="G111" s="1" t="s">
        <v>49</v>
      </c>
      <c r="H111" s="2" t="s">
        <v>1575</v>
      </c>
      <c r="I111" s="1">
        <v>9</v>
      </c>
      <c r="J111" s="1">
        <v>20</v>
      </c>
      <c r="L111" s="1" t="s">
        <v>65</v>
      </c>
      <c r="M111" s="1">
        <v>20.681999999999999</v>
      </c>
      <c r="N111" s="1">
        <v>53</v>
      </c>
      <c r="O111" s="1">
        <v>69.033519999999996</v>
      </c>
      <c r="P111" s="1">
        <v>-168.89279999999999</v>
      </c>
      <c r="Q111" s="1">
        <v>5.3671499999999996</v>
      </c>
      <c r="R111" s="1">
        <v>32.2273</v>
      </c>
      <c r="S111" s="1">
        <v>291.02</v>
      </c>
      <c r="T111" s="1">
        <v>111.5121977</v>
      </c>
      <c r="U111" s="1">
        <v>16.69003785</v>
      </c>
      <c r="W111" s="3">
        <v>1.853</v>
      </c>
      <c r="X111" s="1" t="s">
        <v>1576</v>
      </c>
      <c r="Y111" s="1">
        <v>3.52</v>
      </c>
      <c r="AA111" s="1">
        <v>0.68</v>
      </c>
      <c r="AB111" s="1">
        <v>6.99</v>
      </c>
      <c r="AE111" s="1">
        <v>0.28999999999999998</v>
      </c>
      <c r="AF111" s="1">
        <v>0.36</v>
      </c>
      <c r="AI111" s="1">
        <v>7</v>
      </c>
      <c r="AJ111" s="1" t="s">
        <v>1576</v>
      </c>
      <c r="AK111" s="1">
        <v>2.8</v>
      </c>
      <c r="AL111" s="1">
        <v>87.462000000000003</v>
      </c>
      <c r="AM111" s="1" t="s">
        <v>1576</v>
      </c>
      <c r="AN111" s="1">
        <v>6.6813627807321003</v>
      </c>
      <c r="AO111" s="1">
        <v>1.00850758954447</v>
      </c>
      <c r="AP111" s="1" t="s">
        <v>1577</v>
      </c>
      <c r="AR111" s="1">
        <v>15.1</v>
      </c>
      <c r="AT111" s="1">
        <v>21</v>
      </c>
    </row>
    <row r="112" spans="1:46">
      <c r="A112" s="1" t="s">
        <v>1580</v>
      </c>
      <c r="C112" s="1" t="s">
        <v>1580</v>
      </c>
      <c r="D112" s="1" t="s">
        <v>1581</v>
      </c>
      <c r="E112" s="1" t="s">
        <v>1466</v>
      </c>
      <c r="F112" s="1" t="s">
        <v>196</v>
      </c>
      <c r="G112" s="1" t="s">
        <v>49</v>
      </c>
      <c r="H112" s="2" t="s">
        <v>1582</v>
      </c>
      <c r="I112" s="1">
        <v>9</v>
      </c>
      <c r="J112" s="1">
        <v>3</v>
      </c>
      <c r="L112" s="1" t="s">
        <v>65</v>
      </c>
      <c r="M112" s="1">
        <v>29.792000000000002</v>
      </c>
      <c r="N112" s="1">
        <v>53</v>
      </c>
      <c r="O112" s="1">
        <v>69.033519999999996</v>
      </c>
      <c r="P112" s="1">
        <v>-168.89284000000001</v>
      </c>
      <c r="Q112" s="1">
        <v>5.1054000000000004</v>
      </c>
      <c r="R112" s="1">
        <v>32.259099999999997</v>
      </c>
      <c r="S112" s="1">
        <v>285.30849999999998</v>
      </c>
      <c r="T112" s="1">
        <v>113.9280454</v>
      </c>
      <c r="U112" s="1">
        <v>18.578590380000001</v>
      </c>
      <c r="V112" s="1">
        <v>3080</v>
      </c>
      <c r="W112" s="3">
        <v>0.997</v>
      </c>
      <c r="X112" s="1" t="s">
        <v>1583</v>
      </c>
      <c r="Y112" s="1">
        <v>1.33</v>
      </c>
      <c r="AA112" s="1">
        <v>0.74</v>
      </c>
      <c r="AB112" s="1">
        <v>6.22</v>
      </c>
      <c r="AE112" s="1">
        <v>0.27</v>
      </c>
      <c r="AF112" s="1">
        <v>0.21</v>
      </c>
      <c r="AI112" s="1">
        <v>5</v>
      </c>
      <c r="AJ112" s="1" t="s">
        <v>1583</v>
      </c>
      <c r="AK112" s="1">
        <v>2.8</v>
      </c>
      <c r="AL112" s="1">
        <v>88.183800000000005</v>
      </c>
      <c r="AM112" s="1" t="s">
        <v>1583</v>
      </c>
      <c r="AN112" s="1">
        <v>6.1322222552817802</v>
      </c>
      <c r="AO112" s="1">
        <v>0.925618453627438</v>
      </c>
      <c r="AP112" s="1" t="s">
        <v>1584</v>
      </c>
      <c r="AR112" s="1">
        <v>15.1</v>
      </c>
      <c r="AT112" s="1">
        <v>30</v>
      </c>
    </row>
    <row r="113" spans="1:46">
      <c r="A113" s="1" t="s">
        <v>1585</v>
      </c>
      <c r="C113" s="1" t="s">
        <v>1585</v>
      </c>
      <c r="D113" s="1" t="s">
        <v>1586</v>
      </c>
      <c r="E113" s="1" t="s">
        <v>1466</v>
      </c>
      <c r="F113" s="1" t="s">
        <v>196</v>
      </c>
      <c r="G113" s="1" t="s">
        <v>49</v>
      </c>
      <c r="H113" s="2" t="s">
        <v>1582</v>
      </c>
      <c r="I113" s="1">
        <v>9</v>
      </c>
      <c r="J113" s="1">
        <v>20</v>
      </c>
      <c r="L113" s="1" t="s">
        <v>65</v>
      </c>
      <c r="M113" s="1">
        <v>29.792000000000002</v>
      </c>
      <c r="N113" s="1">
        <v>53</v>
      </c>
      <c r="O113" s="1">
        <v>69.033519999999996</v>
      </c>
      <c r="P113" s="1">
        <v>-168.89284000000001</v>
      </c>
      <c r="Q113" s="1">
        <v>5.1054000000000004</v>
      </c>
      <c r="R113" s="1">
        <v>32.259099999999997</v>
      </c>
      <c r="S113" s="1">
        <v>285.30849999999998</v>
      </c>
      <c r="T113" s="1">
        <v>113.9280454</v>
      </c>
      <c r="U113" s="1">
        <v>18.578590380000001</v>
      </c>
      <c r="V113" s="1">
        <v>3080</v>
      </c>
      <c r="W113" s="3">
        <v>0.997</v>
      </c>
      <c r="X113" s="1" t="s">
        <v>1583</v>
      </c>
      <c r="Y113" s="1">
        <v>1.33</v>
      </c>
      <c r="AA113" s="1">
        <v>0.74</v>
      </c>
      <c r="AB113" s="1">
        <v>6.22</v>
      </c>
      <c r="AE113" s="1">
        <v>0.27</v>
      </c>
      <c r="AF113" s="1">
        <v>0.21</v>
      </c>
      <c r="AI113" s="1">
        <v>5</v>
      </c>
      <c r="AJ113" s="1" t="s">
        <v>1583</v>
      </c>
      <c r="AK113" s="1">
        <v>2.8</v>
      </c>
      <c r="AL113" s="1">
        <v>88.183800000000005</v>
      </c>
      <c r="AM113" s="1" t="s">
        <v>1583</v>
      </c>
      <c r="AN113" s="1">
        <v>6.1322222552817802</v>
      </c>
      <c r="AO113" s="1">
        <v>0.925618453627438</v>
      </c>
      <c r="AP113" s="1" t="s">
        <v>1584</v>
      </c>
      <c r="AR113" s="1">
        <v>15.1</v>
      </c>
      <c r="AT113" s="1">
        <v>30</v>
      </c>
    </row>
    <row r="114" spans="1:46">
      <c r="A114" s="1" t="s">
        <v>1587</v>
      </c>
      <c r="C114" s="1" t="s">
        <v>1587</v>
      </c>
      <c r="D114" s="1" t="s">
        <v>1588</v>
      </c>
      <c r="E114" s="1" t="s">
        <v>1466</v>
      </c>
      <c r="F114" s="1" t="s">
        <v>196</v>
      </c>
      <c r="G114" s="1" t="s">
        <v>49</v>
      </c>
      <c r="H114" s="2" t="s">
        <v>1589</v>
      </c>
      <c r="I114" s="1">
        <v>9</v>
      </c>
      <c r="J114" s="1">
        <v>3</v>
      </c>
      <c r="L114" s="1" t="s">
        <v>65</v>
      </c>
      <c r="M114" s="1">
        <v>40.848999999999997</v>
      </c>
      <c r="N114" s="1">
        <v>53</v>
      </c>
      <c r="O114" s="1">
        <v>69.033500000000004</v>
      </c>
      <c r="P114" s="1">
        <v>-168.89277999999999</v>
      </c>
      <c r="Q114" s="1">
        <v>4.5771499999999996</v>
      </c>
      <c r="R114" s="1">
        <v>32.279249999999998</v>
      </c>
      <c r="S114" s="1">
        <v>266.39</v>
      </c>
      <c r="T114" s="1">
        <v>139.9368054</v>
      </c>
      <c r="U114" s="1">
        <v>19.997415700000001</v>
      </c>
      <c r="V114" s="1">
        <v>2216.666667</v>
      </c>
      <c r="W114" s="3">
        <v>0.9</v>
      </c>
      <c r="X114" s="1" t="s">
        <v>1590</v>
      </c>
      <c r="Y114" s="1">
        <v>1.26</v>
      </c>
      <c r="AA114" s="1">
        <v>0.84</v>
      </c>
      <c r="AB114" s="1">
        <v>12.7</v>
      </c>
      <c r="AE114" s="1">
        <v>0.18</v>
      </c>
      <c r="AF114" s="1">
        <v>0.22</v>
      </c>
      <c r="AI114" s="1">
        <v>3</v>
      </c>
      <c r="AJ114" s="1" t="s">
        <v>1590</v>
      </c>
      <c r="AK114" s="1">
        <v>2.8</v>
      </c>
      <c r="AL114" s="1">
        <v>85.663799999999995</v>
      </c>
      <c r="AM114" s="1" t="s">
        <v>1590</v>
      </c>
      <c r="AN114" s="1">
        <v>6.9977444835534399</v>
      </c>
      <c r="AO114" s="1">
        <v>1.0562633182722201</v>
      </c>
      <c r="AP114" s="1" t="s">
        <v>1591</v>
      </c>
      <c r="AR114" s="1">
        <v>15.1</v>
      </c>
      <c r="AT114" s="1">
        <v>41</v>
      </c>
    </row>
    <row r="115" spans="1:46">
      <c r="A115" s="1" t="s">
        <v>1592</v>
      </c>
      <c r="C115" s="1" t="s">
        <v>1592</v>
      </c>
      <c r="D115" s="1" t="s">
        <v>1593</v>
      </c>
      <c r="E115" s="1" t="s">
        <v>1466</v>
      </c>
      <c r="F115" s="1" t="s">
        <v>196</v>
      </c>
      <c r="G115" s="1" t="s">
        <v>49</v>
      </c>
      <c r="H115" s="2" t="s">
        <v>1589</v>
      </c>
      <c r="I115" s="1">
        <v>9</v>
      </c>
      <c r="J115" s="1">
        <v>20</v>
      </c>
      <c r="L115" s="1" t="s">
        <v>65</v>
      </c>
      <c r="M115" s="1">
        <v>40.848999999999997</v>
      </c>
      <c r="N115" s="1">
        <v>53</v>
      </c>
      <c r="O115" s="1">
        <v>69.033500000000004</v>
      </c>
      <c r="P115" s="1">
        <v>-168.89277999999999</v>
      </c>
      <c r="Q115" s="1">
        <v>4.5771499999999996</v>
      </c>
      <c r="R115" s="1">
        <v>32.279249999999998</v>
      </c>
      <c r="S115" s="1">
        <v>266.39</v>
      </c>
      <c r="T115" s="1">
        <v>139.9368054</v>
      </c>
      <c r="U115" s="1">
        <v>19.997415700000001</v>
      </c>
      <c r="V115" s="1">
        <v>2216.666667</v>
      </c>
      <c r="W115" s="3">
        <v>0.9</v>
      </c>
      <c r="X115" s="1" t="s">
        <v>1590</v>
      </c>
      <c r="Y115" s="1">
        <v>1.26</v>
      </c>
      <c r="AA115" s="1">
        <v>0.84</v>
      </c>
      <c r="AB115" s="1">
        <v>12.7</v>
      </c>
      <c r="AE115" s="1">
        <v>0.18</v>
      </c>
      <c r="AF115" s="1">
        <v>0.22</v>
      </c>
      <c r="AI115" s="1">
        <v>3</v>
      </c>
      <c r="AJ115" s="1" t="s">
        <v>1590</v>
      </c>
      <c r="AK115" s="1">
        <v>2.8</v>
      </c>
      <c r="AL115" s="1">
        <v>85.663799999999995</v>
      </c>
      <c r="AM115" s="1" t="s">
        <v>1590</v>
      </c>
      <c r="AN115" s="1">
        <v>6.9977444835534399</v>
      </c>
      <c r="AO115" s="1">
        <v>1.0562633182722201</v>
      </c>
      <c r="AP115" s="1" t="s">
        <v>1591</v>
      </c>
      <c r="AR115" s="1">
        <v>15.1</v>
      </c>
      <c r="AT115" s="1">
        <v>41</v>
      </c>
    </row>
    <row r="116" spans="1:46">
      <c r="A116" s="1" t="s">
        <v>221</v>
      </c>
      <c r="B116" s="1">
        <v>88</v>
      </c>
      <c r="C116" s="1" t="s">
        <v>221</v>
      </c>
      <c r="D116" s="1" t="s">
        <v>222</v>
      </c>
      <c r="E116" s="1" t="s">
        <v>47</v>
      </c>
      <c r="F116" s="1" t="s">
        <v>196</v>
      </c>
      <c r="G116" s="1" t="s">
        <v>49</v>
      </c>
      <c r="H116" s="2" t="s">
        <v>197</v>
      </c>
      <c r="I116" s="1">
        <v>58</v>
      </c>
      <c r="J116" s="1">
        <v>0.2</v>
      </c>
      <c r="K116" s="1" t="s">
        <v>150</v>
      </c>
      <c r="L116" s="1" t="s">
        <v>78</v>
      </c>
      <c r="M116" s="1">
        <v>46.55</v>
      </c>
      <c r="N116" s="1">
        <v>53</v>
      </c>
      <c r="O116" s="1">
        <v>69.034639999999996</v>
      </c>
      <c r="P116" s="1">
        <v>-168.89721</v>
      </c>
      <c r="Q116" s="1">
        <v>2.4340000000000002</v>
      </c>
      <c r="R116" s="1">
        <v>32.724499999999999</v>
      </c>
      <c r="S116" s="1">
        <v>349.45299999999997</v>
      </c>
      <c r="T116" s="1">
        <v>212.64</v>
      </c>
      <c r="U116" s="1">
        <v>37.72</v>
      </c>
      <c r="V116" s="1">
        <v>3540</v>
      </c>
      <c r="W116" s="3">
        <v>0.68369999999999997</v>
      </c>
      <c r="X116" s="1" t="s">
        <v>223</v>
      </c>
      <c r="Y116" s="1">
        <v>1.72</v>
      </c>
      <c r="Z116" s="1">
        <v>1.1000000000000001</v>
      </c>
      <c r="AA116" s="1">
        <v>1.163</v>
      </c>
      <c r="AB116" s="1">
        <v>4.5</v>
      </c>
      <c r="AC116" s="1">
        <v>3.3</v>
      </c>
      <c r="AD116" s="1">
        <v>0.11</v>
      </c>
      <c r="AE116" s="1">
        <v>4.42</v>
      </c>
      <c r="AF116" s="1">
        <v>3.41</v>
      </c>
      <c r="AH116" s="1" t="s">
        <v>224</v>
      </c>
      <c r="AI116" s="1">
        <v>3</v>
      </c>
      <c r="AJ116" s="1" t="s">
        <v>225</v>
      </c>
      <c r="AK116" s="1">
        <v>9</v>
      </c>
      <c r="AL116" s="1">
        <v>71.596800000000002</v>
      </c>
      <c r="AM116" s="1" t="s">
        <v>223</v>
      </c>
      <c r="AN116" s="1">
        <v>5.6373276776246</v>
      </c>
      <c r="AO116" s="1">
        <v>0.85091738530182703</v>
      </c>
    </row>
    <row r="117" spans="1:46">
      <c r="A117" s="1" t="s">
        <v>226</v>
      </c>
      <c r="B117" s="1">
        <v>91</v>
      </c>
      <c r="C117" s="1" t="s">
        <v>226</v>
      </c>
      <c r="D117" s="1" t="s">
        <v>227</v>
      </c>
      <c r="E117" s="1" t="s">
        <v>47</v>
      </c>
      <c r="F117" s="1" t="s">
        <v>196</v>
      </c>
      <c r="G117" s="1" t="s">
        <v>49</v>
      </c>
      <c r="H117" s="2" t="s">
        <v>197</v>
      </c>
      <c r="I117" s="1">
        <v>58</v>
      </c>
      <c r="J117" s="1">
        <v>3</v>
      </c>
      <c r="K117" s="1" t="s">
        <v>150</v>
      </c>
      <c r="L117" s="1" t="s">
        <v>78</v>
      </c>
      <c r="M117" s="1">
        <v>46.55</v>
      </c>
      <c r="N117" s="1">
        <v>53</v>
      </c>
      <c r="O117" s="1">
        <v>69.034639999999996</v>
      </c>
      <c r="P117" s="1">
        <v>-168.89721</v>
      </c>
      <c r="Q117" s="1">
        <v>2.4340000000000002</v>
      </c>
      <c r="R117" s="1">
        <v>32.724499999999999</v>
      </c>
      <c r="S117" s="1">
        <v>349.45299999999997</v>
      </c>
      <c r="T117" s="1">
        <v>212.64</v>
      </c>
      <c r="U117" s="1">
        <v>37.72</v>
      </c>
      <c r="V117" s="1">
        <v>3540</v>
      </c>
      <c r="W117" s="3">
        <v>0.68369999999999997</v>
      </c>
      <c r="X117" s="1" t="s">
        <v>225</v>
      </c>
      <c r="AH117" s="1" t="s">
        <v>228</v>
      </c>
      <c r="AI117" s="1">
        <v>3</v>
      </c>
      <c r="AJ117" s="1" t="s">
        <v>225</v>
      </c>
      <c r="AK117" s="1">
        <v>9</v>
      </c>
      <c r="AL117" s="1">
        <v>71.596800000000002</v>
      </c>
      <c r="AM117" s="1" t="s">
        <v>225</v>
      </c>
      <c r="AN117" s="1">
        <v>5.6373276776246</v>
      </c>
      <c r="AO117" s="1">
        <v>0.85091738530182703</v>
      </c>
    </row>
    <row r="118" spans="1:46">
      <c r="A118" s="1" t="s">
        <v>229</v>
      </c>
      <c r="B118" s="1">
        <v>94</v>
      </c>
      <c r="C118" s="1" t="s">
        <v>229</v>
      </c>
      <c r="D118" s="1" t="s">
        <v>230</v>
      </c>
      <c r="E118" s="1" t="s">
        <v>47</v>
      </c>
      <c r="F118" s="1" t="s">
        <v>196</v>
      </c>
      <c r="G118" s="1" t="s">
        <v>49</v>
      </c>
      <c r="H118" s="2" t="s">
        <v>197</v>
      </c>
      <c r="I118" s="1">
        <v>58</v>
      </c>
      <c r="J118" s="1">
        <v>20</v>
      </c>
      <c r="K118" s="1" t="s">
        <v>150</v>
      </c>
      <c r="L118" s="1" t="s">
        <v>78</v>
      </c>
      <c r="M118" s="1">
        <v>46.55</v>
      </c>
      <c r="N118" s="1">
        <v>53</v>
      </c>
      <c r="O118" s="1">
        <v>69.034639999999996</v>
      </c>
      <c r="P118" s="1">
        <v>-168.89721</v>
      </c>
      <c r="Q118" s="1">
        <v>2.4340000000000002</v>
      </c>
      <c r="R118" s="1">
        <v>32.724499999999999</v>
      </c>
      <c r="S118" s="1">
        <v>349.45299999999997</v>
      </c>
      <c r="T118" s="1">
        <v>212.64</v>
      </c>
      <c r="U118" s="1">
        <v>37.72</v>
      </c>
      <c r="V118" s="1">
        <v>3540</v>
      </c>
      <c r="W118" s="3">
        <v>0.68369999999999997</v>
      </c>
      <c r="X118" s="1" t="s">
        <v>225</v>
      </c>
      <c r="AH118" s="1" t="s">
        <v>231</v>
      </c>
      <c r="AI118" s="1">
        <v>3</v>
      </c>
      <c r="AJ118" s="1" t="s">
        <v>225</v>
      </c>
      <c r="AK118" s="1">
        <v>9</v>
      </c>
      <c r="AL118" s="1">
        <v>71.596800000000002</v>
      </c>
      <c r="AM118" s="1" t="s">
        <v>225</v>
      </c>
      <c r="AN118" s="1">
        <v>5.6373276776246</v>
      </c>
      <c r="AO118" s="1">
        <v>0.85091738530182703</v>
      </c>
    </row>
    <row r="119" spans="1:46">
      <c r="A119" s="1" t="s">
        <v>1594</v>
      </c>
      <c r="C119" s="1" t="s">
        <v>1594</v>
      </c>
      <c r="D119" s="1" t="s">
        <v>1595</v>
      </c>
      <c r="E119" s="1" t="s">
        <v>1466</v>
      </c>
      <c r="F119" s="1" t="s">
        <v>196</v>
      </c>
      <c r="G119" s="1" t="s">
        <v>49</v>
      </c>
      <c r="H119" s="2" t="s">
        <v>1596</v>
      </c>
      <c r="I119" s="1">
        <v>9</v>
      </c>
      <c r="J119" s="1">
        <v>3</v>
      </c>
      <c r="K119" s="1" t="s">
        <v>78</v>
      </c>
      <c r="L119" s="1" t="s">
        <v>78</v>
      </c>
      <c r="M119" s="1">
        <v>48.796999999999997</v>
      </c>
      <c r="N119" s="1">
        <v>53</v>
      </c>
      <c r="O119" s="1">
        <v>69.033479999999997</v>
      </c>
      <c r="P119" s="1">
        <v>-168.89279999999999</v>
      </c>
      <c r="Q119" s="1">
        <v>4.3540000000000001</v>
      </c>
      <c r="R119" s="1">
        <v>32.32855</v>
      </c>
      <c r="S119" s="1">
        <v>258.65600000000001</v>
      </c>
      <c r="T119" s="1">
        <v>111.42039750000001</v>
      </c>
      <c r="U119" s="1">
        <v>14.825532539999999</v>
      </c>
      <c r="V119" s="1">
        <v>2216.666667</v>
      </c>
      <c r="W119" s="3">
        <v>0.59699999999999998</v>
      </c>
      <c r="X119" s="1" t="s">
        <v>1597</v>
      </c>
      <c r="Y119" s="1">
        <v>1.08</v>
      </c>
      <c r="AA119" s="1">
        <v>0.99</v>
      </c>
      <c r="AB119" s="1">
        <v>14.45</v>
      </c>
      <c r="AE119" s="1">
        <v>0.19</v>
      </c>
      <c r="AF119" s="1">
        <v>0.26</v>
      </c>
      <c r="AI119" s="1">
        <v>1</v>
      </c>
      <c r="AJ119" s="1" t="s">
        <v>1597</v>
      </c>
      <c r="AK119" s="1">
        <v>2.8</v>
      </c>
      <c r="AL119" s="1">
        <v>88.193899999999999</v>
      </c>
      <c r="AM119" s="1" t="s">
        <v>1597</v>
      </c>
      <c r="AN119" s="1">
        <v>7.5154398129970996</v>
      </c>
      <c r="AO119" s="1">
        <v>1.1344060095090001</v>
      </c>
      <c r="AP119" s="1" t="s">
        <v>1598</v>
      </c>
      <c r="AQ119" s="1">
        <v>-1.1599999999999999</v>
      </c>
      <c r="AR119" s="1">
        <v>15.1</v>
      </c>
      <c r="AT119" s="1">
        <v>49</v>
      </c>
    </row>
    <row r="120" spans="1:46">
      <c r="A120" s="1" t="s">
        <v>1599</v>
      </c>
      <c r="C120" s="1" t="s">
        <v>1599</v>
      </c>
      <c r="D120" s="1" t="s">
        <v>1600</v>
      </c>
      <c r="E120" s="1" t="s">
        <v>1466</v>
      </c>
      <c r="F120" s="1" t="s">
        <v>196</v>
      </c>
      <c r="G120" s="1" t="s">
        <v>49</v>
      </c>
      <c r="H120" s="2" t="s">
        <v>1596</v>
      </c>
      <c r="I120" s="1">
        <v>9</v>
      </c>
      <c r="J120" s="1">
        <v>20</v>
      </c>
      <c r="K120" s="1" t="s">
        <v>78</v>
      </c>
      <c r="L120" s="1" t="s">
        <v>78</v>
      </c>
      <c r="M120" s="1">
        <v>48.796999999999997</v>
      </c>
      <c r="N120" s="1">
        <v>53</v>
      </c>
      <c r="O120" s="1">
        <v>69.033479999999997</v>
      </c>
      <c r="P120" s="1">
        <v>-168.89279999999999</v>
      </c>
      <c r="Q120" s="1">
        <v>4.3540000000000001</v>
      </c>
      <c r="R120" s="1">
        <v>32.32855</v>
      </c>
      <c r="S120" s="1">
        <v>258.65600000000001</v>
      </c>
      <c r="T120" s="1">
        <v>111.42039750000001</v>
      </c>
      <c r="U120" s="1">
        <v>14.825532539999999</v>
      </c>
      <c r="V120" s="1">
        <v>2216.666667</v>
      </c>
      <c r="W120" s="3">
        <v>0.59699999999999998</v>
      </c>
      <c r="X120" s="1" t="s">
        <v>1597</v>
      </c>
      <c r="Y120" s="1">
        <v>1.08</v>
      </c>
      <c r="AA120" s="1">
        <v>0.99</v>
      </c>
      <c r="AB120" s="1">
        <v>14.45</v>
      </c>
      <c r="AE120" s="1">
        <v>0.19</v>
      </c>
      <c r="AF120" s="1">
        <v>0.26</v>
      </c>
      <c r="AI120" s="1">
        <v>1</v>
      </c>
      <c r="AJ120" s="1" t="s">
        <v>1597</v>
      </c>
      <c r="AK120" s="1">
        <v>2.8</v>
      </c>
      <c r="AL120" s="1">
        <v>88.193899999999999</v>
      </c>
      <c r="AM120" s="1" t="s">
        <v>1597</v>
      </c>
      <c r="AN120" s="1">
        <v>7.5154398129970996</v>
      </c>
      <c r="AO120" s="1">
        <v>1.1344060095090001</v>
      </c>
      <c r="AP120" s="1" t="s">
        <v>1598</v>
      </c>
      <c r="AQ120" s="1">
        <v>-1.1599999999999999</v>
      </c>
      <c r="AR120" s="1">
        <v>15.1</v>
      </c>
      <c r="AT120" s="1">
        <v>49</v>
      </c>
    </row>
    <row r="121" spans="1:46">
      <c r="A121" s="1" t="s">
        <v>232</v>
      </c>
      <c r="B121" s="1">
        <v>30</v>
      </c>
      <c r="C121" s="1" t="s">
        <v>232</v>
      </c>
      <c r="D121" s="1" t="s">
        <v>233</v>
      </c>
      <c r="E121" s="1" t="s">
        <v>47</v>
      </c>
      <c r="F121" s="1" t="s">
        <v>234</v>
      </c>
      <c r="G121" s="1" t="s">
        <v>49</v>
      </c>
      <c r="H121" s="2" t="s">
        <v>235</v>
      </c>
      <c r="I121" s="1">
        <v>18</v>
      </c>
      <c r="J121" s="1">
        <v>0.2</v>
      </c>
      <c r="K121" s="1" t="s">
        <v>52</v>
      </c>
      <c r="L121" s="1" t="s">
        <v>52</v>
      </c>
      <c r="M121" s="1">
        <v>3.31</v>
      </c>
      <c r="N121" s="1">
        <v>56</v>
      </c>
      <c r="O121" s="1">
        <v>66.499949999999998</v>
      </c>
      <c r="P121" s="1">
        <v>-168.96037999999999</v>
      </c>
      <c r="Q121" s="1">
        <v>5.5575000000000001</v>
      </c>
      <c r="R121" s="1">
        <v>31.896999999999998</v>
      </c>
      <c r="S121" s="1">
        <v>318.49599999999998</v>
      </c>
      <c r="T121" s="1">
        <v>225.88</v>
      </c>
      <c r="U121" s="1">
        <v>24.82</v>
      </c>
      <c r="V121" s="1">
        <v>2100</v>
      </c>
      <c r="W121" s="3">
        <v>0.13120000000000001</v>
      </c>
      <c r="X121" s="1" t="s">
        <v>236</v>
      </c>
      <c r="Y121" s="1">
        <v>0.93</v>
      </c>
      <c r="Z121" s="1">
        <v>0.18</v>
      </c>
      <c r="AA121" s="1">
        <v>0.27600000000000002</v>
      </c>
      <c r="AB121" s="1">
        <v>1.3</v>
      </c>
      <c r="AC121" s="1">
        <v>0.1</v>
      </c>
      <c r="AD121" s="1">
        <v>0.01</v>
      </c>
      <c r="AE121" s="1">
        <v>0.05</v>
      </c>
      <c r="AF121" s="1">
        <v>0.11</v>
      </c>
      <c r="AH121" s="1" t="s">
        <v>237</v>
      </c>
      <c r="AI121" s="1">
        <v>22</v>
      </c>
      <c r="AJ121" s="1" t="s">
        <v>238</v>
      </c>
      <c r="AK121" s="1">
        <v>8</v>
      </c>
      <c r="AL121" s="1">
        <v>89.260900000000007</v>
      </c>
      <c r="AM121" s="1" t="s">
        <v>236</v>
      </c>
      <c r="AN121" s="1">
        <v>9.1007252215954892</v>
      </c>
      <c r="AO121" s="1">
        <v>1.37369437307102</v>
      </c>
      <c r="AS121" s="1" t="s">
        <v>239</v>
      </c>
    </row>
    <row r="122" spans="1:46">
      <c r="A122" s="1" t="s">
        <v>240</v>
      </c>
      <c r="B122" s="1">
        <v>33</v>
      </c>
      <c r="C122" s="1" t="s">
        <v>240</v>
      </c>
      <c r="D122" s="1" t="s">
        <v>241</v>
      </c>
      <c r="E122" s="1" t="s">
        <v>47</v>
      </c>
      <c r="F122" s="1" t="s">
        <v>234</v>
      </c>
      <c r="G122" s="1" t="s">
        <v>49</v>
      </c>
      <c r="H122" s="2" t="s">
        <v>235</v>
      </c>
      <c r="I122" s="1">
        <v>18</v>
      </c>
      <c r="J122" s="1">
        <v>3</v>
      </c>
      <c r="K122" s="1" t="s">
        <v>52</v>
      </c>
      <c r="L122" s="1" t="s">
        <v>52</v>
      </c>
      <c r="M122" s="1">
        <v>3.31</v>
      </c>
      <c r="N122" s="1">
        <v>56</v>
      </c>
      <c r="O122" s="1">
        <v>66.499949999999998</v>
      </c>
      <c r="P122" s="1">
        <v>-168.96037999999999</v>
      </c>
      <c r="Q122" s="1">
        <v>5.5575000000000001</v>
      </c>
      <c r="R122" s="1">
        <v>31.896999999999998</v>
      </c>
      <c r="S122" s="1">
        <v>318.49599999999998</v>
      </c>
      <c r="T122" s="1">
        <v>225.88</v>
      </c>
      <c r="U122" s="1">
        <v>24.82</v>
      </c>
      <c r="V122" s="1">
        <v>2100</v>
      </c>
      <c r="W122" s="3">
        <v>0.13120000000000001</v>
      </c>
      <c r="X122" s="1" t="s">
        <v>236</v>
      </c>
      <c r="Y122" s="1">
        <v>0.93</v>
      </c>
      <c r="Z122" s="1">
        <v>0.18</v>
      </c>
      <c r="AA122" s="1">
        <v>0.27600000000000002</v>
      </c>
      <c r="AB122" s="1">
        <v>1.3</v>
      </c>
      <c r="AC122" s="1">
        <v>0.1</v>
      </c>
      <c r="AD122" s="1">
        <v>0.01</v>
      </c>
      <c r="AE122" s="1">
        <v>0.05</v>
      </c>
      <c r="AF122" s="1">
        <v>0.11</v>
      </c>
      <c r="AH122" s="1" t="s">
        <v>242</v>
      </c>
      <c r="AI122" s="1">
        <v>22</v>
      </c>
      <c r="AJ122" s="1" t="s">
        <v>238</v>
      </c>
      <c r="AK122" s="1">
        <v>8</v>
      </c>
      <c r="AL122" s="1">
        <v>89.260900000000007</v>
      </c>
      <c r="AM122" s="1" t="s">
        <v>236</v>
      </c>
      <c r="AN122" s="1">
        <v>9.1007252215954892</v>
      </c>
      <c r="AO122" s="1">
        <v>1.37369437307102</v>
      </c>
    </row>
    <row r="123" spans="1:46">
      <c r="A123" s="1" t="s">
        <v>243</v>
      </c>
      <c r="B123" s="1">
        <v>36</v>
      </c>
      <c r="C123" s="1" t="s">
        <v>243</v>
      </c>
      <c r="D123" s="1" t="s">
        <v>244</v>
      </c>
      <c r="E123" s="1" t="s">
        <v>47</v>
      </c>
      <c r="F123" s="1" t="s">
        <v>234</v>
      </c>
      <c r="G123" s="1" t="s">
        <v>49</v>
      </c>
      <c r="H123" s="2" t="s">
        <v>235</v>
      </c>
      <c r="I123" s="1">
        <v>18</v>
      </c>
      <c r="J123" s="1">
        <v>20</v>
      </c>
      <c r="K123" s="1" t="s">
        <v>52</v>
      </c>
      <c r="L123" s="1" t="s">
        <v>52</v>
      </c>
      <c r="M123" s="1">
        <v>3.31</v>
      </c>
      <c r="N123" s="1">
        <v>56</v>
      </c>
      <c r="O123" s="1">
        <v>66.499949999999998</v>
      </c>
      <c r="P123" s="1">
        <v>-168.96037999999999</v>
      </c>
      <c r="Q123" s="1">
        <v>5.5575000000000001</v>
      </c>
      <c r="R123" s="1">
        <v>31.896999999999998</v>
      </c>
      <c r="S123" s="1">
        <v>318.49599999999998</v>
      </c>
      <c r="T123" s="1">
        <v>225.88</v>
      </c>
      <c r="U123" s="1">
        <v>24.82</v>
      </c>
      <c r="V123" s="1">
        <v>2100</v>
      </c>
      <c r="W123" s="3">
        <v>0.13120000000000001</v>
      </c>
      <c r="X123" s="1" t="s">
        <v>236</v>
      </c>
      <c r="Y123" s="1">
        <v>0.93</v>
      </c>
      <c r="Z123" s="1">
        <v>0.18</v>
      </c>
      <c r="AA123" s="1">
        <v>0.27600000000000002</v>
      </c>
      <c r="AB123" s="1">
        <v>1.3</v>
      </c>
      <c r="AC123" s="1">
        <v>0.1</v>
      </c>
      <c r="AD123" s="1">
        <v>0.01</v>
      </c>
      <c r="AE123" s="1">
        <v>0.05</v>
      </c>
      <c r="AF123" s="1">
        <v>0.11</v>
      </c>
      <c r="AH123" s="1" t="s">
        <v>245</v>
      </c>
      <c r="AI123" s="1">
        <v>22</v>
      </c>
      <c r="AJ123" s="1" t="s">
        <v>238</v>
      </c>
      <c r="AK123" s="1">
        <v>8</v>
      </c>
      <c r="AL123" s="1">
        <v>89.260900000000007</v>
      </c>
      <c r="AM123" s="1" t="s">
        <v>236</v>
      </c>
      <c r="AN123" s="1">
        <v>9.1007252215954892</v>
      </c>
      <c r="AO123" s="1">
        <v>1.37369437307102</v>
      </c>
      <c r="AT123" s="1" t="s">
        <v>246</v>
      </c>
    </row>
    <row r="124" spans="1:46">
      <c r="A124" s="1" t="s">
        <v>247</v>
      </c>
      <c r="B124" s="1">
        <v>31</v>
      </c>
      <c r="C124" s="1" t="s">
        <v>247</v>
      </c>
      <c r="D124" s="1" t="s">
        <v>248</v>
      </c>
      <c r="E124" s="1" t="s">
        <v>47</v>
      </c>
      <c r="F124" s="1" t="s">
        <v>234</v>
      </c>
      <c r="G124" s="1" t="s">
        <v>49</v>
      </c>
      <c r="H124" s="2" t="s">
        <v>235</v>
      </c>
      <c r="I124" s="1">
        <v>18</v>
      </c>
      <c r="J124" s="1">
        <v>0.2</v>
      </c>
      <c r="K124" s="1" t="s">
        <v>137</v>
      </c>
      <c r="L124" s="1" t="s">
        <v>65</v>
      </c>
      <c r="M124" s="1">
        <v>13.06</v>
      </c>
      <c r="N124" s="1">
        <v>56</v>
      </c>
      <c r="O124" s="1">
        <v>66.499939999999995</v>
      </c>
      <c r="P124" s="1">
        <v>-168.96036000000001</v>
      </c>
      <c r="Q124" s="1">
        <v>2.2324999999999999</v>
      </c>
      <c r="R124" s="1">
        <v>32.585999999999999</v>
      </c>
      <c r="S124" s="1">
        <v>329.31200000000001</v>
      </c>
      <c r="W124" s="3">
        <v>1.7901</v>
      </c>
      <c r="X124" s="1" t="s">
        <v>249</v>
      </c>
      <c r="Y124" s="1">
        <v>4.28</v>
      </c>
      <c r="Z124" s="1">
        <v>1.33</v>
      </c>
      <c r="AA124" s="1">
        <v>0.95699999999999996</v>
      </c>
      <c r="AB124" s="1">
        <v>5.2</v>
      </c>
      <c r="AC124" s="1">
        <v>5.6</v>
      </c>
      <c r="AD124" s="1">
        <v>0.1</v>
      </c>
      <c r="AE124" s="1">
        <v>1.57</v>
      </c>
      <c r="AF124" s="1">
        <v>5.7</v>
      </c>
      <c r="AH124" s="1" t="s">
        <v>250</v>
      </c>
      <c r="AI124" s="1">
        <v>13</v>
      </c>
      <c r="AJ124" s="1" t="s">
        <v>251</v>
      </c>
      <c r="AK124" s="1">
        <v>8</v>
      </c>
      <c r="AL124" s="1">
        <v>80.489699999999999</v>
      </c>
      <c r="AM124" s="1" t="s">
        <v>249</v>
      </c>
    </row>
    <row r="125" spans="1:46">
      <c r="A125" s="1" t="s">
        <v>252</v>
      </c>
      <c r="B125" s="1">
        <v>34</v>
      </c>
      <c r="C125" s="1" t="s">
        <v>252</v>
      </c>
      <c r="D125" s="1" t="s">
        <v>253</v>
      </c>
      <c r="E125" s="1" t="s">
        <v>47</v>
      </c>
      <c r="F125" s="1" t="s">
        <v>234</v>
      </c>
      <c r="G125" s="1" t="s">
        <v>49</v>
      </c>
      <c r="H125" s="2" t="s">
        <v>235</v>
      </c>
      <c r="I125" s="1">
        <v>18</v>
      </c>
      <c r="J125" s="1">
        <v>3</v>
      </c>
      <c r="K125" s="1" t="s">
        <v>137</v>
      </c>
      <c r="L125" s="1" t="s">
        <v>65</v>
      </c>
      <c r="M125" s="1">
        <v>13.06</v>
      </c>
      <c r="N125" s="1">
        <v>56</v>
      </c>
      <c r="O125" s="1">
        <v>66.499939999999995</v>
      </c>
      <c r="P125" s="1">
        <v>-168.96036000000001</v>
      </c>
      <c r="Q125" s="1">
        <v>2.2324999999999999</v>
      </c>
      <c r="R125" s="1">
        <v>32.585999999999999</v>
      </c>
      <c r="S125" s="1">
        <v>329.31200000000001</v>
      </c>
      <c r="W125" s="3">
        <v>1.7901</v>
      </c>
      <c r="X125" s="1" t="s">
        <v>249</v>
      </c>
      <c r="Y125" s="1">
        <v>4.28</v>
      </c>
      <c r="Z125" s="1">
        <v>1.33</v>
      </c>
      <c r="AA125" s="1">
        <v>0.95699999999999996</v>
      </c>
      <c r="AB125" s="1">
        <v>5.2</v>
      </c>
      <c r="AC125" s="1">
        <v>5.6</v>
      </c>
      <c r="AD125" s="1">
        <v>0.1</v>
      </c>
      <c r="AE125" s="1">
        <v>1.57</v>
      </c>
      <c r="AF125" s="1">
        <v>5.7</v>
      </c>
      <c r="AH125" s="1" t="s">
        <v>254</v>
      </c>
      <c r="AI125" s="1">
        <v>13</v>
      </c>
      <c r="AJ125" s="1" t="s">
        <v>251</v>
      </c>
      <c r="AK125" s="1">
        <v>8</v>
      </c>
      <c r="AL125" s="1">
        <v>80.489699999999999</v>
      </c>
      <c r="AM125" s="1" t="s">
        <v>249</v>
      </c>
      <c r="AT125" s="1" t="s">
        <v>255</v>
      </c>
    </row>
    <row r="126" spans="1:46">
      <c r="A126" s="1" t="s">
        <v>256</v>
      </c>
      <c r="B126" s="1">
        <v>37</v>
      </c>
      <c r="C126" s="1" t="s">
        <v>256</v>
      </c>
      <c r="D126" s="1" t="s">
        <v>257</v>
      </c>
      <c r="E126" s="1" t="s">
        <v>47</v>
      </c>
      <c r="F126" s="1" t="s">
        <v>234</v>
      </c>
      <c r="G126" s="1" t="s">
        <v>49</v>
      </c>
      <c r="H126" s="2" t="s">
        <v>235</v>
      </c>
      <c r="I126" s="1">
        <v>18</v>
      </c>
      <c r="J126" s="1">
        <v>20</v>
      </c>
      <c r="K126" s="1" t="s">
        <v>137</v>
      </c>
      <c r="L126" s="1" t="s">
        <v>65</v>
      </c>
      <c r="M126" s="1">
        <v>13.06</v>
      </c>
      <c r="N126" s="1">
        <v>56</v>
      </c>
      <c r="O126" s="1">
        <v>66.499939999999995</v>
      </c>
      <c r="P126" s="1">
        <v>-168.96036000000001</v>
      </c>
      <c r="Q126" s="1">
        <v>2.2324999999999999</v>
      </c>
      <c r="R126" s="1">
        <v>32.585999999999999</v>
      </c>
      <c r="S126" s="1">
        <v>329.31200000000001</v>
      </c>
      <c r="W126" s="3">
        <v>1.7901</v>
      </c>
      <c r="X126" s="1" t="s">
        <v>249</v>
      </c>
      <c r="Y126" s="1">
        <v>4.28</v>
      </c>
      <c r="Z126" s="1">
        <v>1.33</v>
      </c>
      <c r="AA126" s="1">
        <v>0.95699999999999996</v>
      </c>
      <c r="AB126" s="1">
        <v>5.2</v>
      </c>
      <c r="AC126" s="1">
        <v>5.6</v>
      </c>
      <c r="AD126" s="1">
        <v>0.1</v>
      </c>
      <c r="AE126" s="1">
        <v>1.57</v>
      </c>
      <c r="AF126" s="1">
        <v>5.7</v>
      </c>
      <c r="AH126" s="1" t="s">
        <v>258</v>
      </c>
      <c r="AI126" s="1">
        <v>13</v>
      </c>
      <c r="AJ126" s="1" t="s">
        <v>251</v>
      </c>
      <c r="AK126" s="1">
        <v>8</v>
      </c>
      <c r="AL126" s="1">
        <v>80.489699999999999</v>
      </c>
      <c r="AM126" s="1" t="s">
        <v>249</v>
      </c>
    </row>
    <row r="127" spans="1:46">
      <c r="A127" s="1" t="s">
        <v>259</v>
      </c>
      <c r="B127" s="1">
        <v>32</v>
      </c>
      <c r="C127" s="1" t="s">
        <v>259</v>
      </c>
      <c r="D127" s="1" t="s">
        <v>260</v>
      </c>
      <c r="E127" s="1" t="s">
        <v>47</v>
      </c>
      <c r="F127" s="1" t="s">
        <v>234</v>
      </c>
      <c r="G127" s="1" t="s">
        <v>49</v>
      </c>
      <c r="H127" s="2" t="s">
        <v>235</v>
      </c>
      <c r="I127" s="1">
        <v>18</v>
      </c>
      <c r="J127" s="1">
        <v>0.2</v>
      </c>
      <c r="K127" s="1" t="s">
        <v>261</v>
      </c>
      <c r="L127" s="1" t="s">
        <v>78</v>
      </c>
      <c r="M127" s="1">
        <v>53.04</v>
      </c>
      <c r="N127" s="1">
        <v>56</v>
      </c>
      <c r="O127" s="1">
        <v>66.499960000000002</v>
      </c>
      <c r="P127" s="1">
        <v>-168.96037999999999</v>
      </c>
      <c r="Q127" s="1">
        <v>2.1615000000000002</v>
      </c>
      <c r="R127" s="1">
        <v>32.587499999999999</v>
      </c>
      <c r="S127" s="1">
        <v>323.71699999999998</v>
      </c>
      <c r="T127" s="1">
        <v>644.98</v>
      </c>
      <c r="U127" s="1">
        <v>95.78</v>
      </c>
      <c r="V127" s="1">
        <v>9940</v>
      </c>
      <c r="W127" s="3">
        <v>10.8546</v>
      </c>
      <c r="X127" s="1" t="s">
        <v>262</v>
      </c>
      <c r="Y127" s="1">
        <v>18.25</v>
      </c>
      <c r="Z127" s="1">
        <v>1.54</v>
      </c>
      <c r="AA127" s="1">
        <v>1.1140000000000001</v>
      </c>
      <c r="AB127" s="1">
        <v>8.1</v>
      </c>
      <c r="AC127" s="1">
        <v>6.8</v>
      </c>
      <c r="AD127" s="1">
        <v>0.14000000000000001</v>
      </c>
      <c r="AE127" s="1">
        <v>1.97</v>
      </c>
      <c r="AF127" s="1">
        <v>6.94</v>
      </c>
      <c r="AH127" s="1" t="s">
        <v>263</v>
      </c>
      <c r="AI127" s="1">
        <v>1</v>
      </c>
      <c r="AJ127" s="1" t="s">
        <v>262</v>
      </c>
      <c r="AK127" s="1">
        <v>8</v>
      </c>
      <c r="AL127" s="1">
        <v>47.040900000000001</v>
      </c>
      <c r="AM127" s="1" t="s">
        <v>262</v>
      </c>
      <c r="AN127" s="1">
        <v>6.7339736897055804</v>
      </c>
      <c r="AO127" s="1">
        <v>1.0164488588234799</v>
      </c>
    </row>
    <row r="128" spans="1:46">
      <c r="A128" s="1" t="s">
        <v>264</v>
      </c>
      <c r="B128" s="1">
        <v>35</v>
      </c>
      <c r="C128" s="1" t="s">
        <v>264</v>
      </c>
      <c r="D128" s="1" t="s">
        <v>265</v>
      </c>
      <c r="E128" s="1" t="s">
        <v>47</v>
      </c>
      <c r="F128" s="1" t="s">
        <v>234</v>
      </c>
      <c r="G128" s="1" t="s">
        <v>49</v>
      </c>
      <c r="H128" s="2" t="s">
        <v>235</v>
      </c>
      <c r="I128" s="1">
        <v>18</v>
      </c>
      <c r="J128" s="1">
        <v>3</v>
      </c>
      <c r="K128" s="1" t="s">
        <v>261</v>
      </c>
      <c r="L128" s="1" t="s">
        <v>78</v>
      </c>
      <c r="M128" s="1">
        <v>53.04</v>
      </c>
      <c r="N128" s="1">
        <v>56</v>
      </c>
      <c r="O128" s="1">
        <v>66.499960000000002</v>
      </c>
      <c r="P128" s="1">
        <v>-168.96037999999999</v>
      </c>
      <c r="Q128" s="1">
        <v>2.1615000000000002</v>
      </c>
      <c r="R128" s="1">
        <v>32.587499999999999</v>
      </c>
      <c r="S128" s="1">
        <v>323.71699999999998</v>
      </c>
      <c r="T128" s="1">
        <v>644.98</v>
      </c>
      <c r="U128" s="1">
        <v>95.78</v>
      </c>
      <c r="V128" s="1">
        <v>9940</v>
      </c>
      <c r="W128" s="3">
        <v>10.8546</v>
      </c>
      <c r="X128" s="1" t="s">
        <v>262</v>
      </c>
      <c r="Y128" s="1">
        <v>18.25</v>
      </c>
      <c r="Z128" s="1">
        <v>1.54</v>
      </c>
      <c r="AA128" s="1">
        <v>1.1140000000000001</v>
      </c>
      <c r="AB128" s="1">
        <v>8.1</v>
      </c>
      <c r="AC128" s="1">
        <v>6.8</v>
      </c>
      <c r="AD128" s="1">
        <v>0.14000000000000001</v>
      </c>
      <c r="AE128" s="1">
        <v>1.97</v>
      </c>
      <c r="AF128" s="1">
        <v>6.94</v>
      </c>
      <c r="AH128" s="1" t="s">
        <v>266</v>
      </c>
      <c r="AI128" s="1">
        <v>1</v>
      </c>
      <c r="AJ128" s="1" t="s">
        <v>262</v>
      </c>
      <c r="AK128" s="1">
        <v>8</v>
      </c>
      <c r="AL128" s="1">
        <v>47.040900000000001</v>
      </c>
      <c r="AM128" s="1" t="s">
        <v>262</v>
      </c>
      <c r="AN128" s="1">
        <v>6.7339736897055804</v>
      </c>
      <c r="AO128" s="1">
        <v>1.0164488588234799</v>
      </c>
    </row>
    <row r="129" spans="1:46">
      <c r="A129" s="1" t="s">
        <v>267</v>
      </c>
      <c r="B129" s="1">
        <v>38</v>
      </c>
      <c r="C129" s="1" t="s">
        <v>267</v>
      </c>
      <c r="D129" s="1" t="s">
        <v>268</v>
      </c>
      <c r="E129" s="1" t="s">
        <v>47</v>
      </c>
      <c r="F129" s="1" t="s">
        <v>234</v>
      </c>
      <c r="G129" s="1" t="s">
        <v>49</v>
      </c>
      <c r="H129" s="2" t="s">
        <v>235</v>
      </c>
      <c r="I129" s="1">
        <v>18</v>
      </c>
      <c r="J129" s="1">
        <v>20</v>
      </c>
      <c r="K129" s="1" t="s">
        <v>261</v>
      </c>
      <c r="L129" s="1" t="s">
        <v>78</v>
      </c>
      <c r="M129" s="1">
        <v>53.04</v>
      </c>
      <c r="N129" s="1">
        <v>56</v>
      </c>
      <c r="O129" s="1">
        <v>66.499960000000002</v>
      </c>
      <c r="P129" s="1">
        <v>-168.96037999999999</v>
      </c>
      <c r="Q129" s="1">
        <v>2.1615000000000002</v>
      </c>
      <c r="R129" s="1">
        <v>32.587499999999999</v>
      </c>
      <c r="S129" s="1">
        <v>323.71699999999998</v>
      </c>
      <c r="T129" s="1">
        <v>644.98</v>
      </c>
      <c r="U129" s="1">
        <v>95.78</v>
      </c>
      <c r="V129" s="1">
        <v>9940</v>
      </c>
      <c r="W129" s="3">
        <v>10.8546</v>
      </c>
      <c r="X129" s="1" t="s">
        <v>262</v>
      </c>
      <c r="Y129" s="1">
        <v>18.25</v>
      </c>
      <c r="Z129" s="1">
        <v>1.54</v>
      </c>
      <c r="AA129" s="1">
        <v>1.1140000000000001</v>
      </c>
      <c r="AB129" s="1">
        <v>8.1</v>
      </c>
      <c r="AC129" s="1">
        <v>6.8</v>
      </c>
      <c r="AD129" s="1">
        <v>0.14000000000000001</v>
      </c>
      <c r="AE129" s="1">
        <v>1.97</v>
      </c>
      <c r="AF129" s="1">
        <v>6.94</v>
      </c>
      <c r="AH129" s="1" t="s">
        <v>269</v>
      </c>
      <c r="AI129" s="1">
        <v>1</v>
      </c>
      <c r="AJ129" s="1" t="s">
        <v>262</v>
      </c>
      <c r="AK129" s="1">
        <v>8</v>
      </c>
      <c r="AL129" s="1">
        <v>47.040900000000001</v>
      </c>
      <c r="AM129" s="1" t="s">
        <v>262</v>
      </c>
      <c r="AN129" s="1">
        <v>6.7339736897055804</v>
      </c>
      <c r="AO129" s="1">
        <v>1.0164488588234799</v>
      </c>
    </row>
    <row r="130" spans="1:46">
      <c r="A130" s="1" t="s">
        <v>270</v>
      </c>
      <c r="B130" s="1">
        <v>220</v>
      </c>
      <c r="C130" s="1" t="s">
        <v>270</v>
      </c>
      <c r="D130" s="1" t="s">
        <v>271</v>
      </c>
      <c r="E130" s="1" t="s">
        <v>47</v>
      </c>
      <c r="F130" s="1" t="s">
        <v>272</v>
      </c>
      <c r="G130" s="1" t="s">
        <v>49</v>
      </c>
      <c r="H130" s="2" t="s">
        <v>273</v>
      </c>
      <c r="I130" s="1">
        <v>129</v>
      </c>
      <c r="J130" s="1">
        <v>0.2</v>
      </c>
      <c r="K130" s="1" t="s">
        <v>52</v>
      </c>
      <c r="L130" s="1" t="s">
        <v>52</v>
      </c>
      <c r="M130" s="1">
        <v>4.46</v>
      </c>
      <c r="N130" s="1">
        <v>48</v>
      </c>
      <c r="O130" s="1">
        <v>64.960139999999996</v>
      </c>
      <c r="P130" s="1">
        <v>-169.8903</v>
      </c>
      <c r="Q130" s="1">
        <v>2.669</v>
      </c>
      <c r="R130" s="1">
        <v>32.770499999999998</v>
      </c>
      <c r="S130" s="1">
        <v>301.36700000000002</v>
      </c>
      <c r="T130" s="1">
        <v>195.12</v>
      </c>
      <c r="U130" s="1">
        <v>31.06</v>
      </c>
      <c r="V130" s="1">
        <v>3819.99999999999</v>
      </c>
      <c r="W130" s="3">
        <v>0.33689999999999998</v>
      </c>
      <c r="X130" s="1" t="s">
        <v>274</v>
      </c>
      <c r="Y130" s="1">
        <v>0.7</v>
      </c>
      <c r="Z130" s="1">
        <v>0.82</v>
      </c>
      <c r="AA130" s="1">
        <v>1.643</v>
      </c>
      <c r="AB130" s="1">
        <v>31.6</v>
      </c>
      <c r="AC130" s="1">
        <v>16.8</v>
      </c>
      <c r="AD130" s="1">
        <v>0.18</v>
      </c>
      <c r="AE130" s="1">
        <v>1.46</v>
      </c>
      <c r="AF130" s="1">
        <v>16.98</v>
      </c>
      <c r="AH130" s="1" t="s">
        <v>275</v>
      </c>
      <c r="AI130" s="1">
        <v>22</v>
      </c>
      <c r="AJ130" s="1" t="s">
        <v>274</v>
      </c>
      <c r="AK130" s="1">
        <v>10</v>
      </c>
      <c r="AL130" s="1">
        <v>75.281999999999996</v>
      </c>
      <c r="AM130" s="1" t="s">
        <v>274</v>
      </c>
      <c r="AN130" s="1">
        <v>6.2820347714101699</v>
      </c>
      <c r="AO130" s="1">
        <v>0.94823166360908295</v>
      </c>
    </row>
    <row r="131" spans="1:46">
      <c r="A131" s="1" t="s">
        <v>276</v>
      </c>
      <c r="B131" s="1">
        <v>223</v>
      </c>
      <c r="C131" s="1" t="s">
        <v>276</v>
      </c>
      <c r="D131" s="1" t="s">
        <v>277</v>
      </c>
      <c r="E131" s="1" t="s">
        <v>47</v>
      </c>
      <c r="F131" s="1" t="s">
        <v>272</v>
      </c>
      <c r="G131" s="1" t="s">
        <v>49</v>
      </c>
      <c r="H131" s="2" t="s">
        <v>273</v>
      </c>
      <c r="I131" s="1">
        <v>129</v>
      </c>
      <c r="J131" s="1">
        <v>3</v>
      </c>
      <c r="K131" s="1" t="s">
        <v>52</v>
      </c>
      <c r="L131" s="1" t="s">
        <v>52</v>
      </c>
      <c r="M131" s="1">
        <v>4.46</v>
      </c>
      <c r="N131" s="1">
        <v>48</v>
      </c>
      <c r="O131" s="1">
        <v>64.960139999999996</v>
      </c>
      <c r="P131" s="1">
        <v>-169.8903</v>
      </c>
      <c r="Q131" s="1">
        <v>2.669</v>
      </c>
      <c r="R131" s="1">
        <v>32.770499999999998</v>
      </c>
      <c r="S131" s="1">
        <v>301.36700000000002</v>
      </c>
      <c r="T131" s="1">
        <v>195.12</v>
      </c>
      <c r="U131" s="1">
        <v>31.06</v>
      </c>
      <c r="V131" s="1">
        <v>3819.99999999999</v>
      </c>
      <c r="W131" s="3">
        <v>0.33689999999999998</v>
      </c>
      <c r="X131" s="1" t="s">
        <v>274</v>
      </c>
      <c r="Y131" s="1">
        <v>0.7</v>
      </c>
      <c r="Z131" s="1">
        <v>0.82</v>
      </c>
      <c r="AA131" s="1">
        <v>1.643</v>
      </c>
      <c r="AB131" s="1">
        <v>31.6</v>
      </c>
      <c r="AC131" s="1">
        <v>16.8</v>
      </c>
      <c r="AD131" s="1">
        <v>0.18</v>
      </c>
      <c r="AE131" s="1">
        <v>1.46</v>
      </c>
      <c r="AF131" s="1">
        <v>16.98</v>
      </c>
      <c r="AH131" s="1" t="s">
        <v>278</v>
      </c>
      <c r="AI131" s="1">
        <v>22</v>
      </c>
      <c r="AJ131" s="1" t="s">
        <v>274</v>
      </c>
      <c r="AK131" s="1">
        <v>10</v>
      </c>
      <c r="AL131" s="1">
        <v>75.281999999999996</v>
      </c>
      <c r="AM131" s="1" t="s">
        <v>274</v>
      </c>
      <c r="AN131" s="1">
        <v>6.2820347714101699</v>
      </c>
      <c r="AO131" s="1">
        <v>0.94823166360908295</v>
      </c>
    </row>
    <row r="132" spans="1:46">
      <c r="A132" s="1" t="s">
        <v>279</v>
      </c>
      <c r="B132" s="1">
        <v>226</v>
      </c>
      <c r="C132" s="1" t="s">
        <v>279</v>
      </c>
      <c r="D132" s="1" t="s">
        <v>280</v>
      </c>
      <c r="E132" s="1" t="s">
        <v>47</v>
      </c>
      <c r="F132" s="1" t="s">
        <v>272</v>
      </c>
      <c r="G132" s="1" t="s">
        <v>49</v>
      </c>
      <c r="H132" s="2" t="s">
        <v>273</v>
      </c>
      <c r="I132" s="1">
        <v>129</v>
      </c>
      <c r="J132" s="1">
        <v>20</v>
      </c>
      <c r="K132" s="1" t="s">
        <v>52</v>
      </c>
      <c r="L132" s="1" t="s">
        <v>52</v>
      </c>
      <c r="M132" s="1">
        <v>4.46</v>
      </c>
      <c r="N132" s="1">
        <v>48</v>
      </c>
      <c r="O132" s="1">
        <v>64.960139999999996</v>
      </c>
      <c r="P132" s="1">
        <v>-169.8903</v>
      </c>
      <c r="Q132" s="1">
        <v>2.669</v>
      </c>
      <c r="R132" s="1">
        <v>32.770499999999998</v>
      </c>
      <c r="S132" s="1">
        <v>301.36700000000002</v>
      </c>
      <c r="T132" s="1">
        <v>195.12</v>
      </c>
      <c r="U132" s="1">
        <v>31.06</v>
      </c>
      <c r="V132" s="1">
        <v>3819.99999999999</v>
      </c>
      <c r="W132" s="3">
        <v>0.33689999999999998</v>
      </c>
      <c r="X132" s="1" t="s">
        <v>274</v>
      </c>
      <c r="Y132" s="1">
        <v>0.7</v>
      </c>
      <c r="Z132" s="1">
        <v>0.82</v>
      </c>
      <c r="AA132" s="1">
        <v>1.643</v>
      </c>
      <c r="AB132" s="1">
        <v>31.6</v>
      </c>
      <c r="AC132" s="1">
        <v>16.8</v>
      </c>
      <c r="AD132" s="1">
        <v>0.18</v>
      </c>
      <c r="AE132" s="1">
        <v>1.46</v>
      </c>
      <c r="AF132" s="1">
        <v>16.98</v>
      </c>
      <c r="AH132" s="1" t="s">
        <v>281</v>
      </c>
      <c r="AI132" s="1">
        <v>22</v>
      </c>
      <c r="AJ132" s="1" t="s">
        <v>274</v>
      </c>
      <c r="AK132" s="1">
        <v>10</v>
      </c>
      <c r="AL132" s="1">
        <v>75.281999999999996</v>
      </c>
      <c r="AM132" s="1" t="s">
        <v>274</v>
      </c>
      <c r="AN132" s="1">
        <v>6.2820347714101699</v>
      </c>
      <c r="AO132" s="1">
        <v>0.94823166360908295</v>
      </c>
    </row>
    <row r="133" spans="1:46">
      <c r="A133" s="1" t="s">
        <v>282</v>
      </c>
      <c r="B133" s="1">
        <v>221</v>
      </c>
      <c r="C133" s="1" t="s">
        <v>282</v>
      </c>
      <c r="D133" s="1" t="s">
        <v>283</v>
      </c>
      <c r="E133" s="1" t="s">
        <v>47</v>
      </c>
      <c r="F133" s="1" t="s">
        <v>272</v>
      </c>
      <c r="G133" s="1" t="s">
        <v>49</v>
      </c>
      <c r="H133" s="2" t="s">
        <v>273</v>
      </c>
      <c r="I133" s="1">
        <v>129</v>
      </c>
      <c r="J133" s="1">
        <v>0.2</v>
      </c>
      <c r="K133" s="1" t="s">
        <v>65</v>
      </c>
      <c r="L133" s="1" t="s">
        <v>65</v>
      </c>
      <c r="M133" s="1">
        <v>15.09</v>
      </c>
      <c r="N133" s="1">
        <v>48</v>
      </c>
      <c r="O133" s="1">
        <v>64.960160000000002</v>
      </c>
      <c r="P133" s="1">
        <v>-169.89045999999999</v>
      </c>
      <c r="Q133" s="1">
        <v>2.6859999999999999</v>
      </c>
      <c r="R133" s="1">
        <v>32.770000000000003</v>
      </c>
      <c r="S133" s="1">
        <v>301.20100000000002</v>
      </c>
      <c r="W133" s="3">
        <v>0.84470000000000001</v>
      </c>
      <c r="X133" s="1" t="s">
        <v>284</v>
      </c>
      <c r="Y133" s="1">
        <v>0.75</v>
      </c>
      <c r="Z133" s="1">
        <v>1.1100000000000001</v>
      </c>
      <c r="AA133" s="1">
        <v>1.5960000000000001</v>
      </c>
      <c r="AB133" s="1">
        <v>29.5</v>
      </c>
      <c r="AC133" s="1">
        <v>15.5</v>
      </c>
      <c r="AD133" s="1">
        <v>0.17</v>
      </c>
      <c r="AE133" s="1">
        <v>1.49</v>
      </c>
      <c r="AF133" s="1">
        <v>15.67</v>
      </c>
      <c r="AH133" s="1" t="s">
        <v>285</v>
      </c>
      <c r="AI133" s="1">
        <v>11</v>
      </c>
      <c r="AJ133" s="1" t="s">
        <v>284</v>
      </c>
      <c r="AK133" s="1">
        <v>10</v>
      </c>
      <c r="AL133" s="1">
        <v>75.3172</v>
      </c>
      <c r="AM133" s="1" t="s">
        <v>284</v>
      </c>
    </row>
    <row r="134" spans="1:46">
      <c r="A134" s="1" t="s">
        <v>286</v>
      </c>
      <c r="B134" s="1">
        <v>224</v>
      </c>
      <c r="C134" s="1" t="s">
        <v>286</v>
      </c>
      <c r="D134" s="1" t="s">
        <v>287</v>
      </c>
      <c r="E134" s="1" t="s">
        <v>47</v>
      </c>
      <c r="F134" s="1" t="s">
        <v>272</v>
      </c>
      <c r="G134" s="1" t="s">
        <v>49</v>
      </c>
      <c r="H134" s="2" t="s">
        <v>273</v>
      </c>
      <c r="I134" s="1">
        <v>129</v>
      </c>
      <c r="J134" s="1">
        <v>3</v>
      </c>
      <c r="K134" s="1" t="s">
        <v>65</v>
      </c>
      <c r="L134" s="1" t="s">
        <v>65</v>
      </c>
      <c r="M134" s="1">
        <v>15.09</v>
      </c>
      <c r="N134" s="1">
        <v>48</v>
      </c>
      <c r="O134" s="1">
        <v>64.960160000000002</v>
      </c>
      <c r="P134" s="1">
        <v>-169.89045999999999</v>
      </c>
      <c r="Q134" s="1">
        <v>2.6859999999999999</v>
      </c>
      <c r="R134" s="1">
        <v>32.770000000000003</v>
      </c>
      <c r="S134" s="1">
        <v>301.20100000000002</v>
      </c>
      <c r="W134" s="3">
        <v>0.84470000000000001</v>
      </c>
      <c r="X134" s="1" t="s">
        <v>284</v>
      </c>
      <c r="Y134" s="1">
        <v>0.75</v>
      </c>
      <c r="Z134" s="1">
        <v>1.1100000000000001</v>
      </c>
      <c r="AA134" s="1">
        <v>1.5960000000000001</v>
      </c>
      <c r="AB134" s="1">
        <v>29.5</v>
      </c>
      <c r="AC134" s="1">
        <v>15.5</v>
      </c>
      <c r="AD134" s="1">
        <v>0.17</v>
      </c>
      <c r="AE134" s="1">
        <v>1.49</v>
      </c>
      <c r="AF134" s="1">
        <v>15.67</v>
      </c>
      <c r="AH134" s="1" t="s">
        <v>288</v>
      </c>
      <c r="AI134" s="1">
        <v>11</v>
      </c>
      <c r="AJ134" s="1" t="s">
        <v>284</v>
      </c>
      <c r="AK134" s="1">
        <v>10</v>
      </c>
      <c r="AL134" s="1">
        <v>75.3172</v>
      </c>
      <c r="AM134" s="1" t="s">
        <v>284</v>
      </c>
    </row>
    <row r="135" spans="1:46">
      <c r="A135" s="1" t="s">
        <v>289</v>
      </c>
      <c r="B135" s="1">
        <v>227</v>
      </c>
      <c r="C135" s="1" t="s">
        <v>289</v>
      </c>
      <c r="D135" s="1" t="s">
        <v>290</v>
      </c>
      <c r="E135" s="1" t="s">
        <v>47</v>
      </c>
      <c r="F135" s="1" t="s">
        <v>272</v>
      </c>
      <c r="G135" s="1" t="s">
        <v>49</v>
      </c>
      <c r="H135" s="2" t="s">
        <v>273</v>
      </c>
      <c r="I135" s="1">
        <v>129</v>
      </c>
      <c r="J135" s="1">
        <v>20</v>
      </c>
      <c r="K135" s="1" t="s">
        <v>65</v>
      </c>
      <c r="L135" s="1" t="s">
        <v>65</v>
      </c>
      <c r="M135" s="1">
        <v>15.09</v>
      </c>
      <c r="N135" s="1">
        <v>48</v>
      </c>
      <c r="O135" s="1">
        <v>64.960160000000002</v>
      </c>
      <c r="P135" s="1">
        <v>-169.89045999999999</v>
      </c>
      <c r="Q135" s="1">
        <v>2.6859999999999999</v>
      </c>
      <c r="R135" s="1">
        <v>32.770000000000003</v>
      </c>
      <c r="S135" s="1">
        <v>301.20100000000002</v>
      </c>
      <c r="W135" s="3">
        <v>0.84470000000000001</v>
      </c>
      <c r="X135" s="1" t="s">
        <v>284</v>
      </c>
      <c r="Y135" s="1">
        <v>0.75</v>
      </c>
      <c r="Z135" s="1">
        <v>1.1100000000000001</v>
      </c>
      <c r="AA135" s="1">
        <v>1.5960000000000001</v>
      </c>
      <c r="AB135" s="1">
        <v>29.5</v>
      </c>
      <c r="AC135" s="1">
        <v>15.5</v>
      </c>
      <c r="AD135" s="1">
        <v>0.17</v>
      </c>
      <c r="AE135" s="1">
        <v>1.49</v>
      </c>
      <c r="AF135" s="1">
        <v>15.67</v>
      </c>
      <c r="AH135" s="1" t="s">
        <v>291</v>
      </c>
      <c r="AI135" s="1">
        <v>11</v>
      </c>
      <c r="AJ135" s="1" t="s">
        <v>284</v>
      </c>
      <c r="AK135" s="1">
        <v>10</v>
      </c>
      <c r="AL135" s="1">
        <v>75.3172</v>
      </c>
      <c r="AM135" s="1" t="s">
        <v>284</v>
      </c>
    </row>
    <row r="136" spans="1:46">
      <c r="A136" s="1" t="s">
        <v>292</v>
      </c>
      <c r="B136" s="1">
        <v>222</v>
      </c>
      <c r="C136" s="1" t="s">
        <v>292</v>
      </c>
      <c r="D136" s="1" t="s">
        <v>293</v>
      </c>
      <c r="E136" s="1" t="s">
        <v>47</v>
      </c>
      <c r="F136" s="1" t="s">
        <v>272</v>
      </c>
      <c r="G136" s="1" t="s">
        <v>49</v>
      </c>
      <c r="H136" s="2" t="s">
        <v>273</v>
      </c>
      <c r="I136" s="1">
        <v>129</v>
      </c>
      <c r="J136" s="1">
        <v>0.2</v>
      </c>
      <c r="K136" s="1" t="s">
        <v>150</v>
      </c>
      <c r="L136" s="1" t="s">
        <v>78</v>
      </c>
      <c r="M136" s="1">
        <v>43.61</v>
      </c>
      <c r="N136" s="1">
        <v>48</v>
      </c>
      <c r="O136" s="1">
        <v>64.9602</v>
      </c>
      <c r="P136" s="1">
        <v>-169.89060000000001</v>
      </c>
      <c r="Q136" s="1">
        <v>2.6259999999999999</v>
      </c>
      <c r="R136" s="1">
        <v>32.776000000000003</v>
      </c>
      <c r="S136" s="1">
        <v>299.75299999999999</v>
      </c>
      <c r="T136" s="1">
        <v>197.04</v>
      </c>
      <c r="U136" s="1">
        <v>30.6</v>
      </c>
      <c r="V136" s="1">
        <v>4200</v>
      </c>
      <c r="W136" s="3">
        <v>1.1448</v>
      </c>
      <c r="X136" s="1" t="s">
        <v>294</v>
      </c>
      <c r="Y136" s="1">
        <v>1.02</v>
      </c>
      <c r="Z136" s="1">
        <v>0.83</v>
      </c>
      <c r="AA136" s="1">
        <v>1.639</v>
      </c>
      <c r="AB136" s="1">
        <v>30.3</v>
      </c>
      <c r="AC136" s="1">
        <v>15.8</v>
      </c>
      <c r="AD136" s="1">
        <v>0.17</v>
      </c>
      <c r="AE136" s="1">
        <v>1.48</v>
      </c>
      <c r="AF136" s="1">
        <v>15.97</v>
      </c>
      <c r="AH136" s="1" t="s">
        <v>295</v>
      </c>
      <c r="AI136" s="1">
        <v>1</v>
      </c>
      <c r="AJ136" s="1" t="s">
        <v>294</v>
      </c>
      <c r="AK136" s="1">
        <v>10</v>
      </c>
      <c r="AL136" s="1">
        <v>73.090599999999995</v>
      </c>
      <c r="AM136" s="1" t="s">
        <v>294</v>
      </c>
      <c r="AN136" s="1">
        <v>6.43921568627451</v>
      </c>
      <c r="AO136" s="1">
        <v>0.97195708472068099</v>
      </c>
    </row>
    <row r="137" spans="1:46">
      <c r="A137" s="1" t="s">
        <v>296</v>
      </c>
      <c r="B137" s="1">
        <v>225</v>
      </c>
      <c r="C137" s="1" t="s">
        <v>296</v>
      </c>
      <c r="D137" s="1" t="s">
        <v>297</v>
      </c>
      <c r="E137" s="1" t="s">
        <v>47</v>
      </c>
      <c r="F137" s="1" t="s">
        <v>272</v>
      </c>
      <c r="G137" s="1" t="s">
        <v>49</v>
      </c>
      <c r="H137" s="2" t="s">
        <v>273</v>
      </c>
      <c r="I137" s="1">
        <v>129</v>
      </c>
      <c r="J137" s="1">
        <v>3</v>
      </c>
      <c r="K137" s="1" t="s">
        <v>150</v>
      </c>
      <c r="L137" s="1" t="s">
        <v>78</v>
      </c>
      <c r="M137" s="1">
        <v>43.61</v>
      </c>
      <c r="N137" s="1">
        <v>48</v>
      </c>
      <c r="O137" s="1">
        <v>64.9602</v>
      </c>
      <c r="P137" s="1">
        <v>-169.89060000000001</v>
      </c>
      <c r="Q137" s="1">
        <v>2.6259999999999999</v>
      </c>
      <c r="R137" s="1">
        <v>32.776000000000003</v>
      </c>
      <c r="S137" s="1">
        <v>299.75299999999999</v>
      </c>
      <c r="T137" s="1">
        <v>197.04</v>
      </c>
      <c r="U137" s="1">
        <v>30.6</v>
      </c>
      <c r="V137" s="1">
        <v>4200</v>
      </c>
      <c r="W137" s="3">
        <v>1.1448</v>
      </c>
      <c r="X137" s="1" t="s">
        <v>294</v>
      </c>
      <c r="Y137" s="1">
        <v>1.02</v>
      </c>
      <c r="Z137" s="1">
        <v>0.83</v>
      </c>
      <c r="AA137" s="1">
        <v>1.639</v>
      </c>
      <c r="AB137" s="1">
        <v>30.3</v>
      </c>
      <c r="AC137" s="1">
        <v>15.8</v>
      </c>
      <c r="AD137" s="1">
        <v>0.17</v>
      </c>
      <c r="AE137" s="1">
        <v>1.48</v>
      </c>
      <c r="AF137" s="1">
        <v>15.97</v>
      </c>
      <c r="AH137" s="1" t="s">
        <v>298</v>
      </c>
      <c r="AI137" s="1">
        <v>1</v>
      </c>
      <c r="AJ137" s="1" t="s">
        <v>294</v>
      </c>
      <c r="AK137" s="1">
        <v>10</v>
      </c>
      <c r="AL137" s="1">
        <v>73.090599999999995</v>
      </c>
      <c r="AM137" s="1" t="s">
        <v>294</v>
      </c>
      <c r="AN137" s="1">
        <v>6.43921568627451</v>
      </c>
      <c r="AO137" s="1">
        <v>0.97195708472068099</v>
      </c>
    </row>
    <row r="138" spans="1:46">
      <c r="A138" s="1" t="s">
        <v>299</v>
      </c>
      <c r="B138" s="1">
        <v>228</v>
      </c>
      <c r="C138" s="1" t="s">
        <v>299</v>
      </c>
      <c r="D138" s="1" t="s">
        <v>300</v>
      </c>
      <c r="E138" s="1" t="s">
        <v>47</v>
      </c>
      <c r="F138" s="1" t="s">
        <v>272</v>
      </c>
      <c r="G138" s="1" t="s">
        <v>49</v>
      </c>
      <c r="H138" s="2" t="s">
        <v>273</v>
      </c>
      <c r="I138" s="1">
        <v>129</v>
      </c>
      <c r="J138" s="1">
        <v>20</v>
      </c>
      <c r="K138" s="1" t="s">
        <v>150</v>
      </c>
      <c r="L138" s="1" t="s">
        <v>78</v>
      </c>
      <c r="M138" s="1">
        <v>43.61</v>
      </c>
      <c r="N138" s="1">
        <v>48</v>
      </c>
      <c r="O138" s="1">
        <v>64.9602</v>
      </c>
      <c r="P138" s="1">
        <v>-169.89060000000001</v>
      </c>
      <c r="Q138" s="1">
        <v>2.6259999999999999</v>
      </c>
      <c r="R138" s="1">
        <v>32.776000000000003</v>
      </c>
      <c r="S138" s="1">
        <v>299.75299999999999</v>
      </c>
      <c r="T138" s="1">
        <v>197.04</v>
      </c>
      <c r="U138" s="1">
        <v>30.6</v>
      </c>
      <c r="V138" s="1">
        <v>4200</v>
      </c>
      <c r="W138" s="3">
        <v>1.1448</v>
      </c>
      <c r="X138" s="1" t="s">
        <v>294</v>
      </c>
      <c r="Y138" s="1">
        <v>1.02</v>
      </c>
      <c r="Z138" s="1">
        <v>0.83</v>
      </c>
      <c r="AA138" s="1">
        <v>1.639</v>
      </c>
      <c r="AB138" s="1">
        <v>30.3</v>
      </c>
      <c r="AC138" s="1">
        <v>15.8</v>
      </c>
      <c r="AD138" s="1">
        <v>0.17</v>
      </c>
      <c r="AE138" s="1">
        <v>1.48</v>
      </c>
      <c r="AF138" s="1">
        <v>15.97</v>
      </c>
      <c r="AH138" s="1" t="s">
        <v>301</v>
      </c>
      <c r="AI138" s="1">
        <v>1</v>
      </c>
      <c r="AJ138" s="1" t="s">
        <v>294</v>
      </c>
      <c r="AK138" s="1">
        <v>10</v>
      </c>
      <c r="AL138" s="1">
        <v>73.090599999999995</v>
      </c>
      <c r="AM138" s="1" t="s">
        <v>294</v>
      </c>
      <c r="AN138" s="1">
        <v>6.43921568627451</v>
      </c>
      <c r="AO138" s="1">
        <v>0.97195708472068099</v>
      </c>
    </row>
    <row r="139" spans="1:46">
      <c r="A139" s="1" t="s">
        <v>1601</v>
      </c>
      <c r="C139" s="1" t="s">
        <v>1601</v>
      </c>
      <c r="D139" s="1" t="s">
        <v>1602</v>
      </c>
      <c r="E139" s="1" t="s">
        <v>1394</v>
      </c>
      <c r="F139" s="1" t="s">
        <v>999</v>
      </c>
      <c r="G139" s="1" t="s">
        <v>49</v>
      </c>
      <c r="H139" s="2" t="s">
        <v>1603</v>
      </c>
      <c r="I139" s="1">
        <v>8</v>
      </c>
      <c r="J139" s="1">
        <v>0.2</v>
      </c>
      <c r="K139" s="1">
        <v>5</v>
      </c>
      <c r="L139" s="1" t="s">
        <v>52</v>
      </c>
      <c r="M139" s="1">
        <v>3.3660000000000001</v>
      </c>
      <c r="N139" s="1">
        <v>34</v>
      </c>
      <c r="O139" s="1">
        <v>68.304166670000001</v>
      </c>
      <c r="P139" s="1">
        <v>-166.92366670000001</v>
      </c>
      <c r="Q139" s="1">
        <v>7.9142999999999999</v>
      </c>
      <c r="R139" s="1">
        <v>31.262450000000001</v>
      </c>
      <c r="S139" s="1">
        <v>288.43413629999998</v>
      </c>
      <c r="W139" s="3">
        <v>0.6613</v>
      </c>
      <c r="X139" s="1" t="s">
        <v>1604</v>
      </c>
      <c r="Y139" s="1">
        <v>2.1070000000000002</v>
      </c>
      <c r="Z139" s="1">
        <v>0.74</v>
      </c>
      <c r="AA139" s="1">
        <v>0.82699999999999996</v>
      </c>
      <c r="AB139" s="1">
        <v>9.5</v>
      </c>
      <c r="AC139" s="1">
        <v>0.4</v>
      </c>
      <c r="AD139" s="1">
        <v>7.0000000000000007E-2</v>
      </c>
      <c r="AE139" s="1">
        <v>1.34</v>
      </c>
      <c r="AF139" s="1">
        <v>0.47</v>
      </c>
      <c r="AH139" s="8" t="s">
        <v>1605</v>
      </c>
      <c r="AI139" s="8">
        <v>10</v>
      </c>
      <c r="AJ139" s="8" t="s">
        <v>1606</v>
      </c>
      <c r="AK139" s="8">
        <v>4</v>
      </c>
      <c r="AM139" s="1" t="s">
        <v>1604</v>
      </c>
      <c r="AT139" s="8" t="s">
        <v>1607</v>
      </c>
    </row>
    <row r="140" spans="1:46">
      <c r="A140" s="1" t="s">
        <v>1608</v>
      </c>
      <c r="C140" s="1" t="s">
        <v>1608</v>
      </c>
      <c r="D140" s="1" t="s">
        <v>1609</v>
      </c>
      <c r="E140" s="1" t="s">
        <v>1466</v>
      </c>
      <c r="F140" s="1" t="s">
        <v>999</v>
      </c>
      <c r="G140" s="1" t="s">
        <v>49</v>
      </c>
      <c r="H140" s="2" t="s">
        <v>1610</v>
      </c>
      <c r="I140" s="1">
        <v>8</v>
      </c>
      <c r="J140" s="1">
        <v>3</v>
      </c>
      <c r="K140" s="1" t="s">
        <v>52</v>
      </c>
      <c r="L140" s="1" t="s">
        <v>52</v>
      </c>
      <c r="M140" s="1">
        <v>5.0990000000000002</v>
      </c>
      <c r="N140" s="1">
        <v>35</v>
      </c>
      <c r="O140" s="1">
        <v>68.299390000000002</v>
      </c>
      <c r="P140" s="1">
        <v>-166.94236000000001</v>
      </c>
      <c r="Q140" s="1">
        <v>12.21855</v>
      </c>
      <c r="R140" s="1">
        <v>28.269749999999998</v>
      </c>
      <c r="S140" s="1">
        <v>284.63600000000002</v>
      </c>
      <c r="W140" s="3">
        <v>1.26</v>
      </c>
      <c r="X140" s="1" t="s">
        <v>1604</v>
      </c>
      <c r="Y140" s="1">
        <v>1.7</v>
      </c>
      <c r="AA140" s="1">
        <v>0.41</v>
      </c>
      <c r="AB140" s="1">
        <v>5.45</v>
      </c>
      <c r="AE140" s="1">
        <v>0.6</v>
      </c>
      <c r="AF140" s="1">
        <v>0.21</v>
      </c>
      <c r="AI140" s="1">
        <v>9</v>
      </c>
      <c r="AJ140" s="1" t="s">
        <v>1604</v>
      </c>
      <c r="AK140" s="1">
        <v>1.1000000000000001</v>
      </c>
      <c r="AL140" s="1">
        <v>86.576899999999995</v>
      </c>
      <c r="AM140" s="1" t="s">
        <v>1604</v>
      </c>
      <c r="AP140" s="1" t="s">
        <v>1611</v>
      </c>
      <c r="AQ140" s="1">
        <v>-3.13</v>
      </c>
      <c r="AR140" s="1">
        <v>6.52</v>
      </c>
      <c r="AT140" s="1">
        <v>5</v>
      </c>
    </row>
    <row r="141" spans="1:46">
      <c r="A141" s="1" t="s">
        <v>1612</v>
      </c>
      <c r="C141" s="1" t="s">
        <v>1612</v>
      </c>
      <c r="D141" s="1" t="s">
        <v>1613</v>
      </c>
      <c r="E141" s="1" t="s">
        <v>1466</v>
      </c>
      <c r="F141" s="1" t="s">
        <v>999</v>
      </c>
      <c r="G141" s="1" t="s">
        <v>49</v>
      </c>
      <c r="H141" s="2" t="s">
        <v>1610</v>
      </c>
      <c r="I141" s="1">
        <v>8</v>
      </c>
      <c r="J141" s="1">
        <v>20</v>
      </c>
      <c r="K141" s="1" t="s">
        <v>52</v>
      </c>
      <c r="L141" s="1" t="s">
        <v>52</v>
      </c>
      <c r="M141" s="1">
        <v>5.0990000000000002</v>
      </c>
      <c r="N141" s="1">
        <v>35</v>
      </c>
      <c r="O141" s="1">
        <v>68.299390000000002</v>
      </c>
      <c r="P141" s="1">
        <v>-166.94236000000001</v>
      </c>
      <c r="Q141" s="1">
        <v>12.21855</v>
      </c>
      <c r="R141" s="1">
        <v>28.269749999999998</v>
      </c>
      <c r="S141" s="1">
        <v>284.63600000000002</v>
      </c>
      <c r="W141" s="3">
        <v>1.26</v>
      </c>
      <c r="X141" s="1" t="s">
        <v>1604</v>
      </c>
      <c r="Y141" s="1">
        <v>1.7</v>
      </c>
      <c r="AA141" s="1">
        <v>0.41</v>
      </c>
      <c r="AB141" s="1">
        <v>5.45</v>
      </c>
      <c r="AE141" s="1">
        <v>0.6</v>
      </c>
      <c r="AF141" s="1">
        <v>0.21</v>
      </c>
      <c r="AI141" s="1">
        <v>9</v>
      </c>
      <c r="AJ141" s="1" t="s">
        <v>1604</v>
      </c>
      <c r="AK141" s="1">
        <v>1.1000000000000001</v>
      </c>
      <c r="AL141" s="1">
        <v>86.576899999999995</v>
      </c>
      <c r="AM141" s="1" t="s">
        <v>1604</v>
      </c>
      <c r="AP141" s="1" t="s">
        <v>1611</v>
      </c>
      <c r="AQ141" s="1">
        <v>-3.13</v>
      </c>
      <c r="AR141" s="1">
        <v>6.52</v>
      </c>
      <c r="AS141" s="1" t="s">
        <v>1614</v>
      </c>
      <c r="AT141" s="1">
        <v>5</v>
      </c>
    </row>
    <row r="142" spans="1:46">
      <c r="A142" s="1" t="s">
        <v>1615</v>
      </c>
      <c r="C142" s="1" t="s">
        <v>1615</v>
      </c>
      <c r="D142" s="1" t="s">
        <v>1616</v>
      </c>
      <c r="E142" s="1" t="s">
        <v>1466</v>
      </c>
      <c r="F142" s="1" t="s">
        <v>999</v>
      </c>
      <c r="G142" s="1" t="s">
        <v>49</v>
      </c>
      <c r="H142" s="2" t="s">
        <v>1617</v>
      </c>
      <c r="I142" s="1">
        <v>8</v>
      </c>
      <c r="J142" s="1">
        <v>3</v>
      </c>
      <c r="L142" s="1" t="s">
        <v>65</v>
      </c>
      <c r="M142" s="1">
        <v>9.2970000000000006</v>
      </c>
      <c r="N142" s="1">
        <v>35</v>
      </c>
      <c r="O142" s="1">
        <v>68.299539999999993</v>
      </c>
      <c r="P142" s="1">
        <v>-166.94137000000001</v>
      </c>
      <c r="Q142" s="1">
        <v>11.26445</v>
      </c>
      <c r="R142" s="1">
        <v>30.7088</v>
      </c>
      <c r="S142" s="1">
        <v>293.69200000000001</v>
      </c>
      <c r="T142" s="1">
        <v>303.88996880000002</v>
      </c>
      <c r="U142" s="1">
        <v>42.487881979999997</v>
      </c>
      <c r="V142" s="1">
        <v>4983.8709680000002</v>
      </c>
      <c r="W142" s="3">
        <v>1.585</v>
      </c>
      <c r="X142" s="1" t="s">
        <v>1618</v>
      </c>
      <c r="Y142" s="1">
        <v>1.82</v>
      </c>
      <c r="AA142" s="1">
        <v>0.46</v>
      </c>
      <c r="AB142" s="1">
        <v>6.14</v>
      </c>
      <c r="AE142" s="1">
        <v>1.31</v>
      </c>
      <c r="AF142" s="1">
        <v>0.15</v>
      </c>
      <c r="AI142" s="1">
        <v>7</v>
      </c>
      <c r="AJ142" s="1" t="s">
        <v>1618</v>
      </c>
      <c r="AK142" s="1">
        <v>1.1000000000000001</v>
      </c>
      <c r="AL142" s="1">
        <v>88.168000000000006</v>
      </c>
      <c r="AM142" s="1" t="s">
        <v>1618</v>
      </c>
      <c r="AN142" s="1">
        <v>7.15239156762504</v>
      </c>
      <c r="AO142" s="1">
        <v>1.0796062743585</v>
      </c>
      <c r="AP142" s="1" t="s">
        <v>1619</v>
      </c>
      <c r="AR142" s="1">
        <v>6.52</v>
      </c>
      <c r="AT142" s="1">
        <v>10</v>
      </c>
    </row>
    <row r="143" spans="1:46">
      <c r="A143" s="1" t="s">
        <v>1620</v>
      </c>
      <c r="C143" s="1" t="s">
        <v>1620</v>
      </c>
      <c r="D143" s="1" t="s">
        <v>1621</v>
      </c>
      <c r="E143" s="1" t="s">
        <v>1466</v>
      </c>
      <c r="F143" s="1" t="s">
        <v>999</v>
      </c>
      <c r="G143" s="1" t="s">
        <v>49</v>
      </c>
      <c r="H143" s="2" t="s">
        <v>1617</v>
      </c>
      <c r="I143" s="1">
        <v>8</v>
      </c>
      <c r="J143" s="1">
        <v>20</v>
      </c>
      <c r="L143" s="1" t="s">
        <v>65</v>
      </c>
      <c r="M143" s="1">
        <v>9.2970000000000006</v>
      </c>
      <c r="N143" s="1">
        <v>35</v>
      </c>
      <c r="O143" s="1">
        <v>68.299539999999993</v>
      </c>
      <c r="P143" s="1">
        <v>-166.94137000000001</v>
      </c>
      <c r="Q143" s="1">
        <v>11.26445</v>
      </c>
      <c r="R143" s="1">
        <v>30.7088</v>
      </c>
      <c r="S143" s="1">
        <v>293.69200000000001</v>
      </c>
      <c r="T143" s="1">
        <v>303.88996880000002</v>
      </c>
      <c r="U143" s="1">
        <v>42.487881979999997</v>
      </c>
      <c r="V143" s="1">
        <v>4983.8709680000002</v>
      </c>
      <c r="W143" s="3">
        <v>1.585</v>
      </c>
      <c r="X143" s="1" t="s">
        <v>1618</v>
      </c>
      <c r="Y143" s="1">
        <v>1.82</v>
      </c>
      <c r="AA143" s="1">
        <v>0.46</v>
      </c>
      <c r="AB143" s="1">
        <v>6.14</v>
      </c>
      <c r="AE143" s="1">
        <v>1.31</v>
      </c>
      <c r="AF143" s="1">
        <v>0.15</v>
      </c>
      <c r="AI143" s="1">
        <v>7</v>
      </c>
      <c r="AJ143" s="1" t="s">
        <v>1618</v>
      </c>
      <c r="AK143" s="1">
        <v>1.1000000000000001</v>
      </c>
      <c r="AL143" s="1">
        <v>88.168000000000006</v>
      </c>
      <c r="AM143" s="1" t="s">
        <v>1618</v>
      </c>
      <c r="AN143" s="1">
        <v>7.15239156762504</v>
      </c>
      <c r="AO143" s="1">
        <v>1.0796062743585</v>
      </c>
      <c r="AP143" s="1" t="s">
        <v>1619</v>
      </c>
      <c r="AR143" s="1">
        <v>6.52</v>
      </c>
      <c r="AT143" s="1">
        <v>10</v>
      </c>
    </row>
    <row r="144" spans="1:46">
      <c r="A144" s="1" t="s">
        <v>1622</v>
      </c>
      <c r="C144" s="1" t="s">
        <v>1622</v>
      </c>
      <c r="D144" s="1" t="s">
        <v>1623</v>
      </c>
      <c r="E144" s="1" t="s">
        <v>1466</v>
      </c>
      <c r="F144" s="1" t="s">
        <v>999</v>
      </c>
      <c r="G144" s="1" t="s">
        <v>49</v>
      </c>
      <c r="H144" s="2" t="s">
        <v>1624</v>
      </c>
      <c r="I144" s="1">
        <v>8</v>
      </c>
      <c r="J144" s="1">
        <v>3</v>
      </c>
      <c r="K144" s="1" t="s">
        <v>1488</v>
      </c>
      <c r="L144" s="1" t="s">
        <v>65</v>
      </c>
      <c r="M144" s="1">
        <v>13.519</v>
      </c>
      <c r="N144" s="1">
        <v>35</v>
      </c>
      <c r="O144" s="1">
        <v>68.299779999999998</v>
      </c>
      <c r="P144" s="1">
        <v>-166.94027</v>
      </c>
      <c r="Q144" s="1">
        <v>11.244999999999999</v>
      </c>
      <c r="R144" s="1">
        <v>30.714649999999999</v>
      </c>
      <c r="S144" s="1">
        <v>294.81799999999998</v>
      </c>
      <c r="W144" s="3">
        <v>1.613</v>
      </c>
      <c r="X144" s="1" t="s">
        <v>66</v>
      </c>
      <c r="AI144" s="1">
        <v>5</v>
      </c>
      <c r="AJ144" s="1" t="s">
        <v>66</v>
      </c>
      <c r="AK144" s="1">
        <v>1.1000000000000001</v>
      </c>
      <c r="AL144" s="1">
        <v>88.320700000000002</v>
      </c>
      <c r="AM144" s="1" t="s">
        <v>66</v>
      </c>
      <c r="AP144" s="1" t="s">
        <v>1625</v>
      </c>
      <c r="AR144" s="1">
        <v>6.52</v>
      </c>
      <c r="AT144" s="1">
        <v>13</v>
      </c>
    </row>
    <row r="145" spans="1:46">
      <c r="A145" s="1" t="s">
        <v>1626</v>
      </c>
      <c r="C145" s="1" t="s">
        <v>1626</v>
      </c>
      <c r="D145" s="1" t="s">
        <v>1627</v>
      </c>
      <c r="E145" s="1" t="s">
        <v>1466</v>
      </c>
      <c r="F145" s="1" t="s">
        <v>999</v>
      </c>
      <c r="G145" s="1" t="s">
        <v>49</v>
      </c>
      <c r="H145" s="2" t="s">
        <v>1624</v>
      </c>
      <c r="I145" s="1">
        <v>8</v>
      </c>
      <c r="J145" s="1">
        <v>20</v>
      </c>
      <c r="K145" s="1" t="s">
        <v>1488</v>
      </c>
      <c r="L145" s="1" t="s">
        <v>65</v>
      </c>
      <c r="M145" s="1">
        <v>13.519</v>
      </c>
      <c r="N145" s="1">
        <v>35</v>
      </c>
      <c r="O145" s="1">
        <v>68.299779999999998</v>
      </c>
      <c r="P145" s="1">
        <v>-166.94027</v>
      </c>
      <c r="Q145" s="1">
        <v>11.244999999999999</v>
      </c>
      <c r="R145" s="1">
        <v>30.714649999999999</v>
      </c>
      <c r="S145" s="1">
        <v>294.81799999999998</v>
      </c>
      <c r="W145" s="3">
        <v>1.613</v>
      </c>
      <c r="X145" s="1" t="s">
        <v>66</v>
      </c>
      <c r="AI145" s="1">
        <v>5</v>
      </c>
      <c r="AJ145" s="1" t="s">
        <v>66</v>
      </c>
      <c r="AK145" s="1">
        <v>1.1000000000000001</v>
      </c>
      <c r="AL145" s="1">
        <v>88.320700000000002</v>
      </c>
      <c r="AM145" s="1" t="s">
        <v>66</v>
      </c>
      <c r="AP145" s="1" t="s">
        <v>1625</v>
      </c>
      <c r="AR145" s="1">
        <v>6.52</v>
      </c>
      <c r="AT145" s="1">
        <v>13</v>
      </c>
    </row>
    <row r="146" spans="1:46">
      <c r="A146" s="1" t="s">
        <v>1628</v>
      </c>
      <c r="C146" s="1" t="s">
        <v>1628</v>
      </c>
      <c r="D146" s="1" t="s">
        <v>1629</v>
      </c>
      <c r="E146" s="1" t="s">
        <v>1466</v>
      </c>
      <c r="F146" s="1" t="s">
        <v>999</v>
      </c>
      <c r="G146" s="1" t="s">
        <v>49</v>
      </c>
      <c r="H146" s="2" t="s">
        <v>1630</v>
      </c>
      <c r="I146" s="1">
        <v>8</v>
      </c>
      <c r="J146" s="1">
        <v>3</v>
      </c>
      <c r="L146" s="1" t="s">
        <v>65</v>
      </c>
      <c r="M146" s="1">
        <v>20.388000000000002</v>
      </c>
      <c r="N146" s="1">
        <v>35</v>
      </c>
      <c r="O146" s="1">
        <v>68.299859999999995</v>
      </c>
      <c r="P146" s="1">
        <v>-166.93938</v>
      </c>
      <c r="Q146" s="1">
        <v>10.560449999999999</v>
      </c>
      <c r="R146" s="1">
        <v>30.9754</v>
      </c>
      <c r="S146" s="1">
        <v>285.95850000000002</v>
      </c>
      <c r="T146" s="1">
        <v>116.7663455</v>
      </c>
      <c r="U146" s="1">
        <v>16.09098221</v>
      </c>
      <c r="V146" s="1">
        <v>4350</v>
      </c>
      <c r="W146" s="3">
        <v>1.391</v>
      </c>
      <c r="X146" s="1" t="s">
        <v>1631</v>
      </c>
      <c r="Y146" s="1">
        <v>1.93</v>
      </c>
      <c r="AA146" s="1">
        <v>0.53</v>
      </c>
      <c r="AB146" s="1">
        <v>4.4800000000000004</v>
      </c>
      <c r="AE146" s="1">
        <v>0.24</v>
      </c>
      <c r="AF146" s="1">
        <v>0.21</v>
      </c>
      <c r="AI146" s="1">
        <v>4</v>
      </c>
      <c r="AJ146" s="1" t="s">
        <v>1632</v>
      </c>
      <c r="AK146" s="1">
        <v>2.2000000000000002</v>
      </c>
      <c r="AL146" s="1">
        <v>88.025800000000004</v>
      </c>
      <c r="AM146" s="1" t="s">
        <v>1631</v>
      </c>
      <c r="AN146" s="1">
        <v>7.2566325645076999</v>
      </c>
      <c r="AO146" s="1">
        <v>1.0953407644539901</v>
      </c>
      <c r="AP146" s="1" t="s">
        <v>1633</v>
      </c>
      <c r="AR146" s="1">
        <v>6.52</v>
      </c>
      <c r="AT146" s="1">
        <v>20</v>
      </c>
    </row>
    <row r="147" spans="1:46">
      <c r="A147" s="1" t="s">
        <v>1634</v>
      </c>
      <c r="C147" s="1" t="s">
        <v>1634</v>
      </c>
      <c r="D147" s="1" t="s">
        <v>1635</v>
      </c>
      <c r="E147" s="1" t="s">
        <v>1466</v>
      </c>
      <c r="F147" s="1" t="s">
        <v>999</v>
      </c>
      <c r="G147" s="1" t="s">
        <v>49</v>
      </c>
      <c r="H147" s="2" t="s">
        <v>1630</v>
      </c>
      <c r="I147" s="1">
        <v>8</v>
      </c>
      <c r="J147" s="1">
        <v>20</v>
      </c>
      <c r="L147" s="1" t="s">
        <v>65</v>
      </c>
      <c r="M147" s="1">
        <v>20.388000000000002</v>
      </c>
      <c r="N147" s="1">
        <v>35</v>
      </c>
      <c r="O147" s="1">
        <v>68.299859999999995</v>
      </c>
      <c r="P147" s="1">
        <v>-166.93938</v>
      </c>
      <c r="Q147" s="1">
        <v>10.560449999999999</v>
      </c>
      <c r="R147" s="1">
        <v>30.9754</v>
      </c>
      <c r="S147" s="1">
        <v>285.95850000000002</v>
      </c>
      <c r="T147" s="1">
        <v>116.7663455</v>
      </c>
      <c r="U147" s="1">
        <v>16.09098221</v>
      </c>
      <c r="V147" s="1">
        <v>4350</v>
      </c>
      <c r="W147" s="3">
        <v>1.391</v>
      </c>
      <c r="X147" s="1" t="s">
        <v>1631</v>
      </c>
      <c r="Y147" s="1">
        <v>1.93</v>
      </c>
      <c r="AA147" s="1">
        <v>0.53</v>
      </c>
      <c r="AB147" s="1">
        <v>4.4800000000000004</v>
      </c>
      <c r="AE147" s="1">
        <v>0.24</v>
      </c>
      <c r="AF147" s="1">
        <v>0.21</v>
      </c>
      <c r="AI147" s="1">
        <v>4</v>
      </c>
      <c r="AJ147" s="1" t="s">
        <v>1632</v>
      </c>
      <c r="AK147" s="1">
        <v>2.2000000000000002</v>
      </c>
      <c r="AL147" s="1">
        <v>88.025800000000004</v>
      </c>
      <c r="AM147" s="1" t="s">
        <v>1631</v>
      </c>
      <c r="AN147" s="1">
        <v>7.2566325645076999</v>
      </c>
      <c r="AO147" s="1">
        <v>1.0953407644539901</v>
      </c>
      <c r="AP147" s="1" t="s">
        <v>1633</v>
      </c>
      <c r="AR147" s="1">
        <v>6.52</v>
      </c>
      <c r="AT147" s="1">
        <v>20</v>
      </c>
    </row>
    <row r="148" spans="1:46">
      <c r="A148" s="1" t="s">
        <v>1636</v>
      </c>
      <c r="C148" s="1" t="s">
        <v>1636</v>
      </c>
      <c r="D148" s="1" t="s">
        <v>1637</v>
      </c>
      <c r="E148" s="1" t="s">
        <v>1394</v>
      </c>
      <c r="F148" s="1" t="s">
        <v>999</v>
      </c>
      <c r="G148" s="1" t="s">
        <v>49</v>
      </c>
      <c r="H148" s="2" t="s">
        <v>1603</v>
      </c>
      <c r="I148" s="1">
        <v>8</v>
      </c>
      <c r="J148" s="1">
        <v>0.2</v>
      </c>
      <c r="K148" s="1">
        <v>32</v>
      </c>
      <c r="L148" s="1" t="s">
        <v>78</v>
      </c>
      <c r="M148" s="1">
        <v>31.641999999999999</v>
      </c>
      <c r="N148" s="1">
        <v>34</v>
      </c>
      <c r="O148" s="1">
        <v>68.304166670000001</v>
      </c>
      <c r="P148" s="1">
        <v>-166.92366670000001</v>
      </c>
      <c r="Q148" s="1">
        <v>5.7058</v>
      </c>
      <c r="R148" s="1">
        <v>32.101700000000001</v>
      </c>
      <c r="S148" s="1">
        <v>277.53685230000002</v>
      </c>
      <c r="W148" s="3">
        <v>0.35680000000000001</v>
      </c>
      <c r="X148" s="1" t="s">
        <v>1631</v>
      </c>
      <c r="Y148" s="1">
        <v>1.333</v>
      </c>
      <c r="Z148" s="1">
        <v>0.84599999999999997</v>
      </c>
      <c r="AA148" s="1">
        <v>1.1479999999999999</v>
      </c>
      <c r="AB148" s="1">
        <v>16.5</v>
      </c>
      <c r="AC148" s="1">
        <v>1.8</v>
      </c>
      <c r="AD148" s="1">
        <v>0.14000000000000001</v>
      </c>
      <c r="AE148" s="1">
        <v>3.56</v>
      </c>
      <c r="AF148" s="1">
        <v>1.94</v>
      </c>
      <c r="AH148" s="8" t="s">
        <v>1638</v>
      </c>
      <c r="AI148" s="8">
        <v>4</v>
      </c>
      <c r="AJ148" s="8" t="s">
        <v>1639</v>
      </c>
      <c r="AK148" s="8">
        <v>4</v>
      </c>
      <c r="AM148" s="1" t="s">
        <v>1631</v>
      </c>
      <c r="AT148" s="8" t="s">
        <v>1607</v>
      </c>
    </row>
    <row r="149" spans="1:46">
      <c r="A149" s="1" t="s">
        <v>1640</v>
      </c>
      <c r="C149" s="1" t="s">
        <v>1640</v>
      </c>
      <c r="D149" s="1" t="s">
        <v>1641</v>
      </c>
      <c r="E149" s="1" t="s">
        <v>1466</v>
      </c>
      <c r="F149" s="1" t="s">
        <v>999</v>
      </c>
      <c r="G149" s="1" t="s">
        <v>49</v>
      </c>
      <c r="H149" s="2" t="s">
        <v>1642</v>
      </c>
      <c r="I149" s="1">
        <v>8</v>
      </c>
      <c r="J149" s="1">
        <v>3</v>
      </c>
      <c r="K149" s="1" t="s">
        <v>78</v>
      </c>
      <c r="L149" s="1" t="s">
        <v>78</v>
      </c>
      <c r="M149" s="1">
        <v>31.754000000000001</v>
      </c>
      <c r="N149" s="1">
        <v>35</v>
      </c>
      <c r="O149" s="1">
        <v>68.299599999999998</v>
      </c>
      <c r="P149" s="1">
        <v>-166.93870999999999</v>
      </c>
      <c r="Q149" s="1">
        <v>10.54875</v>
      </c>
      <c r="R149" s="1">
        <v>31.011949999999999</v>
      </c>
      <c r="S149" s="1">
        <v>280.24549999999999</v>
      </c>
      <c r="T149" s="1">
        <v>76.43320215</v>
      </c>
      <c r="U149" s="1">
        <v>10.654382</v>
      </c>
      <c r="V149" s="1">
        <v>4864.5161289999996</v>
      </c>
      <c r="W149" s="3">
        <v>1.397</v>
      </c>
      <c r="X149" s="1" t="s">
        <v>79</v>
      </c>
      <c r="Y149" s="1">
        <v>2.16</v>
      </c>
      <c r="AA149" s="1">
        <v>0.52</v>
      </c>
      <c r="AB149" s="1">
        <v>4.49</v>
      </c>
      <c r="AE149" s="1">
        <v>0.23</v>
      </c>
      <c r="AF149" s="1">
        <v>0.21</v>
      </c>
      <c r="AI149" s="1">
        <v>1</v>
      </c>
      <c r="AJ149" s="1" t="s">
        <v>79</v>
      </c>
      <c r="AK149" s="1">
        <v>2.2000000000000002</v>
      </c>
      <c r="AL149" s="1">
        <v>83.519000000000005</v>
      </c>
      <c r="AM149" s="1" t="s">
        <v>79</v>
      </c>
      <c r="AN149" s="1">
        <v>7.1738747634541404</v>
      </c>
      <c r="AO149" s="1">
        <v>1.08284902089874</v>
      </c>
      <c r="AP149" s="1" t="s">
        <v>1643</v>
      </c>
      <c r="AQ149" s="1">
        <v>-1.71</v>
      </c>
      <c r="AR149" s="1">
        <v>6.52</v>
      </c>
      <c r="AT149" s="1">
        <v>31</v>
      </c>
    </row>
    <row r="150" spans="1:46">
      <c r="A150" s="1" t="s">
        <v>302</v>
      </c>
      <c r="B150" s="1">
        <v>77</v>
      </c>
      <c r="C150" s="1" t="s">
        <v>302</v>
      </c>
      <c r="D150" s="1" t="s">
        <v>303</v>
      </c>
      <c r="E150" s="1" t="s">
        <v>47</v>
      </c>
      <c r="F150" s="1" t="s">
        <v>304</v>
      </c>
      <c r="G150" s="1" t="s">
        <v>49</v>
      </c>
      <c r="H150" s="2" t="s">
        <v>305</v>
      </c>
      <c r="I150" s="1">
        <v>43</v>
      </c>
      <c r="J150" s="1">
        <v>0.2</v>
      </c>
      <c r="K150" s="1" t="s">
        <v>52</v>
      </c>
      <c r="L150" s="1" t="s">
        <v>52</v>
      </c>
      <c r="M150" s="1">
        <v>2.64</v>
      </c>
      <c r="N150" s="1">
        <v>48</v>
      </c>
      <c r="O150" s="1">
        <v>68.184799999999996</v>
      </c>
      <c r="P150" s="1">
        <v>-167.30969999999999</v>
      </c>
      <c r="Q150" s="1">
        <v>5.87</v>
      </c>
      <c r="R150" s="1">
        <v>32.363</v>
      </c>
      <c r="S150" s="1">
        <v>328.01600000000002</v>
      </c>
      <c r="T150" s="1">
        <v>148.08000000000001</v>
      </c>
      <c r="U150" s="1">
        <v>25.74</v>
      </c>
      <c r="V150" s="1">
        <v>2000</v>
      </c>
      <c r="W150" s="3">
        <v>9.9500000000000005E-2</v>
      </c>
      <c r="X150" s="1" t="s">
        <v>306</v>
      </c>
      <c r="Y150" s="1">
        <v>0.24</v>
      </c>
      <c r="Z150" s="1">
        <v>0.09</v>
      </c>
      <c r="AA150" s="1">
        <v>0.49199999999999999</v>
      </c>
      <c r="AB150" s="1">
        <v>1.1000000000000001</v>
      </c>
      <c r="AC150" s="1">
        <v>0.1</v>
      </c>
      <c r="AD150" s="1">
        <v>0</v>
      </c>
      <c r="AE150" s="1">
        <v>0.15</v>
      </c>
      <c r="AF150" s="1">
        <v>0.1</v>
      </c>
      <c r="AH150" s="1" t="s">
        <v>307</v>
      </c>
      <c r="AI150" s="1">
        <v>23</v>
      </c>
      <c r="AJ150" s="1" t="s">
        <v>308</v>
      </c>
      <c r="AK150" s="1">
        <v>8</v>
      </c>
      <c r="AL150" s="1">
        <v>91.422899999999998</v>
      </c>
      <c r="AM150" s="1" t="s">
        <v>306</v>
      </c>
      <c r="AN150" s="1">
        <v>5.7529137529137504</v>
      </c>
      <c r="AO150" s="1">
        <v>0.868364340062453</v>
      </c>
    </row>
    <row r="151" spans="1:46">
      <c r="A151" s="1" t="s">
        <v>309</v>
      </c>
      <c r="B151" s="1">
        <v>80</v>
      </c>
      <c r="C151" s="1" t="s">
        <v>309</v>
      </c>
      <c r="D151" s="1" t="s">
        <v>310</v>
      </c>
      <c r="E151" s="1" t="s">
        <v>47</v>
      </c>
      <c r="F151" s="1" t="s">
        <v>304</v>
      </c>
      <c r="G151" s="1" t="s">
        <v>49</v>
      </c>
      <c r="H151" s="2" t="s">
        <v>305</v>
      </c>
      <c r="I151" s="1">
        <v>43</v>
      </c>
      <c r="J151" s="1">
        <v>3</v>
      </c>
      <c r="K151" s="1" t="s">
        <v>52</v>
      </c>
      <c r="L151" s="1" t="s">
        <v>52</v>
      </c>
      <c r="M151" s="1">
        <v>2.64</v>
      </c>
      <c r="N151" s="1">
        <v>48</v>
      </c>
      <c r="O151" s="1">
        <v>68.184799999999996</v>
      </c>
      <c r="P151" s="1">
        <v>-167.30969999999999</v>
      </c>
      <c r="Q151" s="1">
        <v>5.87</v>
      </c>
      <c r="R151" s="1">
        <v>32.363</v>
      </c>
      <c r="S151" s="1">
        <v>328.01600000000002</v>
      </c>
      <c r="T151" s="1">
        <v>148.08000000000001</v>
      </c>
      <c r="U151" s="1">
        <v>25.74</v>
      </c>
      <c r="V151" s="1">
        <v>2000</v>
      </c>
      <c r="W151" s="3">
        <v>9.9500000000000005E-2</v>
      </c>
      <c r="X151" s="1" t="s">
        <v>306</v>
      </c>
      <c r="Y151" s="1">
        <v>0.24</v>
      </c>
      <c r="Z151" s="1">
        <v>0.09</v>
      </c>
      <c r="AA151" s="1">
        <v>0.49199999999999999</v>
      </c>
      <c r="AB151" s="1">
        <v>1.1000000000000001</v>
      </c>
      <c r="AC151" s="1">
        <v>0.1</v>
      </c>
      <c r="AD151" s="1">
        <v>0</v>
      </c>
      <c r="AE151" s="1">
        <v>0.15</v>
      </c>
      <c r="AF151" s="1">
        <v>0.1</v>
      </c>
      <c r="AH151" s="1" t="s">
        <v>311</v>
      </c>
      <c r="AI151" s="1">
        <v>23</v>
      </c>
      <c r="AJ151" s="1" t="s">
        <v>308</v>
      </c>
      <c r="AK151" s="1">
        <v>8</v>
      </c>
      <c r="AL151" s="1">
        <v>91.422899999999998</v>
      </c>
      <c r="AM151" s="1" t="s">
        <v>306</v>
      </c>
      <c r="AN151" s="1">
        <v>5.7529137529137504</v>
      </c>
      <c r="AO151" s="1">
        <v>0.868364340062453</v>
      </c>
    </row>
    <row r="152" spans="1:46">
      <c r="A152" s="1" t="s">
        <v>312</v>
      </c>
      <c r="B152" s="1">
        <v>83</v>
      </c>
      <c r="C152" s="1" t="s">
        <v>312</v>
      </c>
      <c r="D152" s="1" t="s">
        <v>313</v>
      </c>
      <c r="E152" s="1" t="s">
        <v>47</v>
      </c>
      <c r="F152" s="1" t="s">
        <v>304</v>
      </c>
      <c r="G152" s="1" t="s">
        <v>49</v>
      </c>
      <c r="H152" s="2" t="s">
        <v>305</v>
      </c>
      <c r="I152" s="1">
        <v>43</v>
      </c>
      <c r="J152" s="1">
        <v>20</v>
      </c>
      <c r="K152" s="1" t="s">
        <v>52</v>
      </c>
      <c r="L152" s="1" t="s">
        <v>52</v>
      </c>
      <c r="M152" s="1">
        <v>2.64</v>
      </c>
      <c r="N152" s="1">
        <v>48</v>
      </c>
      <c r="O152" s="1">
        <v>68.184799999999996</v>
      </c>
      <c r="P152" s="1">
        <v>-167.30969999999999</v>
      </c>
      <c r="Q152" s="1">
        <v>5.87</v>
      </c>
      <c r="R152" s="1">
        <v>32.363</v>
      </c>
      <c r="S152" s="1">
        <v>328.01600000000002</v>
      </c>
      <c r="T152" s="1">
        <v>148.08000000000001</v>
      </c>
      <c r="U152" s="1">
        <v>25.74</v>
      </c>
      <c r="V152" s="1">
        <v>2000</v>
      </c>
      <c r="W152" s="3">
        <v>9.9500000000000005E-2</v>
      </c>
      <c r="X152" s="1" t="s">
        <v>306</v>
      </c>
      <c r="Y152" s="1">
        <v>0.24</v>
      </c>
      <c r="Z152" s="1">
        <v>0.09</v>
      </c>
      <c r="AA152" s="1">
        <v>0.49199999999999999</v>
      </c>
      <c r="AB152" s="1">
        <v>1.1000000000000001</v>
      </c>
      <c r="AC152" s="1">
        <v>0.1</v>
      </c>
      <c r="AD152" s="1">
        <v>0</v>
      </c>
      <c r="AE152" s="1">
        <v>0.15</v>
      </c>
      <c r="AF152" s="1">
        <v>0.1</v>
      </c>
      <c r="AH152" s="1" t="s">
        <v>314</v>
      </c>
      <c r="AI152" s="1">
        <v>23</v>
      </c>
      <c r="AJ152" s="1" t="s">
        <v>308</v>
      </c>
      <c r="AK152" s="1">
        <v>8</v>
      </c>
      <c r="AL152" s="1">
        <v>91.422899999999998</v>
      </c>
      <c r="AM152" s="1" t="s">
        <v>306</v>
      </c>
      <c r="AN152" s="1">
        <v>5.7529137529137504</v>
      </c>
      <c r="AO152" s="1">
        <v>0.868364340062453</v>
      </c>
    </row>
    <row r="153" spans="1:46">
      <c r="A153" s="1" t="s">
        <v>315</v>
      </c>
      <c r="B153" s="1">
        <v>78</v>
      </c>
      <c r="C153" s="1" t="s">
        <v>315</v>
      </c>
      <c r="D153" s="1" t="s">
        <v>316</v>
      </c>
      <c r="E153" s="1" t="s">
        <v>47</v>
      </c>
      <c r="F153" s="1" t="s">
        <v>304</v>
      </c>
      <c r="G153" s="1" t="s">
        <v>49</v>
      </c>
      <c r="H153" s="2" t="s">
        <v>305</v>
      </c>
      <c r="I153" s="1">
        <v>43</v>
      </c>
      <c r="J153" s="1">
        <v>0.2</v>
      </c>
      <c r="K153" s="1" t="s">
        <v>210</v>
      </c>
      <c r="L153" s="1" t="s">
        <v>65</v>
      </c>
      <c r="M153" s="1">
        <v>16.100000000000001</v>
      </c>
      <c r="N153" s="1">
        <v>48</v>
      </c>
      <c r="O153" s="1">
        <v>68.184799999999996</v>
      </c>
      <c r="P153" s="1">
        <v>-167.30969999999999</v>
      </c>
      <c r="Q153" s="1">
        <v>2.2475000000000001</v>
      </c>
      <c r="R153" s="1">
        <v>32.289000000000001</v>
      </c>
      <c r="S153" s="1">
        <v>375.77199999999999</v>
      </c>
      <c r="W153" s="3">
        <v>0.85540000000000005</v>
      </c>
      <c r="X153" s="1" t="s">
        <v>317</v>
      </c>
      <c r="Y153" s="1">
        <v>0.9</v>
      </c>
      <c r="Z153" s="1">
        <v>0.34</v>
      </c>
      <c r="AA153" s="1">
        <v>0.71499999999999997</v>
      </c>
      <c r="AB153" s="1">
        <v>1.5</v>
      </c>
      <c r="AC153" s="1">
        <v>0.1</v>
      </c>
      <c r="AD153" s="1">
        <v>0.02</v>
      </c>
      <c r="AE153" s="1">
        <v>1.23</v>
      </c>
      <c r="AF153" s="1">
        <v>0.12</v>
      </c>
      <c r="AH153" s="1" t="s">
        <v>318</v>
      </c>
      <c r="AI153" s="1">
        <v>14</v>
      </c>
      <c r="AJ153" s="1" t="s">
        <v>319</v>
      </c>
      <c r="AK153" s="1">
        <v>9</v>
      </c>
      <c r="AL153" s="1">
        <v>88.2226</v>
      </c>
      <c r="AM153" s="1" t="s">
        <v>317</v>
      </c>
      <c r="AS153" s="1" t="s">
        <v>320</v>
      </c>
    </row>
    <row r="154" spans="1:46">
      <c r="A154" s="1" t="s">
        <v>321</v>
      </c>
      <c r="B154" s="1">
        <v>81</v>
      </c>
      <c r="C154" s="1" t="s">
        <v>321</v>
      </c>
      <c r="D154" s="1" t="s">
        <v>322</v>
      </c>
      <c r="E154" s="1" t="s">
        <v>47</v>
      </c>
      <c r="F154" s="1" t="s">
        <v>304</v>
      </c>
      <c r="G154" s="1" t="s">
        <v>49</v>
      </c>
      <c r="H154" s="2" t="s">
        <v>305</v>
      </c>
      <c r="I154" s="1">
        <v>43</v>
      </c>
      <c r="J154" s="1">
        <v>3</v>
      </c>
      <c r="K154" s="1" t="s">
        <v>210</v>
      </c>
      <c r="L154" s="1" t="s">
        <v>65</v>
      </c>
      <c r="M154" s="1">
        <v>16.100000000000001</v>
      </c>
      <c r="N154" s="1">
        <v>48</v>
      </c>
      <c r="O154" s="1">
        <v>68.184799999999996</v>
      </c>
      <c r="P154" s="1">
        <v>-167.30969999999999</v>
      </c>
      <c r="Q154" s="1">
        <v>2.2475000000000001</v>
      </c>
      <c r="R154" s="1">
        <v>32.289000000000001</v>
      </c>
      <c r="S154" s="1">
        <v>375.77199999999999</v>
      </c>
      <c r="W154" s="3">
        <v>0.85540000000000005</v>
      </c>
      <c r="X154" s="1" t="s">
        <v>317</v>
      </c>
      <c r="Y154" s="1">
        <v>0.9</v>
      </c>
      <c r="Z154" s="1">
        <v>0.34</v>
      </c>
      <c r="AA154" s="1">
        <v>0.71499999999999997</v>
      </c>
      <c r="AB154" s="1">
        <v>1.5</v>
      </c>
      <c r="AC154" s="1">
        <v>0.1</v>
      </c>
      <c r="AD154" s="1">
        <v>0.02</v>
      </c>
      <c r="AE154" s="1">
        <v>1.23</v>
      </c>
      <c r="AF154" s="1">
        <v>0.12</v>
      </c>
      <c r="AH154" s="1" t="s">
        <v>323</v>
      </c>
      <c r="AI154" s="1">
        <v>14</v>
      </c>
      <c r="AJ154" s="1" t="s">
        <v>319</v>
      </c>
      <c r="AK154" s="1">
        <v>9</v>
      </c>
      <c r="AL154" s="1">
        <v>88.2226</v>
      </c>
      <c r="AM154" s="1" t="s">
        <v>317</v>
      </c>
      <c r="AS154" s="1" t="s">
        <v>320</v>
      </c>
    </row>
    <row r="155" spans="1:46">
      <c r="A155" s="1" t="s">
        <v>324</v>
      </c>
      <c r="B155" s="1">
        <v>84</v>
      </c>
      <c r="C155" s="1" t="s">
        <v>324</v>
      </c>
      <c r="D155" s="1" t="s">
        <v>325</v>
      </c>
      <c r="E155" s="1" t="s">
        <v>47</v>
      </c>
      <c r="F155" s="1" t="s">
        <v>304</v>
      </c>
      <c r="G155" s="1" t="s">
        <v>49</v>
      </c>
      <c r="H155" s="2" t="s">
        <v>305</v>
      </c>
      <c r="I155" s="1">
        <v>43</v>
      </c>
      <c r="J155" s="1">
        <v>20</v>
      </c>
      <c r="K155" s="1" t="s">
        <v>210</v>
      </c>
      <c r="L155" s="1" t="s">
        <v>65</v>
      </c>
      <c r="M155" s="1">
        <v>16.100000000000001</v>
      </c>
      <c r="N155" s="1">
        <v>48</v>
      </c>
      <c r="O155" s="1">
        <v>68.184799999999996</v>
      </c>
      <c r="P155" s="1">
        <v>-167.30969999999999</v>
      </c>
      <c r="Q155" s="1">
        <v>2.2475000000000001</v>
      </c>
      <c r="R155" s="1">
        <v>32.289000000000001</v>
      </c>
      <c r="S155" s="1">
        <v>375.77199999999999</v>
      </c>
      <c r="W155" s="3">
        <v>0.85540000000000005</v>
      </c>
      <c r="X155" s="1" t="s">
        <v>317</v>
      </c>
      <c r="Y155" s="1">
        <v>0.9</v>
      </c>
      <c r="Z155" s="1">
        <v>0.34</v>
      </c>
      <c r="AA155" s="1">
        <v>0.71499999999999997</v>
      </c>
      <c r="AB155" s="1">
        <v>1.5</v>
      </c>
      <c r="AC155" s="1">
        <v>0.1</v>
      </c>
      <c r="AD155" s="1">
        <v>0.02</v>
      </c>
      <c r="AE155" s="1">
        <v>1.23</v>
      </c>
      <c r="AF155" s="1">
        <v>0.12</v>
      </c>
      <c r="AH155" s="1" t="s">
        <v>326</v>
      </c>
      <c r="AI155" s="1">
        <v>14</v>
      </c>
      <c r="AJ155" s="1" t="s">
        <v>319</v>
      </c>
      <c r="AK155" s="1">
        <v>9</v>
      </c>
      <c r="AL155" s="1">
        <v>88.2226</v>
      </c>
      <c r="AM155" s="1" t="s">
        <v>317</v>
      </c>
      <c r="AS155" s="1" t="s">
        <v>320</v>
      </c>
    </row>
    <row r="156" spans="1:46">
      <c r="A156" s="1" t="s">
        <v>327</v>
      </c>
      <c r="B156" s="1">
        <v>79</v>
      </c>
      <c r="C156" s="1" t="s">
        <v>327</v>
      </c>
      <c r="D156" s="1" t="s">
        <v>328</v>
      </c>
      <c r="E156" s="1" t="s">
        <v>47</v>
      </c>
      <c r="F156" s="1" t="s">
        <v>304</v>
      </c>
      <c r="G156" s="1" t="s">
        <v>49</v>
      </c>
      <c r="H156" s="2" t="s">
        <v>305</v>
      </c>
      <c r="I156" s="1">
        <v>43</v>
      </c>
      <c r="J156" s="1">
        <v>0.2</v>
      </c>
      <c r="K156" s="1" t="s">
        <v>150</v>
      </c>
      <c r="L156" s="1" t="s">
        <v>78</v>
      </c>
      <c r="M156" s="1">
        <v>45.2</v>
      </c>
      <c r="N156" s="1">
        <v>48</v>
      </c>
      <c r="O156" s="1">
        <v>68.184799999999996</v>
      </c>
      <c r="P156" s="1">
        <v>-167.30969999999999</v>
      </c>
      <c r="Q156" s="1">
        <v>1.4875</v>
      </c>
      <c r="R156" s="1">
        <v>32.278500000000001</v>
      </c>
      <c r="S156" s="1">
        <v>382.90100000000001</v>
      </c>
      <c r="T156" s="1">
        <v>184.16</v>
      </c>
      <c r="U156" s="1">
        <v>28.6</v>
      </c>
      <c r="V156" s="1">
        <v>2360</v>
      </c>
      <c r="W156" s="3">
        <v>1.4821</v>
      </c>
      <c r="X156" s="1" t="s">
        <v>329</v>
      </c>
      <c r="Y156" s="1">
        <v>0.96</v>
      </c>
      <c r="Z156" s="1">
        <v>0.5</v>
      </c>
      <c r="AA156" s="1">
        <v>0.72799999999999998</v>
      </c>
      <c r="AB156" s="1">
        <v>2.2000000000000002</v>
      </c>
      <c r="AC156" s="1">
        <v>0.1</v>
      </c>
      <c r="AD156" s="1">
        <v>0.02</v>
      </c>
      <c r="AE156" s="1">
        <v>1.31</v>
      </c>
      <c r="AF156" s="1">
        <v>0.12</v>
      </c>
      <c r="AH156" s="1" t="s">
        <v>330</v>
      </c>
      <c r="AI156" s="1">
        <v>2</v>
      </c>
      <c r="AJ156" s="1" t="s">
        <v>331</v>
      </c>
      <c r="AK156" s="1">
        <v>9</v>
      </c>
      <c r="AL156" s="1">
        <v>83.949799999999996</v>
      </c>
      <c r="AM156" s="1" t="s">
        <v>329</v>
      </c>
      <c r="AN156" s="1">
        <v>6.4391608391608397</v>
      </c>
      <c r="AO156" s="1">
        <v>0.97194880591107002</v>
      </c>
    </row>
    <row r="157" spans="1:46">
      <c r="A157" s="1" t="s">
        <v>332</v>
      </c>
      <c r="B157" s="1">
        <v>82</v>
      </c>
      <c r="C157" s="1" t="s">
        <v>332</v>
      </c>
      <c r="D157" s="1" t="s">
        <v>333</v>
      </c>
      <c r="E157" s="1" t="s">
        <v>47</v>
      </c>
      <c r="F157" s="1" t="s">
        <v>304</v>
      </c>
      <c r="G157" s="1" t="s">
        <v>49</v>
      </c>
      <c r="H157" s="2" t="s">
        <v>305</v>
      </c>
      <c r="I157" s="1">
        <v>43</v>
      </c>
      <c r="J157" s="1">
        <v>3</v>
      </c>
      <c r="K157" s="1" t="s">
        <v>150</v>
      </c>
      <c r="L157" s="1" t="s">
        <v>78</v>
      </c>
      <c r="M157" s="1">
        <v>45.2</v>
      </c>
      <c r="N157" s="1">
        <v>48</v>
      </c>
      <c r="O157" s="1">
        <v>68.184799999999996</v>
      </c>
      <c r="P157" s="1">
        <v>-167.30969999999999</v>
      </c>
      <c r="Q157" s="1">
        <v>1.4875</v>
      </c>
      <c r="R157" s="1">
        <v>32.278500000000001</v>
      </c>
      <c r="S157" s="1">
        <v>382.90100000000001</v>
      </c>
      <c r="T157" s="1">
        <v>184.16</v>
      </c>
      <c r="U157" s="1">
        <v>28.6</v>
      </c>
      <c r="V157" s="1">
        <v>2360</v>
      </c>
      <c r="W157" s="3">
        <v>1.4821</v>
      </c>
      <c r="X157" s="1" t="s">
        <v>329</v>
      </c>
      <c r="Y157" s="1">
        <v>0.96</v>
      </c>
      <c r="Z157" s="1">
        <v>0.5</v>
      </c>
      <c r="AA157" s="1">
        <v>0.72799999999999998</v>
      </c>
      <c r="AB157" s="1">
        <v>2.2000000000000002</v>
      </c>
      <c r="AC157" s="1">
        <v>0.1</v>
      </c>
      <c r="AD157" s="1">
        <v>0.02</v>
      </c>
      <c r="AE157" s="1">
        <v>1.31</v>
      </c>
      <c r="AF157" s="1">
        <v>0.12</v>
      </c>
      <c r="AH157" s="1" t="s">
        <v>334</v>
      </c>
      <c r="AI157" s="1">
        <v>2</v>
      </c>
      <c r="AJ157" s="1" t="s">
        <v>331</v>
      </c>
      <c r="AK157" s="1">
        <v>9</v>
      </c>
      <c r="AL157" s="1">
        <v>83.949799999999996</v>
      </c>
      <c r="AM157" s="1" t="s">
        <v>329</v>
      </c>
      <c r="AN157" s="1">
        <v>6.4391608391608397</v>
      </c>
      <c r="AO157" s="1">
        <v>0.97194880591107002</v>
      </c>
      <c r="AS157" s="1" t="s">
        <v>335</v>
      </c>
    </row>
    <row r="158" spans="1:46">
      <c r="A158" s="1" t="s">
        <v>336</v>
      </c>
      <c r="B158" s="1">
        <v>85</v>
      </c>
      <c r="C158" s="1" t="s">
        <v>336</v>
      </c>
      <c r="D158" s="1" t="s">
        <v>337</v>
      </c>
      <c r="E158" s="1" t="s">
        <v>47</v>
      </c>
      <c r="F158" s="1" t="s">
        <v>304</v>
      </c>
      <c r="G158" s="1" t="s">
        <v>49</v>
      </c>
      <c r="H158" s="2" t="s">
        <v>305</v>
      </c>
      <c r="I158" s="1">
        <v>43</v>
      </c>
      <c r="J158" s="1">
        <v>20</v>
      </c>
      <c r="K158" s="1" t="s">
        <v>150</v>
      </c>
      <c r="L158" s="1" t="s">
        <v>78</v>
      </c>
      <c r="M158" s="1">
        <v>45.2</v>
      </c>
      <c r="N158" s="1">
        <v>48</v>
      </c>
      <c r="O158" s="1">
        <v>68.184799999999996</v>
      </c>
      <c r="P158" s="1">
        <v>-167.30969999999999</v>
      </c>
      <c r="Q158" s="1">
        <v>1.4875</v>
      </c>
      <c r="R158" s="1">
        <v>32.278500000000001</v>
      </c>
      <c r="S158" s="1">
        <v>382.90100000000001</v>
      </c>
      <c r="T158" s="1">
        <v>184.16</v>
      </c>
      <c r="U158" s="1">
        <v>28.6</v>
      </c>
      <c r="V158" s="1">
        <v>2360</v>
      </c>
      <c r="W158" s="3">
        <v>1.4821</v>
      </c>
      <c r="X158" s="1" t="s">
        <v>329</v>
      </c>
      <c r="Y158" s="1">
        <v>0.96</v>
      </c>
      <c r="Z158" s="1">
        <v>0.5</v>
      </c>
      <c r="AA158" s="1">
        <v>0.72799999999999998</v>
      </c>
      <c r="AB158" s="1">
        <v>2.2000000000000002</v>
      </c>
      <c r="AC158" s="1">
        <v>0.1</v>
      </c>
      <c r="AD158" s="1">
        <v>0.02</v>
      </c>
      <c r="AE158" s="1">
        <v>1.31</v>
      </c>
      <c r="AF158" s="1">
        <v>0.12</v>
      </c>
      <c r="AH158" s="1" t="s">
        <v>338</v>
      </c>
      <c r="AI158" s="1">
        <v>2</v>
      </c>
      <c r="AJ158" s="1" t="s">
        <v>331</v>
      </c>
      <c r="AK158" s="1">
        <v>9</v>
      </c>
      <c r="AL158" s="1">
        <v>83.949799999999996</v>
      </c>
      <c r="AM158" s="1" t="s">
        <v>329</v>
      </c>
      <c r="AN158" s="1">
        <v>6.4391608391608397</v>
      </c>
      <c r="AO158" s="1">
        <v>0.97194880591107002</v>
      </c>
    </row>
    <row r="159" spans="1:46">
      <c r="A159" s="1" t="s">
        <v>1644</v>
      </c>
      <c r="C159" s="1" t="s">
        <v>1644</v>
      </c>
      <c r="D159" s="1" t="s">
        <v>1645</v>
      </c>
      <c r="E159" s="1" t="s">
        <v>1466</v>
      </c>
      <c r="F159" s="1" t="s">
        <v>1112</v>
      </c>
      <c r="G159" s="1" t="s">
        <v>456</v>
      </c>
      <c r="H159" s="2" t="s">
        <v>1646</v>
      </c>
      <c r="I159" s="1">
        <v>2</v>
      </c>
      <c r="J159" s="1">
        <v>0.2</v>
      </c>
      <c r="K159" s="1" t="s">
        <v>52</v>
      </c>
      <c r="L159" s="1" t="s">
        <v>52</v>
      </c>
      <c r="M159" s="1">
        <v>4.9180000000000001</v>
      </c>
      <c r="N159" s="1">
        <v>51</v>
      </c>
      <c r="O159" s="1">
        <v>67.783820000000006</v>
      </c>
      <c r="P159" s="1">
        <v>-168.60422</v>
      </c>
      <c r="Q159" s="1">
        <v>8.0004000000000008</v>
      </c>
      <c r="R159" s="1">
        <v>31.9983</v>
      </c>
      <c r="S159" s="1">
        <v>340.13900000000001</v>
      </c>
      <c r="W159" s="3">
        <v>1.2010000000000001</v>
      </c>
      <c r="X159" s="1" t="s">
        <v>1647</v>
      </c>
      <c r="Y159" s="1">
        <v>2.0099999999999998</v>
      </c>
      <c r="AA159" s="1">
        <v>0.21</v>
      </c>
      <c r="AB159" s="1">
        <v>3.28</v>
      </c>
      <c r="AE159" s="1">
        <v>0.22</v>
      </c>
      <c r="AF159" s="1">
        <v>0.17</v>
      </c>
      <c r="AI159" s="1">
        <v>14</v>
      </c>
      <c r="AJ159" s="1" t="s">
        <v>1647</v>
      </c>
      <c r="AK159" s="1">
        <v>2.4</v>
      </c>
      <c r="AL159" s="1">
        <v>85.870400000000004</v>
      </c>
      <c r="AM159" s="1" t="s">
        <v>1647</v>
      </c>
      <c r="AP159" s="1" t="s">
        <v>1648</v>
      </c>
      <c r="AQ159" s="1">
        <v>-1.34</v>
      </c>
      <c r="AR159" s="1">
        <v>22.99</v>
      </c>
      <c r="AS159" s="1" t="s">
        <v>1649</v>
      </c>
      <c r="AT159" s="1">
        <v>5</v>
      </c>
    </row>
    <row r="160" spans="1:46">
      <c r="A160" s="1" t="s">
        <v>1650</v>
      </c>
      <c r="C160" s="1" t="s">
        <v>1650</v>
      </c>
      <c r="D160" s="1" t="s">
        <v>1651</v>
      </c>
      <c r="E160" s="1" t="s">
        <v>1466</v>
      </c>
      <c r="F160" s="1" t="s">
        <v>1112</v>
      </c>
      <c r="G160" s="1" t="s">
        <v>456</v>
      </c>
      <c r="H160" s="2" t="s">
        <v>1652</v>
      </c>
      <c r="I160" s="1">
        <v>2</v>
      </c>
      <c r="J160" s="1">
        <v>0.2</v>
      </c>
      <c r="K160" s="1" t="s">
        <v>1488</v>
      </c>
      <c r="L160" s="1" t="s">
        <v>65</v>
      </c>
      <c r="M160" s="1">
        <v>7.3179999999999996</v>
      </c>
      <c r="N160" s="1">
        <v>51</v>
      </c>
      <c r="O160" s="1">
        <v>67.783540000000002</v>
      </c>
      <c r="P160" s="1">
        <v>-168.60473999999999</v>
      </c>
      <c r="Q160" s="1">
        <v>6.7879500000000004</v>
      </c>
      <c r="R160" s="1">
        <v>32.664900000000003</v>
      </c>
      <c r="S160" s="1">
        <v>401.0025</v>
      </c>
      <c r="W160" s="3">
        <v>2.5289999999999999</v>
      </c>
      <c r="X160" s="1" t="s">
        <v>1653</v>
      </c>
      <c r="AI160" s="1">
        <v>12</v>
      </c>
      <c r="AJ160" s="1" t="s">
        <v>1653</v>
      </c>
      <c r="AK160" s="1">
        <v>2.4</v>
      </c>
      <c r="AL160" s="1">
        <v>86.189599999999999</v>
      </c>
      <c r="AM160" s="1" t="s">
        <v>1653</v>
      </c>
      <c r="AP160" s="1" t="s">
        <v>1654</v>
      </c>
      <c r="AR160" s="1">
        <v>22.99</v>
      </c>
      <c r="AT160" s="1">
        <v>7</v>
      </c>
    </row>
    <row r="161" spans="1:46">
      <c r="A161" s="1" t="s">
        <v>1655</v>
      </c>
      <c r="C161" s="1" t="s">
        <v>1655</v>
      </c>
      <c r="D161" s="1" t="s">
        <v>1656</v>
      </c>
      <c r="E161" s="1" t="s">
        <v>1466</v>
      </c>
      <c r="F161" s="1" t="s">
        <v>1112</v>
      </c>
      <c r="G161" s="1" t="s">
        <v>456</v>
      </c>
      <c r="H161" s="2" t="s">
        <v>1657</v>
      </c>
      <c r="I161" s="1">
        <v>2</v>
      </c>
      <c r="J161" s="1">
        <v>0.2</v>
      </c>
      <c r="L161" s="1" t="s">
        <v>65</v>
      </c>
      <c r="M161" s="1">
        <v>10.172000000000001</v>
      </c>
      <c r="N161" s="1">
        <v>51</v>
      </c>
      <c r="O161" s="1">
        <v>67.783540000000002</v>
      </c>
      <c r="P161" s="1">
        <v>-168.60471999999999</v>
      </c>
      <c r="Q161" s="1">
        <v>6.2478999999999996</v>
      </c>
      <c r="R161" s="1">
        <v>32.732199999999999</v>
      </c>
      <c r="S161" s="1">
        <v>384.87150000000003</v>
      </c>
      <c r="W161" s="3">
        <v>1.859</v>
      </c>
      <c r="X161" s="1" t="s">
        <v>1658</v>
      </c>
      <c r="Y161" s="1">
        <v>3.06</v>
      </c>
      <c r="AA161" s="1">
        <v>0.32</v>
      </c>
      <c r="AB161" s="1">
        <v>8.66</v>
      </c>
      <c r="AE161" s="1">
        <v>0.27</v>
      </c>
      <c r="AF161" s="1">
        <v>0.25</v>
      </c>
      <c r="AI161" s="1">
        <v>10</v>
      </c>
      <c r="AJ161" s="1" t="s">
        <v>1658</v>
      </c>
      <c r="AK161" s="1">
        <v>2.4</v>
      </c>
      <c r="AL161" s="1">
        <v>89.811400000000006</v>
      </c>
      <c r="AM161" s="1" t="s">
        <v>1658</v>
      </c>
      <c r="AP161" s="1" t="s">
        <v>1659</v>
      </c>
      <c r="AR161" s="1">
        <v>22.99</v>
      </c>
      <c r="AT161" s="1">
        <v>10</v>
      </c>
    </row>
    <row r="162" spans="1:46">
      <c r="A162" s="1" t="s">
        <v>1660</v>
      </c>
      <c r="C162" s="1" t="s">
        <v>1660</v>
      </c>
      <c r="D162" s="1" t="s">
        <v>1661</v>
      </c>
      <c r="E162" s="1" t="s">
        <v>1466</v>
      </c>
      <c r="F162" s="1" t="s">
        <v>1112</v>
      </c>
      <c r="G162" s="1" t="s">
        <v>456</v>
      </c>
      <c r="H162" s="2" t="s">
        <v>1662</v>
      </c>
      <c r="I162" s="1">
        <v>2</v>
      </c>
      <c r="J162" s="1">
        <v>0.2</v>
      </c>
      <c r="K162" s="1" t="s">
        <v>1488</v>
      </c>
      <c r="L162" s="1" t="s">
        <v>65</v>
      </c>
      <c r="M162" s="1">
        <v>16.832999999999998</v>
      </c>
      <c r="N162" s="1">
        <v>51</v>
      </c>
      <c r="O162" s="1">
        <v>67.783500000000004</v>
      </c>
      <c r="P162" s="1">
        <v>-168.60481999999999</v>
      </c>
      <c r="Q162" s="1">
        <v>5.1426499999999997</v>
      </c>
      <c r="R162" s="1">
        <v>32.738799999999998</v>
      </c>
      <c r="S162" s="1">
        <v>339.64150000000001</v>
      </c>
      <c r="W162" s="3">
        <v>3.2570000000000001</v>
      </c>
      <c r="X162" s="1" t="s">
        <v>1663</v>
      </c>
      <c r="AI162" s="1">
        <v>9</v>
      </c>
      <c r="AJ162" s="1" t="s">
        <v>1663</v>
      </c>
      <c r="AK162" s="1">
        <v>2.4</v>
      </c>
      <c r="AL162" s="1">
        <v>86.759200000000007</v>
      </c>
      <c r="AM162" s="1" t="s">
        <v>1663</v>
      </c>
      <c r="AP162" s="1" t="s">
        <v>1664</v>
      </c>
      <c r="AR162" s="1">
        <v>22.99</v>
      </c>
      <c r="AT162" s="1">
        <v>17</v>
      </c>
    </row>
    <row r="163" spans="1:46">
      <c r="A163" s="1" t="s">
        <v>1665</v>
      </c>
      <c r="C163" s="1" t="s">
        <v>1665</v>
      </c>
      <c r="D163" s="1" t="s">
        <v>1666</v>
      </c>
      <c r="E163" s="1" t="s">
        <v>1466</v>
      </c>
      <c r="F163" s="1" t="s">
        <v>1112</v>
      </c>
      <c r="G163" s="1" t="s">
        <v>456</v>
      </c>
      <c r="H163" s="2" t="s">
        <v>1667</v>
      </c>
      <c r="I163" s="1">
        <v>2</v>
      </c>
      <c r="J163" s="1">
        <v>0.2</v>
      </c>
      <c r="L163" s="1" t="s">
        <v>65</v>
      </c>
      <c r="M163" s="1">
        <v>19.963000000000001</v>
      </c>
      <c r="N163" s="1">
        <v>51</v>
      </c>
      <c r="O163" s="1">
        <v>67.783500000000004</v>
      </c>
      <c r="P163" s="1">
        <v>-168.60484</v>
      </c>
      <c r="Q163" s="1">
        <v>4.7338500000000003</v>
      </c>
      <c r="R163" s="1">
        <v>32.755450000000003</v>
      </c>
      <c r="S163" s="1">
        <v>303.92649999999998</v>
      </c>
      <c r="W163" s="3">
        <v>1.232</v>
      </c>
      <c r="X163" s="1" t="s">
        <v>1668</v>
      </c>
      <c r="Y163" s="1">
        <v>2.5099999999999998</v>
      </c>
      <c r="AA163" s="1">
        <v>1.2</v>
      </c>
      <c r="AB163" s="1">
        <v>19.79</v>
      </c>
      <c r="AE163" s="1">
        <v>0.81</v>
      </c>
      <c r="AF163" s="1">
        <v>7.36</v>
      </c>
      <c r="AI163" s="1">
        <v>7</v>
      </c>
      <c r="AJ163" s="1" t="s">
        <v>1668</v>
      </c>
      <c r="AK163" s="1">
        <v>2.4</v>
      </c>
      <c r="AL163" s="1">
        <v>89.565700000000007</v>
      </c>
      <c r="AM163" s="1" t="s">
        <v>1668</v>
      </c>
      <c r="AP163" s="1" t="s">
        <v>1669</v>
      </c>
      <c r="AR163" s="1">
        <v>22.99</v>
      </c>
      <c r="AT163" s="1">
        <v>20</v>
      </c>
    </row>
    <row r="164" spans="1:46">
      <c r="A164" s="1" t="s">
        <v>1670</v>
      </c>
      <c r="C164" s="1" t="s">
        <v>1670</v>
      </c>
      <c r="D164" s="1" t="s">
        <v>1671</v>
      </c>
      <c r="E164" s="1" t="s">
        <v>1466</v>
      </c>
      <c r="F164" s="1" t="s">
        <v>1112</v>
      </c>
      <c r="G164" s="1" t="s">
        <v>456</v>
      </c>
      <c r="H164" s="2" t="s">
        <v>1672</v>
      </c>
      <c r="I164" s="1">
        <v>2</v>
      </c>
      <c r="J164" s="1">
        <v>0.2</v>
      </c>
      <c r="L164" s="1" t="s">
        <v>65</v>
      </c>
      <c r="M164" s="1">
        <v>30.305</v>
      </c>
      <c r="N164" s="1">
        <v>51</v>
      </c>
      <c r="O164" s="1">
        <v>67.783500000000004</v>
      </c>
      <c r="P164" s="1">
        <v>-168.60478000000001</v>
      </c>
      <c r="Q164" s="1">
        <v>4.0871000000000004</v>
      </c>
      <c r="R164" s="1">
        <v>32.757899999999999</v>
      </c>
      <c r="S164" s="1">
        <v>282.3605</v>
      </c>
      <c r="W164" s="3">
        <v>0.45100000000000001</v>
      </c>
      <c r="X164" s="1" t="s">
        <v>1673</v>
      </c>
      <c r="Y164" s="1">
        <v>0.94</v>
      </c>
      <c r="AA164" s="1">
        <v>1.61</v>
      </c>
      <c r="AB164" s="1">
        <v>28.81</v>
      </c>
      <c r="AE164" s="1">
        <v>3.25</v>
      </c>
      <c r="AF164" s="1">
        <v>11.64</v>
      </c>
      <c r="AI164" s="1">
        <v>5</v>
      </c>
      <c r="AJ164" s="1" t="s">
        <v>1673</v>
      </c>
      <c r="AK164" s="1">
        <v>2.4</v>
      </c>
      <c r="AL164" s="1">
        <v>87.1053</v>
      </c>
      <c r="AM164" s="1" t="s">
        <v>1673</v>
      </c>
      <c r="AP164" s="1" t="s">
        <v>1674</v>
      </c>
      <c r="AR164" s="1">
        <v>22.99</v>
      </c>
      <c r="AT164" s="1">
        <v>30</v>
      </c>
    </row>
    <row r="165" spans="1:46">
      <c r="A165" s="1" t="s">
        <v>1675</v>
      </c>
      <c r="C165" s="1" t="s">
        <v>1675</v>
      </c>
      <c r="D165" s="1" t="s">
        <v>1676</v>
      </c>
      <c r="E165" s="1" t="s">
        <v>1466</v>
      </c>
      <c r="F165" s="1" t="s">
        <v>1112</v>
      </c>
      <c r="G165" s="1" t="s">
        <v>456</v>
      </c>
      <c r="H165" s="2" t="s">
        <v>1677</v>
      </c>
      <c r="I165" s="1">
        <v>2</v>
      </c>
      <c r="J165" s="1">
        <v>0.2</v>
      </c>
      <c r="L165" s="1" t="s">
        <v>78</v>
      </c>
      <c r="M165" s="1">
        <v>41.886000000000003</v>
      </c>
      <c r="N165" s="1">
        <v>51</v>
      </c>
      <c r="O165" s="1">
        <v>67.783500000000004</v>
      </c>
      <c r="P165" s="1">
        <v>-168.60481999999999</v>
      </c>
      <c r="Q165" s="1">
        <v>3.9708999999999999</v>
      </c>
      <c r="R165" s="1">
        <v>32.758299999999998</v>
      </c>
      <c r="S165" s="1">
        <v>273.58249999999998</v>
      </c>
      <c r="W165" s="3">
        <v>0.35899999999999999</v>
      </c>
      <c r="X165" s="1" t="s">
        <v>1678</v>
      </c>
      <c r="Y165" s="1">
        <v>0.78</v>
      </c>
      <c r="AA165" s="1">
        <v>1.65</v>
      </c>
      <c r="AB165" s="1">
        <v>30.36</v>
      </c>
      <c r="AE165" s="1">
        <v>3.75</v>
      </c>
      <c r="AF165" s="1">
        <v>11.86</v>
      </c>
      <c r="AI165" s="1">
        <v>3</v>
      </c>
      <c r="AJ165" s="1" t="s">
        <v>1678</v>
      </c>
      <c r="AK165" s="1">
        <v>2.4</v>
      </c>
      <c r="AL165" s="1">
        <v>69.888900000000007</v>
      </c>
      <c r="AM165" s="1" t="s">
        <v>1678</v>
      </c>
      <c r="AP165" s="1" t="s">
        <v>1679</v>
      </c>
      <c r="AR165" s="1">
        <v>22.99</v>
      </c>
      <c r="AT165" s="1">
        <v>40</v>
      </c>
    </row>
    <row r="166" spans="1:46">
      <c r="A166" s="1" t="s">
        <v>1680</v>
      </c>
      <c r="C166" s="1" t="s">
        <v>1680</v>
      </c>
      <c r="D166" s="1" t="s">
        <v>1681</v>
      </c>
      <c r="E166" s="1" t="s">
        <v>1466</v>
      </c>
      <c r="F166" s="1" t="s">
        <v>1112</v>
      </c>
      <c r="G166" s="1" t="s">
        <v>456</v>
      </c>
      <c r="H166" s="2" t="s">
        <v>1682</v>
      </c>
      <c r="I166" s="1">
        <v>2</v>
      </c>
      <c r="J166" s="1">
        <v>0.2</v>
      </c>
      <c r="K166" s="1" t="s">
        <v>78</v>
      </c>
      <c r="L166" s="1" t="s">
        <v>78</v>
      </c>
      <c r="M166" s="1">
        <v>46.631</v>
      </c>
      <c r="N166" s="1">
        <v>51</v>
      </c>
      <c r="O166" s="1">
        <v>67.783529999999999</v>
      </c>
      <c r="P166" s="1">
        <v>-168.60471999999999</v>
      </c>
      <c r="Q166" s="1">
        <v>3.9765000000000001</v>
      </c>
      <c r="R166" s="1">
        <v>32.758049999999997</v>
      </c>
      <c r="S166" s="1">
        <v>273.6105</v>
      </c>
      <c r="W166" s="3">
        <v>0.41199999999999998</v>
      </c>
      <c r="X166" s="1" t="s">
        <v>1683</v>
      </c>
      <c r="Y166" s="1">
        <v>0.96</v>
      </c>
      <c r="AA166" s="1">
        <v>1.73</v>
      </c>
      <c r="AB166" s="1">
        <v>30.61</v>
      </c>
      <c r="AE166" s="1">
        <v>3.7</v>
      </c>
      <c r="AF166" s="1">
        <v>12.07</v>
      </c>
      <c r="AI166" s="1">
        <v>1</v>
      </c>
      <c r="AJ166" s="1" t="s">
        <v>1683</v>
      </c>
      <c r="AK166" s="1">
        <v>2.4</v>
      </c>
      <c r="AL166" s="1">
        <v>60.9998</v>
      </c>
      <c r="AM166" s="1" t="s">
        <v>1683</v>
      </c>
      <c r="AP166" s="1" t="s">
        <v>1684</v>
      </c>
      <c r="AQ166" s="1">
        <v>-1.03</v>
      </c>
      <c r="AR166" s="1">
        <v>22.99</v>
      </c>
      <c r="AT166" s="1">
        <v>47</v>
      </c>
    </row>
    <row r="167" spans="1:46">
      <c r="A167" s="1" t="s">
        <v>1685</v>
      </c>
      <c r="C167" s="1" t="s">
        <v>1685</v>
      </c>
      <c r="D167" s="1" t="s">
        <v>1686</v>
      </c>
      <c r="E167" s="1" t="s">
        <v>1394</v>
      </c>
      <c r="F167" s="1" t="s">
        <v>1133</v>
      </c>
      <c r="G167" s="1" t="s">
        <v>456</v>
      </c>
      <c r="H167" s="2" t="s">
        <v>1687</v>
      </c>
      <c r="I167" s="1">
        <v>1</v>
      </c>
      <c r="J167" s="1">
        <v>0.2</v>
      </c>
      <c r="K167" s="1" t="s">
        <v>1688</v>
      </c>
      <c r="L167" s="1" t="s">
        <v>52</v>
      </c>
      <c r="M167" s="1">
        <v>3.7690000000000001</v>
      </c>
      <c r="N167" s="1">
        <v>50.7</v>
      </c>
      <c r="O167" s="1">
        <v>67.676500000000004</v>
      </c>
      <c r="P167" s="1">
        <v>-168.9485</v>
      </c>
      <c r="Q167" s="1">
        <v>6.3146000000000004</v>
      </c>
      <c r="R167" s="1">
        <v>29.980550000000001</v>
      </c>
      <c r="S167" s="1">
        <v>324.69886830000002</v>
      </c>
      <c r="W167" s="3">
        <v>0.66839999999999999</v>
      </c>
      <c r="X167" s="1" t="s">
        <v>1689</v>
      </c>
      <c r="Y167" s="1">
        <v>1.3340000000000001</v>
      </c>
      <c r="Z167" s="1">
        <v>0.80500000000000005</v>
      </c>
      <c r="AA167" s="1">
        <v>0.755</v>
      </c>
      <c r="AB167" s="1">
        <v>9.6999999999999993</v>
      </c>
      <c r="AC167" s="1">
        <v>0.5</v>
      </c>
      <c r="AD167" s="1">
        <v>0.06</v>
      </c>
      <c r="AE167" s="1">
        <v>0.56000000000000005</v>
      </c>
      <c r="AF167" s="1">
        <v>0.56000000000000005</v>
      </c>
      <c r="AH167" s="8" t="s">
        <v>1690</v>
      </c>
      <c r="AI167" s="8">
        <v>14</v>
      </c>
      <c r="AJ167" s="8" t="s">
        <v>1691</v>
      </c>
      <c r="AK167" s="8">
        <v>2.1</v>
      </c>
      <c r="AM167" s="1" t="s">
        <v>1689</v>
      </c>
      <c r="AT167" s="8" t="s">
        <v>1607</v>
      </c>
    </row>
    <row r="168" spans="1:46">
      <c r="A168" s="1" t="s">
        <v>1692</v>
      </c>
      <c r="C168" s="1" t="s">
        <v>1692</v>
      </c>
      <c r="D168" s="1" t="s">
        <v>1693</v>
      </c>
      <c r="E168" s="1" t="s">
        <v>1466</v>
      </c>
      <c r="F168" s="1" t="s">
        <v>1133</v>
      </c>
      <c r="G168" s="1" t="s">
        <v>49</v>
      </c>
      <c r="H168" s="2" t="s">
        <v>1694</v>
      </c>
      <c r="I168" s="1">
        <v>1</v>
      </c>
      <c r="J168" s="1">
        <v>0.2</v>
      </c>
      <c r="K168" s="1" t="s">
        <v>52</v>
      </c>
      <c r="L168" s="1" t="s">
        <v>52</v>
      </c>
      <c r="M168" s="1">
        <v>5.4589999999999996</v>
      </c>
      <c r="N168" s="1">
        <v>48</v>
      </c>
      <c r="O168" s="1">
        <v>67.667420000000007</v>
      </c>
      <c r="P168" s="1">
        <v>-168.95445000000001</v>
      </c>
      <c r="Q168" s="1">
        <v>6.7220500000000003</v>
      </c>
      <c r="R168" s="1">
        <v>32.712049999999998</v>
      </c>
      <c r="S168" s="1">
        <v>408.11450000000002</v>
      </c>
      <c r="T168" s="1">
        <v>390.5054968</v>
      </c>
      <c r="U168" s="1">
        <v>66.496291900000003</v>
      </c>
      <c r="V168" s="1">
        <v>2966.666667</v>
      </c>
      <c r="W168" s="3">
        <v>4.3449999999999998</v>
      </c>
      <c r="X168" s="1" t="s">
        <v>1695</v>
      </c>
      <c r="Y168" s="1">
        <v>9.2799999999999994</v>
      </c>
      <c r="AA168" s="1">
        <v>0.32</v>
      </c>
      <c r="AB168" s="1">
        <v>11.04</v>
      </c>
      <c r="AE168" s="1">
        <v>0.32</v>
      </c>
      <c r="AF168" s="1">
        <v>0.28999999999999998</v>
      </c>
      <c r="AI168" s="1">
        <v>11</v>
      </c>
      <c r="AJ168" s="1" t="s">
        <v>1695</v>
      </c>
      <c r="AK168" s="1">
        <v>1.6</v>
      </c>
      <c r="AL168" s="1">
        <v>82.955699999999993</v>
      </c>
      <c r="AM168" s="1" t="s">
        <v>1695</v>
      </c>
      <c r="AN168" s="1">
        <v>5.87259057072324</v>
      </c>
      <c r="AO168" s="1">
        <v>0.88642876539218696</v>
      </c>
      <c r="AP168" s="1" t="s">
        <v>1696</v>
      </c>
      <c r="AQ168" s="1">
        <v>-1.1000000000000001</v>
      </c>
      <c r="AR168" s="1">
        <v>16.489999999999998</v>
      </c>
      <c r="AT168" s="1">
        <v>5</v>
      </c>
    </row>
    <row r="169" spans="1:46">
      <c r="A169" s="1" t="s">
        <v>1697</v>
      </c>
      <c r="C169" s="1" t="s">
        <v>1697</v>
      </c>
      <c r="D169" s="1" t="s">
        <v>1698</v>
      </c>
      <c r="E169" s="1" t="s">
        <v>1466</v>
      </c>
      <c r="F169" s="1" t="s">
        <v>1133</v>
      </c>
      <c r="G169" s="1" t="s">
        <v>49</v>
      </c>
      <c r="H169" s="2" t="s">
        <v>1694</v>
      </c>
      <c r="I169" s="1">
        <v>1</v>
      </c>
      <c r="J169" s="1">
        <v>3</v>
      </c>
      <c r="K169" s="1" t="s">
        <v>52</v>
      </c>
      <c r="L169" s="1" t="s">
        <v>52</v>
      </c>
      <c r="M169" s="1">
        <v>5.4589999999999996</v>
      </c>
      <c r="N169" s="1">
        <v>48</v>
      </c>
      <c r="O169" s="1">
        <v>67.667420000000007</v>
      </c>
      <c r="P169" s="1">
        <v>-168.95445000000001</v>
      </c>
      <c r="Q169" s="1">
        <v>6.7220500000000003</v>
      </c>
      <c r="R169" s="1">
        <v>32.712049999999998</v>
      </c>
      <c r="S169" s="1">
        <v>408.11450000000002</v>
      </c>
      <c r="T169" s="1">
        <v>390.5054968</v>
      </c>
      <c r="U169" s="1">
        <v>66.496291900000003</v>
      </c>
      <c r="V169" s="1">
        <v>2966.666667</v>
      </c>
      <c r="W169" s="3">
        <v>4.3449999999999998</v>
      </c>
      <c r="X169" s="1" t="s">
        <v>1695</v>
      </c>
      <c r="Y169" s="1">
        <v>9.2799999999999994</v>
      </c>
      <c r="AA169" s="1">
        <v>0.32</v>
      </c>
      <c r="AB169" s="1">
        <v>11.04</v>
      </c>
      <c r="AE169" s="1">
        <v>0.32</v>
      </c>
      <c r="AF169" s="1">
        <v>0.28999999999999998</v>
      </c>
      <c r="AI169" s="1">
        <v>11</v>
      </c>
      <c r="AJ169" s="1" t="s">
        <v>1695</v>
      </c>
      <c r="AL169" s="1">
        <v>82.955699999999993</v>
      </c>
      <c r="AM169" s="1" t="s">
        <v>1695</v>
      </c>
      <c r="AN169" s="1">
        <v>5.87259057072324</v>
      </c>
      <c r="AO169" s="1">
        <v>0.88642876539218696</v>
      </c>
      <c r="AP169" s="1" t="s">
        <v>1696</v>
      </c>
      <c r="AQ169" s="1">
        <v>-1.1000000000000001</v>
      </c>
      <c r="AR169" s="1">
        <v>16.489999999999998</v>
      </c>
      <c r="AT169" s="1">
        <v>5</v>
      </c>
    </row>
    <row r="170" spans="1:46">
      <c r="A170" s="1" t="s">
        <v>1699</v>
      </c>
      <c r="C170" s="1" t="s">
        <v>1699</v>
      </c>
      <c r="D170" s="1" t="s">
        <v>1700</v>
      </c>
      <c r="E170" s="1" t="s">
        <v>1466</v>
      </c>
      <c r="F170" s="1" t="s">
        <v>1133</v>
      </c>
      <c r="G170" s="1" t="s">
        <v>49</v>
      </c>
      <c r="H170" s="2" t="s">
        <v>1694</v>
      </c>
      <c r="I170" s="1">
        <v>1</v>
      </c>
      <c r="J170" s="1">
        <v>20</v>
      </c>
      <c r="K170" s="1" t="s">
        <v>52</v>
      </c>
      <c r="L170" s="1" t="s">
        <v>52</v>
      </c>
      <c r="M170" s="1">
        <v>5.4589999999999996</v>
      </c>
      <c r="N170" s="1">
        <v>48</v>
      </c>
      <c r="O170" s="1">
        <v>67.667420000000007</v>
      </c>
      <c r="P170" s="1">
        <v>-168.95445000000001</v>
      </c>
      <c r="Q170" s="1">
        <v>6.7220500000000003</v>
      </c>
      <c r="R170" s="1">
        <v>32.712049999999998</v>
      </c>
      <c r="S170" s="1">
        <v>408.11450000000002</v>
      </c>
      <c r="T170" s="1">
        <v>390.5054968</v>
      </c>
      <c r="U170" s="1">
        <v>66.496291900000003</v>
      </c>
      <c r="V170" s="1">
        <v>2966.666667</v>
      </c>
      <c r="W170" s="3">
        <v>4.3449999999999998</v>
      </c>
      <c r="X170" s="1" t="s">
        <v>1695</v>
      </c>
      <c r="Y170" s="1">
        <v>9.2799999999999994</v>
      </c>
      <c r="AA170" s="1">
        <v>0.32</v>
      </c>
      <c r="AB170" s="1">
        <v>11.04</v>
      </c>
      <c r="AE170" s="1">
        <v>0.32</v>
      </c>
      <c r="AF170" s="1">
        <v>0.28999999999999998</v>
      </c>
      <c r="AI170" s="1">
        <v>11</v>
      </c>
      <c r="AJ170" s="1" t="s">
        <v>1695</v>
      </c>
      <c r="AL170" s="1">
        <v>82.955699999999993</v>
      </c>
      <c r="AM170" s="1" t="s">
        <v>1695</v>
      </c>
      <c r="AN170" s="1">
        <v>5.87259057072324</v>
      </c>
      <c r="AO170" s="1">
        <v>0.88642876539218696</v>
      </c>
      <c r="AP170" s="1" t="s">
        <v>1696</v>
      </c>
      <c r="AQ170" s="1">
        <v>-1.1000000000000001</v>
      </c>
      <c r="AR170" s="1">
        <v>16.489999999999998</v>
      </c>
      <c r="AS170" s="1" t="s">
        <v>1701</v>
      </c>
      <c r="AT170" s="1">
        <v>5</v>
      </c>
    </row>
    <row r="171" spans="1:46">
      <c r="A171" s="1" t="s">
        <v>1702</v>
      </c>
      <c r="C171" s="1" t="s">
        <v>1702</v>
      </c>
      <c r="D171" s="1" t="s">
        <v>1703</v>
      </c>
      <c r="E171" s="1" t="s">
        <v>1466</v>
      </c>
      <c r="F171" s="1" t="s">
        <v>1133</v>
      </c>
      <c r="G171" s="1" t="s">
        <v>49</v>
      </c>
      <c r="H171" s="2" t="s">
        <v>1704</v>
      </c>
      <c r="I171" s="1">
        <v>1</v>
      </c>
      <c r="J171" s="1">
        <v>0.2</v>
      </c>
      <c r="L171" s="1" t="s">
        <v>65</v>
      </c>
      <c r="M171" s="1">
        <v>10.558999999999999</v>
      </c>
      <c r="N171" s="1">
        <v>48</v>
      </c>
      <c r="O171" s="1">
        <v>67.667199999999994</v>
      </c>
      <c r="P171" s="1">
        <v>-168.95473999999999</v>
      </c>
      <c r="Q171" s="1">
        <v>5.0166000000000004</v>
      </c>
      <c r="R171" s="1">
        <v>32.663350000000001</v>
      </c>
      <c r="S171" s="1">
        <v>329.78649999999999</v>
      </c>
      <c r="T171" s="1">
        <v>198.6493174</v>
      </c>
      <c r="U171" s="1">
        <v>36.047312769999998</v>
      </c>
      <c r="V171" s="1">
        <v>2800</v>
      </c>
      <c r="W171" s="3">
        <v>2.3719999999999999</v>
      </c>
      <c r="X171" s="1" t="s">
        <v>1705</v>
      </c>
      <c r="Y171" s="1">
        <v>8.68</v>
      </c>
      <c r="AA171" s="1">
        <v>1.01</v>
      </c>
      <c r="AB171" s="1">
        <v>23.06</v>
      </c>
      <c r="AE171" s="1">
        <v>0.56999999999999995</v>
      </c>
      <c r="AF171" s="1">
        <v>5.81</v>
      </c>
      <c r="AI171" s="1">
        <v>9</v>
      </c>
      <c r="AJ171" s="1" t="s">
        <v>1705</v>
      </c>
      <c r="AK171" s="1">
        <v>1.5</v>
      </c>
      <c r="AL171" s="1">
        <v>80.607900000000001</v>
      </c>
      <c r="AM171" s="1" t="s">
        <v>1705</v>
      </c>
      <c r="AN171" s="1">
        <v>5.5107940685477104</v>
      </c>
      <c r="AO171" s="1">
        <v>0.83181797261097501</v>
      </c>
      <c r="AP171" s="1" t="s">
        <v>1706</v>
      </c>
      <c r="AR171" s="1">
        <v>16.489999999999998</v>
      </c>
      <c r="AT171" s="1">
        <v>10</v>
      </c>
    </row>
    <row r="172" spans="1:46">
      <c r="A172" s="1" t="s">
        <v>1707</v>
      </c>
      <c r="C172" s="1" t="s">
        <v>1707</v>
      </c>
      <c r="D172" s="1" t="s">
        <v>1708</v>
      </c>
      <c r="E172" s="1" t="s">
        <v>1466</v>
      </c>
      <c r="F172" s="1" t="s">
        <v>1133</v>
      </c>
      <c r="G172" s="1" t="s">
        <v>49</v>
      </c>
      <c r="H172" s="2" t="s">
        <v>1704</v>
      </c>
      <c r="I172" s="1">
        <v>1</v>
      </c>
      <c r="J172" s="1">
        <v>3</v>
      </c>
      <c r="L172" s="1" t="s">
        <v>65</v>
      </c>
      <c r="M172" s="1">
        <v>10.558999999999999</v>
      </c>
      <c r="N172" s="1">
        <v>48</v>
      </c>
      <c r="O172" s="1">
        <v>67.667199999999994</v>
      </c>
      <c r="P172" s="1">
        <v>-168.95473999999999</v>
      </c>
      <c r="Q172" s="1">
        <v>5.0166000000000004</v>
      </c>
      <c r="R172" s="1">
        <v>32.663350000000001</v>
      </c>
      <c r="S172" s="1">
        <v>329.78649999999999</v>
      </c>
      <c r="T172" s="1">
        <v>198.6493174</v>
      </c>
      <c r="U172" s="1">
        <v>36.047312769999998</v>
      </c>
      <c r="V172" s="1">
        <v>2800</v>
      </c>
      <c r="W172" s="3">
        <v>2.3719999999999999</v>
      </c>
      <c r="X172" s="1" t="s">
        <v>1705</v>
      </c>
      <c r="Y172" s="1">
        <v>8.68</v>
      </c>
      <c r="AA172" s="1">
        <v>1.01</v>
      </c>
      <c r="AB172" s="1">
        <v>23.06</v>
      </c>
      <c r="AE172" s="1">
        <v>0.56999999999999995</v>
      </c>
      <c r="AF172" s="1">
        <v>5.81</v>
      </c>
      <c r="AI172" s="1">
        <v>9</v>
      </c>
      <c r="AJ172" s="1" t="s">
        <v>1705</v>
      </c>
      <c r="AL172" s="1">
        <v>80.607900000000001</v>
      </c>
      <c r="AM172" s="1" t="s">
        <v>1705</v>
      </c>
      <c r="AN172" s="1">
        <v>5.5107940685477104</v>
      </c>
      <c r="AO172" s="1">
        <v>0.83181797261097501</v>
      </c>
      <c r="AP172" s="1" t="s">
        <v>1706</v>
      </c>
      <c r="AR172" s="1">
        <v>16.489999999999998</v>
      </c>
      <c r="AT172" s="1">
        <v>10</v>
      </c>
    </row>
    <row r="173" spans="1:46">
      <c r="A173" s="1" t="s">
        <v>1709</v>
      </c>
      <c r="C173" s="1" t="s">
        <v>1709</v>
      </c>
      <c r="D173" s="1" t="s">
        <v>1710</v>
      </c>
      <c r="E173" s="1" t="s">
        <v>1466</v>
      </c>
      <c r="F173" s="1" t="s">
        <v>1133</v>
      </c>
      <c r="G173" s="1" t="s">
        <v>49</v>
      </c>
      <c r="H173" s="2" t="s">
        <v>1704</v>
      </c>
      <c r="I173" s="1">
        <v>1</v>
      </c>
      <c r="J173" s="1">
        <v>20</v>
      </c>
      <c r="L173" s="1" t="s">
        <v>65</v>
      </c>
      <c r="M173" s="1">
        <v>10.558999999999999</v>
      </c>
      <c r="N173" s="1">
        <v>48</v>
      </c>
      <c r="O173" s="1">
        <v>67.667199999999994</v>
      </c>
      <c r="P173" s="1">
        <v>-168.95473999999999</v>
      </c>
      <c r="Q173" s="1">
        <v>5.0166000000000004</v>
      </c>
      <c r="R173" s="1">
        <v>32.663350000000001</v>
      </c>
      <c r="S173" s="1">
        <v>329.78649999999999</v>
      </c>
      <c r="T173" s="1">
        <v>198.6493174</v>
      </c>
      <c r="U173" s="1">
        <v>36.047312769999998</v>
      </c>
      <c r="V173" s="1">
        <v>2800</v>
      </c>
      <c r="W173" s="3">
        <v>2.3719999999999999</v>
      </c>
      <c r="X173" s="1" t="s">
        <v>1705</v>
      </c>
      <c r="Y173" s="1">
        <v>8.68</v>
      </c>
      <c r="AA173" s="1">
        <v>1.01</v>
      </c>
      <c r="AB173" s="1">
        <v>23.06</v>
      </c>
      <c r="AE173" s="1">
        <v>0.56999999999999995</v>
      </c>
      <c r="AF173" s="1">
        <v>5.81</v>
      </c>
      <c r="AI173" s="1">
        <v>9</v>
      </c>
      <c r="AJ173" s="1" t="s">
        <v>1705</v>
      </c>
      <c r="AL173" s="1">
        <v>80.607900000000001</v>
      </c>
      <c r="AM173" s="1" t="s">
        <v>1705</v>
      </c>
      <c r="AN173" s="1">
        <v>5.5107940685477104</v>
      </c>
      <c r="AO173" s="1">
        <v>0.83181797261097501</v>
      </c>
      <c r="AP173" s="1" t="s">
        <v>1706</v>
      </c>
      <c r="AR173" s="1">
        <v>16.489999999999998</v>
      </c>
      <c r="AT173" s="1">
        <v>10</v>
      </c>
    </row>
    <row r="174" spans="1:46">
      <c r="A174" s="1" t="s">
        <v>1711</v>
      </c>
      <c r="C174" s="1" t="s">
        <v>1711</v>
      </c>
      <c r="D174" s="1" t="s">
        <v>1712</v>
      </c>
      <c r="E174" s="1" t="s">
        <v>1394</v>
      </c>
      <c r="F174" s="1" t="s">
        <v>1133</v>
      </c>
      <c r="G174" s="1" t="s">
        <v>456</v>
      </c>
      <c r="H174" s="2" t="s">
        <v>1687</v>
      </c>
      <c r="I174" s="1">
        <v>1</v>
      </c>
      <c r="J174" s="1">
        <v>0.2</v>
      </c>
      <c r="K174" s="1">
        <v>10</v>
      </c>
      <c r="L174" s="1" t="s">
        <v>65</v>
      </c>
      <c r="M174" s="1">
        <v>10.911</v>
      </c>
      <c r="N174" s="1">
        <v>50.7</v>
      </c>
      <c r="O174" s="1">
        <v>67.676500000000004</v>
      </c>
      <c r="P174" s="1">
        <v>-168.9485</v>
      </c>
      <c r="Q174" s="1">
        <v>6.3074000000000003</v>
      </c>
      <c r="R174" s="1">
        <v>29.9834</v>
      </c>
      <c r="S174" s="1">
        <v>324.02895330000001</v>
      </c>
      <c r="W174" s="3">
        <v>0.68879999999999997</v>
      </c>
      <c r="X174" s="1" t="s">
        <v>1695</v>
      </c>
      <c r="Y174" s="1">
        <v>1.093</v>
      </c>
      <c r="Z174" s="1">
        <v>0.66900000000000004</v>
      </c>
      <c r="AA174" s="1">
        <v>0.83299999999999996</v>
      </c>
      <c r="AB174" s="1">
        <v>11.5</v>
      </c>
      <c r="AC174" s="1">
        <v>1.1000000000000001</v>
      </c>
      <c r="AD174" s="1">
        <v>7.0000000000000007E-2</v>
      </c>
      <c r="AE174" s="1">
        <v>1.02</v>
      </c>
      <c r="AF174" s="1">
        <v>1.17</v>
      </c>
      <c r="AH174" s="8" t="s">
        <v>1713</v>
      </c>
      <c r="AI174" s="8">
        <v>12</v>
      </c>
      <c r="AJ174" s="8" t="s">
        <v>1714</v>
      </c>
      <c r="AK174" s="8">
        <v>2.2000000000000002</v>
      </c>
      <c r="AM174" s="1" t="s">
        <v>1695</v>
      </c>
      <c r="AT174" s="8" t="s">
        <v>1607</v>
      </c>
    </row>
    <row r="175" spans="1:46">
      <c r="A175" s="1" t="s">
        <v>1715</v>
      </c>
      <c r="C175" s="1" t="s">
        <v>1715</v>
      </c>
      <c r="D175" s="1" t="s">
        <v>1716</v>
      </c>
      <c r="E175" s="1" t="s">
        <v>1394</v>
      </c>
      <c r="F175" s="1" t="s">
        <v>1133</v>
      </c>
      <c r="G175" s="1" t="s">
        <v>456</v>
      </c>
      <c r="H175" s="2" t="s">
        <v>1687</v>
      </c>
      <c r="I175" s="1">
        <v>1</v>
      </c>
      <c r="J175" s="1">
        <v>0.2</v>
      </c>
      <c r="K175" s="1">
        <v>20</v>
      </c>
      <c r="L175" s="1" t="s">
        <v>65</v>
      </c>
      <c r="M175" s="1">
        <v>20.27</v>
      </c>
      <c r="N175" s="1">
        <v>50.7</v>
      </c>
      <c r="O175" s="1">
        <v>67.676500000000004</v>
      </c>
      <c r="P175" s="1">
        <v>-168.9485</v>
      </c>
      <c r="Q175" s="1">
        <v>4.8189000000000002</v>
      </c>
      <c r="R175" s="1">
        <v>32.091299999999997</v>
      </c>
      <c r="S175" s="1">
        <v>256.8052161</v>
      </c>
      <c r="W175" s="3">
        <v>0.25919999999999999</v>
      </c>
      <c r="X175" s="1" t="s">
        <v>1705</v>
      </c>
      <c r="Y175" s="1">
        <v>0.28199999999999997</v>
      </c>
      <c r="Z175" s="1">
        <v>0.73799999999999999</v>
      </c>
      <c r="AA175" s="1">
        <v>1.9470000000000001</v>
      </c>
      <c r="AB175" s="1">
        <v>33.299999999999997</v>
      </c>
      <c r="AC175" s="1">
        <v>8.4</v>
      </c>
      <c r="AD175" s="1">
        <v>0.26</v>
      </c>
      <c r="AE175" s="1">
        <v>6.89</v>
      </c>
      <c r="AF175" s="1">
        <v>8.66</v>
      </c>
      <c r="AH175" s="8" t="s">
        <v>1717</v>
      </c>
      <c r="AI175" s="8">
        <v>10</v>
      </c>
      <c r="AJ175" s="8" t="s">
        <v>1718</v>
      </c>
      <c r="AK175" s="8">
        <v>2.4</v>
      </c>
      <c r="AM175" s="1" t="s">
        <v>1705</v>
      </c>
      <c r="AT175" s="8" t="s">
        <v>1607</v>
      </c>
    </row>
    <row r="176" spans="1:46">
      <c r="A176" s="1" t="s">
        <v>1719</v>
      </c>
      <c r="C176" s="1" t="s">
        <v>1719</v>
      </c>
      <c r="D176" s="1" t="s">
        <v>1720</v>
      </c>
      <c r="E176" s="1" t="s">
        <v>1466</v>
      </c>
      <c r="F176" s="1" t="s">
        <v>1133</v>
      </c>
      <c r="G176" s="1" t="s">
        <v>49</v>
      </c>
      <c r="H176" s="2" t="s">
        <v>1721</v>
      </c>
      <c r="I176" s="1">
        <v>1</v>
      </c>
      <c r="J176" s="1">
        <v>0.2</v>
      </c>
      <c r="L176" s="1" t="s">
        <v>65</v>
      </c>
      <c r="M176" s="1">
        <v>20.654</v>
      </c>
      <c r="N176" s="1">
        <v>48</v>
      </c>
      <c r="O176" s="1">
        <v>67.667199999999994</v>
      </c>
      <c r="P176" s="1">
        <v>-168.95488</v>
      </c>
      <c r="Q176" s="1">
        <v>4.1859500000000001</v>
      </c>
      <c r="R176" s="1">
        <v>32.627699999999997</v>
      </c>
      <c r="S176" s="1">
        <v>288.29050000000001</v>
      </c>
      <c r="T176" s="1">
        <v>173.24395010000001</v>
      </c>
      <c r="U176" s="1">
        <v>27.888504569999998</v>
      </c>
      <c r="V176" s="1">
        <v>2123.0769230000001</v>
      </c>
      <c r="W176" s="3">
        <v>0.55900000000000005</v>
      </c>
      <c r="X176" s="1" t="s">
        <v>1722</v>
      </c>
      <c r="Y176" s="1">
        <v>2.1800000000000002</v>
      </c>
      <c r="AA176" s="1">
        <v>1.55</v>
      </c>
      <c r="AB176" s="1">
        <v>34.79</v>
      </c>
      <c r="AE176" s="1">
        <v>2.71</v>
      </c>
      <c r="AF176" s="1">
        <v>12.07</v>
      </c>
      <c r="AI176" s="1">
        <v>7</v>
      </c>
      <c r="AJ176" s="1" t="s">
        <v>1722</v>
      </c>
      <c r="AK176" s="1">
        <v>1.7</v>
      </c>
      <c r="AL176" s="1">
        <v>66.029300000000006</v>
      </c>
      <c r="AM176" s="1" t="s">
        <v>1722</v>
      </c>
      <c r="AN176" s="1">
        <v>6.2120200696010297</v>
      </c>
      <c r="AO176" s="1">
        <v>0.93766340673223103</v>
      </c>
      <c r="AP176" s="1" t="s">
        <v>1723</v>
      </c>
      <c r="AR176" s="1">
        <v>16.489999999999998</v>
      </c>
      <c r="AT176" s="1">
        <v>20</v>
      </c>
    </row>
    <row r="177" spans="1:46">
      <c r="A177" s="1" t="s">
        <v>1724</v>
      </c>
      <c r="C177" s="1" t="s">
        <v>1724</v>
      </c>
      <c r="D177" s="1" t="s">
        <v>1725</v>
      </c>
      <c r="E177" s="1" t="s">
        <v>1466</v>
      </c>
      <c r="F177" s="1" t="s">
        <v>1133</v>
      </c>
      <c r="G177" s="1" t="s">
        <v>49</v>
      </c>
      <c r="H177" s="2" t="s">
        <v>1721</v>
      </c>
      <c r="I177" s="1">
        <v>1</v>
      </c>
      <c r="J177" s="1">
        <v>3</v>
      </c>
      <c r="L177" s="1" t="s">
        <v>65</v>
      </c>
      <c r="M177" s="1">
        <v>20.654</v>
      </c>
      <c r="N177" s="1">
        <v>48</v>
      </c>
      <c r="O177" s="1">
        <v>67.667199999999994</v>
      </c>
      <c r="P177" s="1">
        <v>-168.95488</v>
      </c>
      <c r="Q177" s="1">
        <v>4.1859500000000001</v>
      </c>
      <c r="R177" s="1">
        <v>32.627699999999997</v>
      </c>
      <c r="S177" s="1">
        <v>288.29050000000001</v>
      </c>
      <c r="T177" s="1">
        <v>173.24395010000001</v>
      </c>
      <c r="U177" s="1">
        <v>27.888504569999998</v>
      </c>
      <c r="V177" s="1">
        <v>2123.0769230000001</v>
      </c>
      <c r="W177" s="3">
        <v>0.55900000000000005</v>
      </c>
      <c r="X177" s="1" t="s">
        <v>1722</v>
      </c>
      <c r="Y177" s="1">
        <v>2.1800000000000002</v>
      </c>
      <c r="AA177" s="1">
        <v>1.55</v>
      </c>
      <c r="AB177" s="1">
        <v>34.79</v>
      </c>
      <c r="AE177" s="1">
        <v>2.71</v>
      </c>
      <c r="AF177" s="1">
        <v>12.07</v>
      </c>
      <c r="AI177" s="1">
        <v>7</v>
      </c>
      <c r="AJ177" s="1" t="s">
        <v>1722</v>
      </c>
      <c r="AL177" s="1">
        <v>66.029300000000006</v>
      </c>
      <c r="AM177" s="1" t="s">
        <v>1722</v>
      </c>
      <c r="AN177" s="1">
        <v>6.2120200696010297</v>
      </c>
      <c r="AO177" s="1">
        <v>0.93766340673223103</v>
      </c>
      <c r="AP177" s="1" t="s">
        <v>1723</v>
      </c>
      <c r="AR177" s="1">
        <v>16.489999999999998</v>
      </c>
      <c r="AT177" s="1">
        <v>20</v>
      </c>
    </row>
    <row r="178" spans="1:46">
      <c r="A178" s="1" t="s">
        <v>1726</v>
      </c>
      <c r="C178" s="1" t="s">
        <v>1726</v>
      </c>
      <c r="D178" s="1" t="s">
        <v>1727</v>
      </c>
      <c r="E178" s="1" t="s">
        <v>1466</v>
      </c>
      <c r="F178" s="1" t="s">
        <v>1133</v>
      </c>
      <c r="G178" s="1" t="s">
        <v>49</v>
      </c>
      <c r="H178" s="2" t="s">
        <v>1721</v>
      </c>
      <c r="I178" s="1">
        <v>1</v>
      </c>
      <c r="J178" s="1">
        <v>20</v>
      </c>
      <c r="L178" s="1" t="s">
        <v>65</v>
      </c>
      <c r="M178" s="1">
        <v>20.654</v>
      </c>
      <c r="N178" s="1">
        <v>48</v>
      </c>
      <c r="O178" s="1">
        <v>67.667199999999994</v>
      </c>
      <c r="P178" s="1">
        <v>-168.95488</v>
      </c>
      <c r="Q178" s="1">
        <v>4.1859500000000001</v>
      </c>
      <c r="R178" s="1">
        <v>32.627699999999997</v>
      </c>
      <c r="S178" s="1">
        <v>288.29050000000001</v>
      </c>
      <c r="T178" s="1">
        <v>173.24395010000001</v>
      </c>
      <c r="U178" s="1">
        <v>27.888504569999998</v>
      </c>
      <c r="V178" s="1">
        <v>2123.0769230000001</v>
      </c>
      <c r="W178" s="3">
        <v>0.55900000000000005</v>
      </c>
      <c r="X178" s="1" t="s">
        <v>1722</v>
      </c>
      <c r="Y178" s="1">
        <v>2.1800000000000002</v>
      </c>
      <c r="AA178" s="1">
        <v>1.55</v>
      </c>
      <c r="AB178" s="1">
        <v>34.79</v>
      </c>
      <c r="AE178" s="1">
        <v>2.71</v>
      </c>
      <c r="AF178" s="1">
        <v>12.07</v>
      </c>
      <c r="AI178" s="1">
        <v>7</v>
      </c>
      <c r="AJ178" s="1" t="s">
        <v>1722</v>
      </c>
      <c r="AL178" s="1">
        <v>66.029300000000006</v>
      </c>
      <c r="AM178" s="1" t="s">
        <v>1722</v>
      </c>
      <c r="AN178" s="1">
        <v>6.2120200696010297</v>
      </c>
      <c r="AO178" s="1">
        <v>0.93766340673223103</v>
      </c>
      <c r="AP178" s="1" t="s">
        <v>1723</v>
      </c>
      <c r="AR178" s="1">
        <v>16.489999999999998</v>
      </c>
      <c r="AT178" s="1">
        <v>20</v>
      </c>
    </row>
    <row r="179" spans="1:46">
      <c r="A179" s="1" t="s">
        <v>1728</v>
      </c>
      <c r="C179" s="1" t="s">
        <v>1728</v>
      </c>
      <c r="D179" s="1" t="s">
        <v>1729</v>
      </c>
      <c r="E179" s="1" t="s">
        <v>1466</v>
      </c>
      <c r="F179" s="1" t="s">
        <v>1133</v>
      </c>
      <c r="G179" s="1" t="s">
        <v>49</v>
      </c>
      <c r="H179" s="2" t="s">
        <v>1730</v>
      </c>
      <c r="I179" s="1">
        <v>1</v>
      </c>
      <c r="J179" s="1">
        <v>0.2</v>
      </c>
      <c r="L179" s="1" t="s">
        <v>65</v>
      </c>
      <c r="M179" s="1">
        <v>29.254000000000001</v>
      </c>
      <c r="N179" s="1">
        <v>48</v>
      </c>
      <c r="O179" s="1">
        <v>67.667159999999996</v>
      </c>
      <c r="P179" s="1">
        <v>-168.95511999999999</v>
      </c>
      <c r="Q179" s="1">
        <v>4.1550000000000002</v>
      </c>
      <c r="R179" s="1">
        <v>32.630450000000003</v>
      </c>
      <c r="S179" s="1">
        <v>287.80200000000002</v>
      </c>
      <c r="T179" s="1">
        <v>182.89831899999999</v>
      </c>
      <c r="U179" s="1">
        <v>26.78318492</v>
      </c>
      <c r="V179" s="1">
        <v>6200</v>
      </c>
      <c r="W179" s="3">
        <v>0.70899999999999996</v>
      </c>
      <c r="X179" s="1" t="s">
        <v>1731</v>
      </c>
      <c r="Y179" s="1">
        <v>2.13</v>
      </c>
      <c r="AA179" s="1">
        <v>1.66</v>
      </c>
      <c r="AB179" s="1">
        <v>36.25</v>
      </c>
      <c r="AE179" s="1">
        <v>3.26</v>
      </c>
      <c r="AF179" s="1">
        <v>13.29</v>
      </c>
      <c r="AI179" s="1">
        <v>5</v>
      </c>
      <c r="AJ179" s="1" t="s">
        <v>1731</v>
      </c>
      <c r="AK179" s="1">
        <v>1.7</v>
      </c>
      <c r="AL179" s="1">
        <v>66.592600000000004</v>
      </c>
      <c r="AM179" s="1" t="s">
        <v>1731</v>
      </c>
      <c r="AN179" s="1">
        <v>6.8288487551539498</v>
      </c>
      <c r="AO179" s="1">
        <v>1.0307696234194601</v>
      </c>
      <c r="AP179" s="1" t="s">
        <v>1732</v>
      </c>
      <c r="AR179" s="1">
        <v>16.489999999999998</v>
      </c>
      <c r="AT179" s="1">
        <v>30</v>
      </c>
    </row>
    <row r="180" spans="1:46">
      <c r="A180" s="1" t="s">
        <v>1733</v>
      </c>
      <c r="C180" s="1" t="s">
        <v>1733</v>
      </c>
      <c r="D180" s="1" t="s">
        <v>1734</v>
      </c>
      <c r="E180" s="1" t="s">
        <v>1466</v>
      </c>
      <c r="F180" s="1" t="s">
        <v>1133</v>
      </c>
      <c r="G180" s="1" t="s">
        <v>49</v>
      </c>
      <c r="H180" s="2" t="s">
        <v>1730</v>
      </c>
      <c r="I180" s="1">
        <v>1</v>
      </c>
      <c r="J180" s="1">
        <v>3</v>
      </c>
      <c r="L180" s="1" t="s">
        <v>65</v>
      </c>
      <c r="M180" s="1">
        <v>29.254000000000001</v>
      </c>
      <c r="N180" s="1">
        <v>48</v>
      </c>
      <c r="O180" s="1">
        <v>67.667159999999996</v>
      </c>
      <c r="P180" s="1">
        <v>-168.95511999999999</v>
      </c>
      <c r="Q180" s="1">
        <v>4.1550000000000002</v>
      </c>
      <c r="R180" s="1">
        <v>32.630450000000003</v>
      </c>
      <c r="S180" s="1">
        <v>287.80200000000002</v>
      </c>
      <c r="T180" s="1">
        <v>182.89831899999999</v>
      </c>
      <c r="U180" s="1">
        <v>26.78318492</v>
      </c>
      <c r="V180" s="1">
        <v>6200</v>
      </c>
      <c r="W180" s="3">
        <v>0.70899999999999996</v>
      </c>
      <c r="X180" s="1" t="s">
        <v>1731</v>
      </c>
      <c r="Y180" s="1">
        <v>2.13</v>
      </c>
      <c r="AA180" s="1">
        <v>1.66</v>
      </c>
      <c r="AB180" s="1">
        <v>36.25</v>
      </c>
      <c r="AE180" s="1">
        <v>3.26</v>
      </c>
      <c r="AF180" s="1">
        <v>13.29</v>
      </c>
      <c r="AI180" s="1">
        <v>5</v>
      </c>
      <c r="AJ180" s="1" t="s">
        <v>1731</v>
      </c>
      <c r="AL180" s="1">
        <v>66.592600000000004</v>
      </c>
      <c r="AM180" s="1" t="s">
        <v>1731</v>
      </c>
      <c r="AN180" s="1">
        <v>6.8288487551539498</v>
      </c>
      <c r="AO180" s="1">
        <v>1.0307696234194601</v>
      </c>
      <c r="AP180" s="1" t="s">
        <v>1732</v>
      </c>
      <c r="AR180" s="1">
        <v>16.489999999999998</v>
      </c>
      <c r="AT180" s="1">
        <v>30</v>
      </c>
    </row>
    <row r="181" spans="1:46">
      <c r="A181" s="1" t="s">
        <v>1735</v>
      </c>
      <c r="C181" s="1" t="s">
        <v>1735</v>
      </c>
      <c r="D181" s="1" t="s">
        <v>1736</v>
      </c>
      <c r="E181" s="1" t="s">
        <v>1466</v>
      </c>
      <c r="F181" s="1" t="s">
        <v>1133</v>
      </c>
      <c r="G181" s="1" t="s">
        <v>49</v>
      </c>
      <c r="H181" s="2" t="s">
        <v>1730</v>
      </c>
      <c r="I181" s="1">
        <v>1</v>
      </c>
      <c r="J181" s="1">
        <v>20</v>
      </c>
      <c r="L181" s="1" t="s">
        <v>65</v>
      </c>
      <c r="M181" s="1">
        <v>29.254000000000001</v>
      </c>
      <c r="N181" s="1">
        <v>48</v>
      </c>
      <c r="O181" s="1">
        <v>67.667159999999996</v>
      </c>
      <c r="P181" s="1">
        <v>-168.95511999999999</v>
      </c>
      <c r="Q181" s="1">
        <v>4.1550000000000002</v>
      </c>
      <c r="R181" s="1">
        <v>32.630450000000003</v>
      </c>
      <c r="S181" s="1">
        <v>287.80200000000002</v>
      </c>
      <c r="T181" s="1">
        <v>182.89831899999999</v>
      </c>
      <c r="U181" s="1">
        <v>26.78318492</v>
      </c>
      <c r="V181" s="1">
        <v>6200</v>
      </c>
      <c r="W181" s="3">
        <v>0.70899999999999996</v>
      </c>
      <c r="X181" s="1" t="s">
        <v>1731</v>
      </c>
      <c r="Y181" s="1">
        <v>2.13</v>
      </c>
      <c r="AA181" s="1">
        <v>1.66</v>
      </c>
      <c r="AB181" s="1">
        <v>36.25</v>
      </c>
      <c r="AE181" s="1">
        <v>3.26</v>
      </c>
      <c r="AF181" s="1">
        <v>13.29</v>
      </c>
      <c r="AI181" s="1">
        <v>5</v>
      </c>
      <c r="AJ181" s="1" t="s">
        <v>1731</v>
      </c>
      <c r="AL181" s="1">
        <v>66.592600000000004</v>
      </c>
      <c r="AM181" s="1" t="s">
        <v>1731</v>
      </c>
      <c r="AN181" s="1">
        <v>6.8288487551539498</v>
      </c>
      <c r="AO181" s="1">
        <v>1.0307696234194601</v>
      </c>
      <c r="AP181" s="1" t="s">
        <v>1732</v>
      </c>
      <c r="AR181" s="1">
        <v>16.489999999999998</v>
      </c>
      <c r="AT181" s="1">
        <v>30</v>
      </c>
    </row>
    <row r="182" spans="1:46">
      <c r="A182" s="1" t="s">
        <v>1737</v>
      </c>
      <c r="C182" s="1" t="s">
        <v>1737</v>
      </c>
      <c r="D182" s="1" t="s">
        <v>1738</v>
      </c>
      <c r="E182" s="1" t="s">
        <v>1394</v>
      </c>
      <c r="F182" s="1" t="s">
        <v>1133</v>
      </c>
      <c r="G182" s="1" t="s">
        <v>456</v>
      </c>
      <c r="H182" s="2" t="s">
        <v>1687</v>
      </c>
      <c r="I182" s="1">
        <v>1</v>
      </c>
      <c r="J182" s="1">
        <v>0.2</v>
      </c>
      <c r="K182" s="1">
        <v>30</v>
      </c>
      <c r="L182" s="1" t="s">
        <v>65</v>
      </c>
      <c r="M182" s="1">
        <v>29.806000000000001</v>
      </c>
      <c r="N182" s="1">
        <v>50.7</v>
      </c>
      <c r="O182" s="1">
        <v>67.676500000000004</v>
      </c>
      <c r="P182" s="1">
        <v>-168.9485</v>
      </c>
      <c r="Q182" s="1">
        <v>4.09605</v>
      </c>
      <c r="R182" s="1">
        <v>32.106450000000002</v>
      </c>
      <c r="S182" s="1">
        <v>252.85271760000001</v>
      </c>
      <c r="W182" s="3">
        <v>0.2535</v>
      </c>
      <c r="X182" s="1" t="s">
        <v>1722</v>
      </c>
      <c r="Y182" s="1">
        <v>0.249</v>
      </c>
      <c r="Z182" s="1">
        <v>0.88100000000000001</v>
      </c>
      <c r="AA182" s="1">
        <v>2.1320000000000001</v>
      </c>
      <c r="AB182" s="1">
        <v>36.299999999999997</v>
      </c>
      <c r="AC182" s="1">
        <v>8.6</v>
      </c>
      <c r="AD182" s="1">
        <v>0.32</v>
      </c>
      <c r="AE182" s="1">
        <v>7.55</v>
      </c>
      <c r="AF182" s="1">
        <v>8.92</v>
      </c>
      <c r="AH182" s="8" t="s">
        <v>1739</v>
      </c>
      <c r="AI182" s="8">
        <v>8</v>
      </c>
      <c r="AJ182" s="8" t="s">
        <v>1740</v>
      </c>
      <c r="AK182" s="8">
        <v>2.8</v>
      </c>
      <c r="AM182" s="1" t="s">
        <v>1722</v>
      </c>
      <c r="AT182" s="8" t="s">
        <v>1607</v>
      </c>
    </row>
    <row r="183" spans="1:46">
      <c r="A183" s="1" t="s">
        <v>1741</v>
      </c>
      <c r="C183" s="1" t="s">
        <v>1741</v>
      </c>
      <c r="D183" s="1" t="s">
        <v>1742</v>
      </c>
      <c r="E183" s="1" t="s">
        <v>1466</v>
      </c>
      <c r="F183" s="1" t="s">
        <v>1133</v>
      </c>
      <c r="G183" s="1" t="s">
        <v>49</v>
      </c>
      <c r="H183" s="2" t="s">
        <v>1743</v>
      </c>
      <c r="I183" s="1">
        <v>1</v>
      </c>
      <c r="J183" s="1">
        <v>0.2</v>
      </c>
      <c r="K183" s="1" t="s">
        <v>1488</v>
      </c>
      <c r="L183" s="1" t="s">
        <v>78</v>
      </c>
      <c r="M183" s="1">
        <v>40.287999999999997</v>
      </c>
      <c r="N183" s="1">
        <v>48</v>
      </c>
      <c r="O183" s="1">
        <v>67.667100000000005</v>
      </c>
      <c r="P183" s="1">
        <v>-168.95524</v>
      </c>
      <c r="Q183" s="1">
        <v>4.1532499999999999</v>
      </c>
      <c r="R183" s="1">
        <v>32.630650000000003</v>
      </c>
      <c r="S183" s="1">
        <v>287.43849999999998</v>
      </c>
      <c r="T183" s="1">
        <v>49.621916910000003</v>
      </c>
      <c r="U183" s="1">
        <v>5.642877586</v>
      </c>
      <c r="V183" s="1">
        <v>14066.666670000001</v>
      </c>
      <c r="W183" s="3">
        <v>0.76900000000000002</v>
      </c>
      <c r="X183" s="1" t="s">
        <v>1744</v>
      </c>
      <c r="Y183" s="1">
        <v>2.23</v>
      </c>
      <c r="AA183" s="1">
        <v>1.63</v>
      </c>
      <c r="AB183" s="1">
        <v>35.89</v>
      </c>
      <c r="AE183" s="1">
        <v>2.66</v>
      </c>
      <c r="AF183" s="1">
        <v>12.5</v>
      </c>
      <c r="AI183" s="1">
        <v>3</v>
      </c>
      <c r="AJ183" s="1" t="s">
        <v>1744</v>
      </c>
      <c r="AK183" s="1">
        <v>2.2999999999999998</v>
      </c>
      <c r="AL183" s="1">
        <v>62.492600000000003</v>
      </c>
      <c r="AM183" s="1" t="s">
        <v>1744</v>
      </c>
      <c r="AN183" s="1">
        <v>8.7937255688679397</v>
      </c>
      <c r="AO183" s="1">
        <v>1.32735480284799</v>
      </c>
      <c r="AP183" s="1" t="s">
        <v>1745</v>
      </c>
      <c r="AR183" s="1">
        <v>16.489999999999998</v>
      </c>
      <c r="AT183" s="1">
        <v>40</v>
      </c>
    </row>
    <row r="184" spans="1:46">
      <c r="A184" s="1" t="s">
        <v>1746</v>
      </c>
      <c r="C184" s="1" t="s">
        <v>1746</v>
      </c>
      <c r="D184" s="1" t="s">
        <v>1747</v>
      </c>
      <c r="E184" s="1" t="s">
        <v>1466</v>
      </c>
      <c r="F184" s="1" t="s">
        <v>1133</v>
      </c>
      <c r="G184" s="1" t="s">
        <v>49</v>
      </c>
      <c r="H184" s="2" t="s">
        <v>1743</v>
      </c>
      <c r="I184" s="1">
        <v>1</v>
      </c>
      <c r="J184" s="1">
        <v>3</v>
      </c>
      <c r="K184" s="1" t="s">
        <v>1488</v>
      </c>
      <c r="L184" s="1" t="s">
        <v>78</v>
      </c>
      <c r="M184" s="1">
        <v>40.287999999999997</v>
      </c>
      <c r="N184" s="1">
        <v>48</v>
      </c>
      <c r="O184" s="1">
        <v>67.667100000000005</v>
      </c>
      <c r="P184" s="1">
        <v>-168.95524</v>
      </c>
      <c r="Q184" s="1">
        <v>4.1532499999999999</v>
      </c>
      <c r="R184" s="1">
        <v>32.630650000000003</v>
      </c>
      <c r="S184" s="1">
        <v>287.43849999999998</v>
      </c>
      <c r="T184" s="1">
        <v>49.621916910000003</v>
      </c>
      <c r="U184" s="1">
        <v>5.642877586</v>
      </c>
      <c r="V184" s="1">
        <v>14066.666670000001</v>
      </c>
      <c r="W184" s="3">
        <v>0.76900000000000002</v>
      </c>
      <c r="X184" s="1" t="s">
        <v>1744</v>
      </c>
      <c r="Y184" s="1">
        <v>2.23</v>
      </c>
      <c r="AA184" s="1">
        <v>1.63</v>
      </c>
      <c r="AB184" s="1">
        <v>35.89</v>
      </c>
      <c r="AE184" s="1">
        <v>2.66</v>
      </c>
      <c r="AF184" s="1">
        <v>12.5</v>
      </c>
      <c r="AI184" s="1">
        <v>3</v>
      </c>
      <c r="AJ184" s="1" t="s">
        <v>1744</v>
      </c>
      <c r="AL184" s="1">
        <v>62.492600000000003</v>
      </c>
      <c r="AM184" s="1" t="s">
        <v>1744</v>
      </c>
      <c r="AN184" s="1">
        <v>8.7937255688679397</v>
      </c>
      <c r="AO184" s="1">
        <v>1.32735480284799</v>
      </c>
      <c r="AP184" s="1" t="s">
        <v>1745</v>
      </c>
      <c r="AR184" s="1">
        <v>16.489999999999998</v>
      </c>
      <c r="AT184" s="1">
        <v>40</v>
      </c>
    </row>
    <row r="185" spans="1:46">
      <c r="A185" s="1" t="s">
        <v>1748</v>
      </c>
      <c r="C185" s="1" t="s">
        <v>1748</v>
      </c>
      <c r="D185" s="1" t="s">
        <v>1749</v>
      </c>
      <c r="E185" s="1" t="s">
        <v>1466</v>
      </c>
      <c r="F185" s="1" t="s">
        <v>1133</v>
      </c>
      <c r="G185" s="1" t="s">
        <v>49</v>
      </c>
      <c r="H185" s="2" t="s">
        <v>1743</v>
      </c>
      <c r="I185" s="1">
        <v>1</v>
      </c>
      <c r="J185" s="1">
        <v>20</v>
      </c>
      <c r="K185" s="1" t="s">
        <v>1488</v>
      </c>
      <c r="L185" s="1" t="s">
        <v>78</v>
      </c>
      <c r="M185" s="1">
        <v>40.287999999999997</v>
      </c>
      <c r="N185" s="1">
        <v>48</v>
      </c>
      <c r="O185" s="1">
        <v>67.667100000000005</v>
      </c>
      <c r="P185" s="1">
        <v>-168.95524</v>
      </c>
      <c r="Q185" s="1">
        <v>4.1532499999999999</v>
      </c>
      <c r="R185" s="1">
        <v>32.630650000000003</v>
      </c>
      <c r="S185" s="1">
        <v>287.43849999999998</v>
      </c>
      <c r="T185" s="1">
        <v>49.621916910000003</v>
      </c>
      <c r="U185" s="1">
        <v>5.642877586</v>
      </c>
      <c r="V185" s="1">
        <v>14066.666670000001</v>
      </c>
      <c r="W185" s="3">
        <v>0.76900000000000002</v>
      </c>
      <c r="X185" s="1" t="s">
        <v>1744</v>
      </c>
      <c r="Y185" s="1">
        <v>2.23</v>
      </c>
      <c r="AA185" s="1">
        <v>1.63</v>
      </c>
      <c r="AB185" s="1">
        <v>35.89</v>
      </c>
      <c r="AE185" s="1">
        <v>2.66</v>
      </c>
      <c r="AF185" s="1">
        <v>12.5</v>
      </c>
      <c r="AI185" s="1">
        <v>3</v>
      </c>
      <c r="AJ185" s="1" t="s">
        <v>1744</v>
      </c>
      <c r="AL185" s="1">
        <v>62.492600000000003</v>
      </c>
      <c r="AM185" s="1" t="s">
        <v>1744</v>
      </c>
      <c r="AN185" s="1">
        <v>8.7937255688679397</v>
      </c>
      <c r="AO185" s="1">
        <v>1.32735480284799</v>
      </c>
      <c r="AP185" s="1" t="s">
        <v>1745</v>
      </c>
      <c r="AR185" s="1">
        <v>16.489999999999998</v>
      </c>
      <c r="AT185" s="1">
        <v>40</v>
      </c>
    </row>
    <row r="186" spans="1:46">
      <c r="A186" s="1" t="s">
        <v>1750</v>
      </c>
      <c r="C186" s="1" t="s">
        <v>1750</v>
      </c>
      <c r="D186" s="1" t="s">
        <v>1751</v>
      </c>
      <c r="E186" s="1" t="s">
        <v>1394</v>
      </c>
      <c r="F186" s="1" t="s">
        <v>1133</v>
      </c>
      <c r="G186" s="1" t="s">
        <v>456</v>
      </c>
      <c r="H186" s="2" t="s">
        <v>1687</v>
      </c>
      <c r="I186" s="1">
        <v>1</v>
      </c>
      <c r="J186" s="1">
        <v>0.2</v>
      </c>
      <c r="K186" s="1">
        <v>40</v>
      </c>
      <c r="L186" s="1" t="s">
        <v>65</v>
      </c>
      <c r="M186" s="1">
        <v>40.692999999999998</v>
      </c>
      <c r="N186" s="1">
        <v>50.7</v>
      </c>
      <c r="O186" s="1">
        <v>67.676500000000004</v>
      </c>
      <c r="P186" s="1">
        <v>-168.9485</v>
      </c>
      <c r="Q186" s="1">
        <v>3.6000999999999999</v>
      </c>
      <c r="R186" s="1">
        <v>32.172600000000003</v>
      </c>
      <c r="S186" s="1">
        <v>263.07115440000001</v>
      </c>
      <c r="W186" s="3">
        <v>0.27429999999999999</v>
      </c>
      <c r="X186" s="1" t="s">
        <v>1731</v>
      </c>
      <c r="Y186" s="1">
        <v>0.371</v>
      </c>
      <c r="Z186" s="1">
        <v>0.92</v>
      </c>
      <c r="AA186" s="1">
        <v>2.1280000000000001</v>
      </c>
      <c r="AB186" s="1">
        <v>36.799999999999997</v>
      </c>
      <c r="AC186" s="1">
        <v>8.6999999999999993</v>
      </c>
      <c r="AD186" s="1">
        <v>0.32</v>
      </c>
      <c r="AE186" s="1">
        <v>7.55</v>
      </c>
      <c r="AF186" s="1">
        <v>9.02</v>
      </c>
      <c r="AH186" s="8" t="s">
        <v>1752</v>
      </c>
      <c r="AI186" s="8">
        <v>6</v>
      </c>
      <c r="AJ186" s="8" t="s">
        <v>1753</v>
      </c>
      <c r="AK186" s="8">
        <v>2</v>
      </c>
      <c r="AM186" s="1" t="s">
        <v>1731</v>
      </c>
      <c r="AT186" s="8" t="s">
        <v>1607</v>
      </c>
    </row>
    <row r="187" spans="1:46">
      <c r="A187" s="1" t="s">
        <v>1754</v>
      </c>
      <c r="C187" s="1" t="s">
        <v>1754</v>
      </c>
      <c r="D187" s="1" t="s">
        <v>1755</v>
      </c>
      <c r="E187" s="1" t="s">
        <v>1394</v>
      </c>
      <c r="F187" s="1" t="s">
        <v>1133</v>
      </c>
      <c r="G187" s="1" t="s">
        <v>456</v>
      </c>
      <c r="H187" s="2" t="s">
        <v>1687</v>
      </c>
      <c r="I187" s="1">
        <v>1</v>
      </c>
      <c r="J187" s="1">
        <v>0.2</v>
      </c>
      <c r="K187" s="1" t="s">
        <v>78</v>
      </c>
      <c r="L187" s="1" t="s">
        <v>78</v>
      </c>
      <c r="M187" s="1">
        <v>48.671999999999997</v>
      </c>
      <c r="N187" s="1">
        <v>50.7</v>
      </c>
      <c r="O187" s="1">
        <v>67.676500000000004</v>
      </c>
      <c r="P187" s="1">
        <v>-168.9485</v>
      </c>
      <c r="Q187" s="1">
        <v>3.1953499999999999</v>
      </c>
      <c r="R187" s="1">
        <v>32.567900000000002</v>
      </c>
      <c r="S187" s="1">
        <v>243.223806</v>
      </c>
      <c r="W187" s="3">
        <v>0.29770000000000002</v>
      </c>
      <c r="X187" s="1" t="s">
        <v>1744</v>
      </c>
      <c r="Y187" s="1">
        <v>0.41599999999999998</v>
      </c>
      <c r="Z187" s="1">
        <v>1.0029999999999999</v>
      </c>
      <c r="AA187" s="1">
        <v>2.2719999999999998</v>
      </c>
      <c r="AB187" s="1">
        <v>39.1</v>
      </c>
      <c r="AC187" s="1">
        <v>9.6</v>
      </c>
      <c r="AD187" s="1">
        <v>0.37</v>
      </c>
      <c r="AE187" s="1">
        <v>7.99</v>
      </c>
      <c r="AF187" s="1">
        <v>9.9700000000000006</v>
      </c>
      <c r="AH187" s="8" t="s">
        <v>1756</v>
      </c>
      <c r="AI187" s="8">
        <v>4</v>
      </c>
      <c r="AJ187" s="8" t="s">
        <v>1757</v>
      </c>
      <c r="AK187" s="8">
        <v>2.6</v>
      </c>
      <c r="AM187" s="1" t="s">
        <v>1744</v>
      </c>
      <c r="AT187" s="8" t="s">
        <v>1607</v>
      </c>
    </row>
    <row r="188" spans="1:46">
      <c r="A188" s="1" t="s">
        <v>1758</v>
      </c>
      <c r="C188" s="1" t="s">
        <v>1758</v>
      </c>
      <c r="D188" s="1" t="s">
        <v>1759</v>
      </c>
      <c r="E188" s="1" t="s">
        <v>1466</v>
      </c>
      <c r="F188" s="1" t="s">
        <v>1133</v>
      </c>
      <c r="G188" s="1" t="s">
        <v>49</v>
      </c>
      <c r="H188" s="2" t="s">
        <v>1760</v>
      </c>
      <c r="I188" s="1">
        <v>1</v>
      </c>
      <c r="J188" s="1">
        <v>0.2</v>
      </c>
      <c r="K188" s="1" t="s">
        <v>78</v>
      </c>
      <c r="L188" s="1" t="s">
        <v>78</v>
      </c>
      <c r="M188" s="1">
        <v>49.273000000000003</v>
      </c>
      <c r="N188" s="1">
        <v>50</v>
      </c>
      <c r="O188" s="1">
        <v>67.666939999999997</v>
      </c>
      <c r="P188" s="1">
        <v>-168.95537999999999</v>
      </c>
      <c r="Q188" s="1">
        <v>4.13835</v>
      </c>
      <c r="R188" s="1">
        <v>32.633000000000003</v>
      </c>
      <c r="S188" s="1">
        <v>284.767</v>
      </c>
      <c r="T188" s="1">
        <v>390.5054968</v>
      </c>
      <c r="U188" s="1">
        <v>66.496291900000003</v>
      </c>
      <c r="V188" s="1">
        <v>2966.666667</v>
      </c>
      <c r="W188" s="3">
        <v>0.69599999999999995</v>
      </c>
      <c r="X188" s="1" t="s">
        <v>1761</v>
      </c>
      <c r="Y188" s="1">
        <v>2.06</v>
      </c>
      <c r="AA188" s="1">
        <v>1.66</v>
      </c>
      <c r="AB188" s="1">
        <v>35.130000000000003</v>
      </c>
      <c r="AE188" s="1">
        <v>2.87</v>
      </c>
      <c r="AF188" s="1">
        <v>12.43</v>
      </c>
      <c r="AI188" s="1">
        <v>1</v>
      </c>
      <c r="AJ188" s="1" t="s">
        <v>1761</v>
      </c>
      <c r="AK188" s="1">
        <v>2.4</v>
      </c>
      <c r="AL188" s="1">
        <v>53.831299999999999</v>
      </c>
      <c r="AM188" s="1" t="s">
        <v>1761</v>
      </c>
      <c r="AN188" s="1">
        <v>5.87259057072324</v>
      </c>
      <c r="AO188" s="1">
        <v>0.88642876539218696</v>
      </c>
      <c r="AP188" s="1" t="s">
        <v>1762</v>
      </c>
      <c r="AQ188" s="1">
        <v>-1.1100000000000001</v>
      </c>
      <c r="AR188" s="1">
        <v>16.489999999999998</v>
      </c>
    </row>
    <row r="189" spans="1:46">
      <c r="A189" s="1" t="s">
        <v>1763</v>
      </c>
      <c r="C189" s="1" t="s">
        <v>1763</v>
      </c>
      <c r="D189" s="1" t="s">
        <v>1764</v>
      </c>
      <c r="E189" s="1" t="s">
        <v>1466</v>
      </c>
      <c r="F189" s="1" t="s">
        <v>1133</v>
      </c>
      <c r="G189" s="1" t="s">
        <v>49</v>
      </c>
      <c r="H189" s="2" t="s">
        <v>1760</v>
      </c>
      <c r="I189" s="1">
        <v>1</v>
      </c>
      <c r="J189" s="1">
        <v>3</v>
      </c>
      <c r="K189" s="1" t="s">
        <v>78</v>
      </c>
      <c r="L189" s="1" t="s">
        <v>78</v>
      </c>
      <c r="M189" s="1">
        <v>49.273000000000003</v>
      </c>
      <c r="N189" s="1">
        <v>50</v>
      </c>
      <c r="O189" s="1">
        <v>67.666939999999997</v>
      </c>
      <c r="P189" s="1">
        <v>-168.95537999999999</v>
      </c>
      <c r="Q189" s="1">
        <v>4.13835</v>
      </c>
      <c r="R189" s="1">
        <v>32.633000000000003</v>
      </c>
      <c r="S189" s="1">
        <v>284.767</v>
      </c>
      <c r="T189" s="1">
        <v>390.5054968</v>
      </c>
      <c r="W189" s="3">
        <v>0.69599999999999995</v>
      </c>
      <c r="X189" s="1" t="s">
        <v>1761</v>
      </c>
      <c r="Y189" s="1">
        <v>2.06</v>
      </c>
      <c r="AA189" s="1">
        <v>1.66</v>
      </c>
      <c r="AB189" s="1">
        <v>35.130000000000003</v>
      </c>
      <c r="AE189" s="1">
        <v>2.87</v>
      </c>
      <c r="AF189" s="1">
        <v>12.43</v>
      </c>
      <c r="AI189" s="1">
        <v>1</v>
      </c>
      <c r="AJ189" s="1" t="s">
        <v>1761</v>
      </c>
      <c r="AL189" s="1">
        <v>53.831299999999999</v>
      </c>
      <c r="AM189" s="1" t="s">
        <v>1761</v>
      </c>
      <c r="AP189" s="1" t="s">
        <v>1762</v>
      </c>
      <c r="AQ189" s="1">
        <v>-1.1100000000000001</v>
      </c>
      <c r="AR189" s="1">
        <v>16.489999999999998</v>
      </c>
    </row>
    <row r="190" spans="1:46">
      <c r="A190" s="1" t="s">
        <v>1765</v>
      </c>
      <c r="C190" s="1" t="s">
        <v>1765</v>
      </c>
      <c r="D190" s="1" t="s">
        <v>1766</v>
      </c>
      <c r="E190" s="1" t="s">
        <v>1466</v>
      </c>
      <c r="F190" s="1" t="s">
        <v>1133</v>
      </c>
      <c r="G190" s="1" t="s">
        <v>49</v>
      </c>
      <c r="H190" s="2" t="s">
        <v>1760</v>
      </c>
      <c r="I190" s="1">
        <v>1</v>
      </c>
      <c r="J190" s="1">
        <v>20</v>
      </c>
      <c r="K190" s="1" t="s">
        <v>78</v>
      </c>
      <c r="L190" s="1" t="s">
        <v>78</v>
      </c>
      <c r="M190" s="1">
        <v>49.273000000000003</v>
      </c>
      <c r="N190" s="1">
        <v>50</v>
      </c>
      <c r="O190" s="1">
        <v>67.666939999999997</v>
      </c>
      <c r="P190" s="1">
        <v>-168.95537999999999</v>
      </c>
      <c r="Q190" s="1">
        <v>4.13835</v>
      </c>
      <c r="R190" s="1">
        <v>32.633000000000003</v>
      </c>
      <c r="S190" s="1">
        <v>284.767</v>
      </c>
      <c r="T190" s="1">
        <v>390.5054968</v>
      </c>
      <c r="W190" s="3">
        <v>0.69599999999999995</v>
      </c>
      <c r="X190" s="1" t="s">
        <v>1761</v>
      </c>
      <c r="Y190" s="1">
        <v>2.06</v>
      </c>
      <c r="AA190" s="1">
        <v>1.66</v>
      </c>
      <c r="AB190" s="1">
        <v>35.130000000000003</v>
      </c>
      <c r="AE190" s="1">
        <v>2.87</v>
      </c>
      <c r="AF190" s="1">
        <v>12.43</v>
      </c>
      <c r="AI190" s="1">
        <v>1</v>
      </c>
      <c r="AJ190" s="1" t="s">
        <v>1761</v>
      </c>
      <c r="AL190" s="1">
        <v>53.831299999999999</v>
      </c>
      <c r="AM190" s="1" t="s">
        <v>1761</v>
      </c>
      <c r="AP190" s="1" t="s">
        <v>1762</v>
      </c>
      <c r="AQ190" s="1">
        <v>-1.1100000000000001</v>
      </c>
      <c r="AR190" s="1">
        <v>16.489999999999998</v>
      </c>
    </row>
    <row r="191" spans="1:46">
      <c r="A191" s="1" t="s">
        <v>339</v>
      </c>
      <c r="B191" s="1">
        <v>65</v>
      </c>
      <c r="C191" s="1" t="s">
        <v>339</v>
      </c>
      <c r="D191" s="1" t="s">
        <v>340</v>
      </c>
      <c r="E191" s="1" t="s">
        <v>47</v>
      </c>
      <c r="F191" s="1" t="s">
        <v>341</v>
      </c>
      <c r="G191" s="1" t="s">
        <v>49</v>
      </c>
      <c r="H191" s="2" t="s">
        <v>342</v>
      </c>
      <c r="I191" s="1">
        <v>36</v>
      </c>
      <c r="J191" s="1">
        <v>0.2</v>
      </c>
      <c r="K191" s="1" t="s">
        <v>52</v>
      </c>
      <c r="L191" s="1" t="s">
        <v>52</v>
      </c>
      <c r="M191" s="1">
        <v>2.78</v>
      </c>
      <c r="N191" s="1">
        <v>50</v>
      </c>
      <c r="O191" s="1">
        <v>67.670479999999998</v>
      </c>
      <c r="P191" s="1">
        <v>-168.72936000000001</v>
      </c>
      <c r="Q191" s="1">
        <v>2.7244999999999999</v>
      </c>
      <c r="R191" s="1">
        <v>32.840000000000003</v>
      </c>
      <c r="S191" s="1">
        <v>355.01600000000002</v>
      </c>
      <c r="T191" s="1">
        <v>270.26</v>
      </c>
      <c r="U191" s="1">
        <v>55.16</v>
      </c>
      <c r="V191" s="1">
        <v>3540</v>
      </c>
      <c r="W191" s="3">
        <v>1.0311999999999999</v>
      </c>
      <c r="X191" s="1" t="s">
        <v>343</v>
      </c>
      <c r="Y191" s="1">
        <v>3.35</v>
      </c>
      <c r="Z191" s="1">
        <v>0.99</v>
      </c>
      <c r="AA191" s="1">
        <v>1.2110000000000001</v>
      </c>
      <c r="AB191" s="1">
        <v>11.9</v>
      </c>
      <c r="AC191" s="1">
        <v>9.1999999999999993</v>
      </c>
      <c r="AD191" s="1">
        <v>0.17</v>
      </c>
      <c r="AE191" s="1">
        <v>1.06</v>
      </c>
      <c r="AF191" s="1">
        <v>9.3699999999999992</v>
      </c>
      <c r="AH191" s="1" t="s">
        <v>344</v>
      </c>
      <c r="AI191" s="1">
        <v>24</v>
      </c>
      <c r="AJ191" s="1" t="s">
        <v>345</v>
      </c>
      <c r="AK191" s="1">
        <v>9</v>
      </c>
      <c r="AL191" s="1">
        <v>74.879300000000001</v>
      </c>
      <c r="AM191" s="1" t="s">
        <v>343</v>
      </c>
      <c r="AN191" s="1">
        <v>4.8995649021029699</v>
      </c>
      <c r="AO191" s="1">
        <v>0.73955696635516599</v>
      </c>
      <c r="AS191" s="1" t="s">
        <v>346</v>
      </c>
    </row>
    <row r="192" spans="1:46">
      <c r="A192" s="1" t="s">
        <v>347</v>
      </c>
      <c r="B192" s="1">
        <v>68</v>
      </c>
      <c r="C192" s="1" t="s">
        <v>347</v>
      </c>
      <c r="D192" s="1" t="s">
        <v>348</v>
      </c>
      <c r="E192" s="1" t="s">
        <v>47</v>
      </c>
      <c r="F192" s="1" t="s">
        <v>341</v>
      </c>
      <c r="G192" s="1" t="s">
        <v>49</v>
      </c>
      <c r="H192" s="2" t="s">
        <v>342</v>
      </c>
      <c r="I192" s="1">
        <v>36</v>
      </c>
      <c r="J192" s="1">
        <v>3</v>
      </c>
      <c r="K192" s="1" t="s">
        <v>52</v>
      </c>
      <c r="L192" s="1" t="s">
        <v>52</v>
      </c>
      <c r="M192" s="1">
        <v>2.78</v>
      </c>
      <c r="N192" s="1">
        <v>50</v>
      </c>
      <c r="O192" s="1">
        <v>67.670479999999998</v>
      </c>
      <c r="P192" s="1">
        <v>-168.72936000000001</v>
      </c>
      <c r="Q192" s="1">
        <v>2.7244999999999999</v>
      </c>
      <c r="R192" s="1">
        <v>32.840000000000003</v>
      </c>
      <c r="S192" s="1">
        <v>355.01600000000002</v>
      </c>
      <c r="T192" s="1">
        <v>270.26</v>
      </c>
      <c r="U192" s="1">
        <v>55.16</v>
      </c>
      <c r="V192" s="1">
        <v>3540</v>
      </c>
      <c r="W192" s="3">
        <v>1.0311999999999999</v>
      </c>
      <c r="X192" s="1" t="s">
        <v>343</v>
      </c>
      <c r="Y192" s="1">
        <v>3.35</v>
      </c>
      <c r="Z192" s="1">
        <v>0.99</v>
      </c>
      <c r="AA192" s="1">
        <v>1.2110000000000001</v>
      </c>
      <c r="AB192" s="1">
        <v>11.9</v>
      </c>
      <c r="AC192" s="1">
        <v>9.1999999999999993</v>
      </c>
      <c r="AD192" s="1">
        <v>0.17</v>
      </c>
      <c r="AE192" s="1">
        <v>1.06</v>
      </c>
      <c r="AF192" s="1">
        <v>9.3699999999999992</v>
      </c>
      <c r="AH192" s="1" t="s">
        <v>349</v>
      </c>
      <c r="AI192" s="1">
        <v>24</v>
      </c>
      <c r="AJ192" s="1" t="s">
        <v>345</v>
      </c>
      <c r="AK192" s="1">
        <v>9</v>
      </c>
      <c r="AL192" s="1">
        <v>74.879300000000001</v>
      </c>
      <c r="AM192" s="1" t="s">
        <v>343</v>
      </c>
      <c r="AN192" s="1">
        <v>4.8995649021029699</v>
      </c>
      <c r="AO192" s="1">
        <v>0.73955696635516599</v>
      </c>
    </row>
    <row r="193" spans="1:46">
      <c r="A193" s="1" t="s">
        <v>350</v>
      </c>
      <c r="B193" s="1">
        <v>71</v>
      </c>
      <c r="C193" s="1" t="s">
        <v>350</v>
      </c>
      <c r="D193" s="1" t="s">
        <v>351</v>
      </c>
      <c r="E193" s="1" t="s">
        <v>47</v>
      </c>
      <c r="F193" s="1" t="s">
        <v>341</v>
      </c>
      <c r="G193" s="1" t="s">
        <v>49</v>
      </c>
      <c r="H193" s="2" t="s">
        <v>342</v>
      </c>
      <c r="I193" s="1">
        <v>36</v>
      </c>
      <c r="J193" s="1">
        <v>20</v>
      </c>
      <c r="K193" s="1" t="s">
        <v>52</v>
      </c>
      <c r="L193" s="1" t="s">
        <v>52</v>
      </c>
      <c r="M193" s="1">
        <v>2.78</v>
      </c>
      <c r="N193" s="1">
        <v>50</v>
      </c>
      <c r="O193" s="1">
        <v>67.670479999999998</v>
      </c>
      <c r="P193" s="1">
        <v>-168.72936000000001</v>
      </c>
      <c r="Q193" s="1">
        <v>2.7244999999999999</v>
      </c>
      <c r="R193" s="1">
        <v>32.840000000000003</v>
      </c>
      <c r="S193" s="1">
        <v>355.01600000000002</v>
      </c>
      <c r="T193" s="1">
        <v>270.26</v>
      </c>
      <c r="U193" s="1">
        <v>55.16</v>
      </c>
      <c r="V193" s="1">
        <v>3540</v>
      </c>
      <c r="W193" s="3">
        <v>1.0311999999999999</v>
      </c>
      <c r="X193" s="1" t="s">
        <v>343</v>
      </c>
      <c r="Y193" s="1">
        <v>3.35</v>
      </c>
      <c r="Z193" s="1">
        <v>0.99</v>
      </c>
      <c r="AA193" s="1">
        <v>1.2110000000000001</v>
      </c>
      <c r="AB193" s="1">
        <v>11.9</v>
      </c>
      <c r="AC193" s="1">
        <v>9.1999999999999993</v>
      </c>
      <c r="AD193" s="1">
        <v>0.17</v>
      </c>
      <c r="AE193" s="1">
        <v>1.06</v>
      </c>
      <c r="AF193" s="1">
        <v>9.3699999999999992</v>
      </c>
      <c r="AH193" s="1" t="s">
        <v>352</v>
      </c>
      <c r="AI193" s="1">
        <v>24</v>
      </c>
      <c r="AJ193" s="1" t="s">
        <v>345</v>
      </c>
      <c r="AK193" s="1">
        <v>9</v>
      </c>
      <c r="AL193" s="1">
        <v>74.879300000000001</v>
      </c>
      <c r="AM193" s="1" t="s">
        <v>343</v>
      </c>
      <c r="AN193" s="1">
        <v>4.8995649021029699</v>
      </c>
      <c r="AO193" s="1">
        <v>0.73955696635516599</v>
      </c>
    </row>
    <row r="194" spans="1:46">
      <c r="A194" s="1" t="s">
        <v>353</v>
      </c>
      <c r="B194" s="1">
        <v>66</v>
      </c>
      <c r="C194" s="1" t="s">
        <v>353</v>
      </c>
      <c r="D194" s="1" t="s">
        <v>354</v>
      </c>
      <c r="E194" s="1" t="s">
        <v>47</v>
      </c>
      <c r="F194" s="1" t="s">
        <v>341</v>
      </c>
      <c r="G194" s="1" t="s">
        <v>49</v>
      </c>
      <c r="H194" s="2" t="s">
        <v>342</v>
      </c>
      <c r="I194" s="1">
        <v>36</v>
      </c>
      <c r="J194" s="1">
        <v>0.2</v>
      </c>
      <c r="K194" s="1" t="s">
        <v>355</v>
      </c>
      <c r="L194" s="1" t="s">
        <v>65</v>
      </c>
      <c r="M194" s="1">
        <v>20.100000000000001</v>
      </c>
      <c r="N194" s="1">
        <v>50</v>
      </c>
      <c r="O194" s="1">
        <v>67.670479999999998</v>
      </c>
      <c r="P194" s="1">
        <v>-168.72936000000001</v>
      </c>
      <c r="Q194" s="1">
        <v>2.1120000000000001</v>
      </c>
      <c r="R194" s="1">
        <v>32.844999999999999</v>
      </c>
      <c r="S194" s="1">
        <v>335.92599999999999</v>
      </c>
      <c r="T194" s="1">
        <v>238.98</v>
      </c>
      <c r="U194" s="1">
        <v>51.94</v>
      </c>
      <c r="V194" s="1">
        <v>5260</v>
      </c>
      <c r="W194" s="3">
        <v>5.0972999999999997</v>
      </c>
      <c r="X194" s="1" t="s">
        <v>356</v>
      </c>
      <c r="Y194" s="1">
        <v>7.05</v>
      </c>
      <c r="Z194" s="1">
        <v>1.77</v>
      </c>
      <c r="AA194" s="1">
        <v>1.274</v>
      </c>
      <c r="AB194" s="1">
        <v>11.6</v>
      </c>
      <c r="AC194" s="1">
        <v>10.1</v>
      </c>
      <c r="AD194" s="1">
        <v>0.16</v>
      </c>
      <c r="AE194" s="1">
        <v>1.61</v>
      </c>
      <c r="AF194" s="1">
        <v>10.26</v>
      </c>
      <c r="AH194" s="1" t="s">
        <v>357</v>
      </c>
      <c r="AI194" s="1">
        <v>6</v>
      </c>
      <c r="AJ194" s="1" t="s">
        <v>358</v>
      </c>
      <c r="AK194" s="1">
        <v>9</v>
      </c>
      <c r="AL194" s="1">
        <v>66.527799999999999</v>
      </c>
      <c r="AM194" s="1" t="s">
        <v>356</v>
      </c>
      <c r="AN194" s="1">
        <v>4.6010781671159</v>
      </c>
      <c r="AO194" s="1">
        <v>0.69450236484768302</v>
      </c>
    </row>
    <row r="195" spans="1:46">
      <c r="A195" s="1" t="s">
        <v>359</v>
      </c>
      <c r="B195" s="1">
        <v>69</v>
      </c>
      <c r="C195" s="1" t="s">
        <v>359</v>
      </c>
      <c r="D195" s="1" t="s">
        <v>360</v>
      </c>
      <c r="E195" s="1" t="s">
        <v>47</v>
      </c>
      <c r="F195" s="1" t="s">
        <v>341</v>
      </c>
      <c r="G195" s="1" t="s">
        <v>49</v>
      </c>
      <c r="H195" s="2" t="s">
        <v>342</v>
      </c>
      <c r="I195" s="1">
        <v>36</v>
      </c>
      <c r="J195" s="1">
        <v>3</v>
      </c>
      <c r="K195" s="1" t="s">
        <v>355</v>
      </c>
      <c r="L195" s="1" t="s">
        <v>65</v>
      </c>
      <c r="M195" s="1">
        <v>20.100000000000001</v>
      </c>
      <c r="N195" s="1">
        <v>50</v>
      </c>
      <c r="O195" s="1">
        <v>67.670479999999998</v>
      </c>
      <c r="P195" s="1">
        <v>-168.72936000000001</v>
      </c>
      <c r="Q195" s="1">
        <v>2.1120000000000001</v>
      </c>
      <c r="R195" s="1">
        <v>32.844999999999999</v>
      </c>
      <c r="S195" s="1">
        <v>335.92599999999999</v>
      </c>
      <c r="T195" s="1">
        <v>238.98</v>
      </c>
      <c r="U195" s="1">
        <v>51.94</v>
      </c>
      <c r="V195" s="1">
        <v>5260</v>
      </c>
      <c r="W195" s="3">
        <v>5.0972999999999997</v>
      </c>
      <c r="X195" s="1" t="s">
        <v>356</v>
      </c>
      <c r="Y195" s="1">
        <v>7.05</v>
      </c>
      <c r="Z195" s="1">
        <v>1.77</v>
      </c>
      <c r="AA195" s="1">
        <v>1.274</v>
      </c>
      <c r="AB195" s="1">
        <v>11.6</v>
      </c>
      <c r="AC195" s="1">
        <v>10.1</v>
      </c>
      <c r="AD195" s="1">
        <v>0.16</v>
      </c>
      <c r="AE195" s="1">
        <v>1.61</v>
      </c>
      <c r="AF195" s="1">
        <v>10.26</v>
      </c>
      <c r="AH195" s="1" t="s">
        <v>361</v>
      </c>
      <c r="AI195" s="1">
        <v>6</v>
      </c>
      <c r="AJ195" s="1" t="s">
        <v>358</v>
      </c>
      <c r="AK195" s="1">
        <v>9</v>
      </c>
      <c r="AL195" s="1">
        <v>66.527799999999999</v>
      </c>
      <c r="AM195" s="1" t="s">
        <v>356</v>
      </c>
      <c r="AN195" s="1">
        <v>4.6010781671159</v>
      </c>
      <c r="AO195" s="1">
        <v>0.69450236484768302</v>
      </c>
    </row>
    <row r="196" spans="1:46">
      <c r="A196" s="1" t="s">
        <v>362</v>
      </c>
      <c r="B196" s="1">
        <v>72</v>
      </c>
      <c r="C196" s="1" t="s">
        <v>362</v>
      </c>
      <c r="D196" s="1" t="s">
        <v>363</v>
      </c>
      <c r="E196" s="1" t="s">
        <v>47</v>
      </c>
      <c r="F196" s="1" t="s">
        <v>341</v>
      </c>
      <c r="G196" s="1" t="s">
        <v>49</v>
      </c>
      <c r="H196" s="2" t="s">
        <v>342</v>
      </c>
      <c r="I196" s="1">
        <v>36</v>
      </c>
      <c r="J196" s="1">
        <v>20</v>
      </c>
      <c r="K196" s="1" t="s">
        <v>355</v>
      </c>
      <c r="L196" s="1" t="s">
        <v>65</v>
      </c>
      <c r="M196" s="1">
        <v>20.100000000000001</v>
      </c>
      <c r="N196" s="1">
        <v>50</v>
      </c>
      <c r="O196" s="1">
        <v>67.670479999999998</v>
      </c>
      <c r="P196" s="1">
        <v>-168.72936000000001</v>
      </c>
      <c r="Q196" s="1">
        <v>2.1120000000000001</v>
      </c>
      <c r="R196" s="1">
        <v>32.844999999999999</v>
      </c>
      <c r="S196" s="1">
        <v>335.92599999999999</v>
      </c>
      <c r="T196" s="1">
        <v>238.98</v>
      </c>
      <c r="U196" s="1">
        <v>51.94</v>
      </c>
      <c r="V196" s="1">
        <v>5260</v>
      </c>
      <c r="W196" s="3">
        <v>5.0972999999999997</v>
      </c>
      <c r="X196" s="1" t="s">
        <v>356</v>
      </c>
      <c r="Y196" s="1">
        <v>7.05</v>
      </c>
      <c r="Z196" s="1">
        <v>1.77</v>
      </c>
      <c r="AA196" s="1">
        <v>1.274</v>
      </c>
      <c r="AB196" s="1">
        <v>11.6</v>
      </c>
      <c r="AC196" s="1">
        <v>10.1</v>
      </c>
      <c r="AD196" s="1">
        <v>0.16</v>
      </c>
      <c r="AE196" s="1">
        <v>1.61</v>
      </c>
      <c r="AF196" s="1">
        <v>10.26</v>
      </c>
      <c r="AH196" s="1" t="s">
        <v>364</v>
      </c>
      <c r="AI196" s="1">
        <v>6</v>
      </c>
      <c r="AJ196" s="1" t="s">
        <v>358</v>
      </c>
      <c r="AK196" s="1">
        <v>9</v>
      </c>
      <c r="AL196" s="1">
        <v>66.527799999999999</v>
      </c>
      <c r="AM196" s="1" t="s">
        <v>356</v>
      </c>
      <c r="AN196" s="1">
        <v>4.6010781671159</v>
      </c>
      <c r="AO196" s="1">
        <v>0.69450236484768302</v>
      </c>
    </row>
    <row r="197" spans="1:46">
      <c r="A197" s="1" t="s">
        <v>365</v>
      </c>
      <c r="B197" s="1">
        <v>67</v>
      </c>
      <c r="C197" s="1" t="s">
        <v>365</v>
      </c>
      <c r="D197" s="1" t="s">
        <v>366</v>
      </c>
      <c r="E197" s="1" t="s">
        <v>47</v>
      </c>
      <c r="F197" s="1" t="s">
        <v>341</v>
      </c>
      <c r="G197" s="1" t="s">
        <v>49</v>
      </c>
      <c r="H197" s="2" t="s">
        <v>342</v>
      </c>
      <c r="I197" s="1">
        <v>36</v>
      </c>
      <c r="J197" s="1">
        <v>0.2</v>
      </c>
      <c r="K197" s="1" t="s">
        <v>150</v>
      </c>
      <c r="L197" s="1" t="s">
        <v>78</v>
      </c>
      <c r="M197" s="1">
        <v>46.94</v>
      </c>
      <c r="N197" s="1">
        <v>50</v>
      </c>
      <c r="O197" s="1">
        <v>67.670479999999998</v>
      </c>
      <c r="P197" s="1">
        <v>-168.72936000000001</v>
      </c>
      <c r="Q197" s="1">
        <v>2.0470000000000002</v>
      </c>
      <c r="R197" s="1">
        <v>32.857500000000002</v>
      </c>
      <c r="S197" s="1">
        <v>320.13299999999998</v>
      </c>
      <c r="T197" s="1">
        <v>261.12</v>
      </c>
      <c r="U197" s="1">
        <v>58.56</v>
      </c>
      <c r="V197" s="1">
        <v>9700</v>
      </c>
      <c r="W197" s="3">
        <v>2.1608999999999998</v>
      </c>
      <c r="X197" s="1" t="s">
        <v>367</v>
      </c>
      <c r="Y197" s="1">
        <v>7.62</v>
      </c>
      <c r="Z197" s="1">
        <v>8.7200000000000006</v>
      </c>
      <c r="AA197" s="1">
        <v>1.41</v>
      </c>
      <c r="AB197" s="1">
        <v>13.2</v>
      </c>
      <c r="AC197" s="1">
        <v>10.1</v>
      </c>
      <c r="AD197" s="1">
        <v>0.17</v>
      </c>
      <c r="AE197" s="1">
        <v>2.97</v>
      </c>
      <c r="AF197" s="1">
        <v>10.27</v>
      </c>
      <c r="AH197" s="1" t="s">
        <v>368</v>
      </c>
      <c r="AI197" s="1">
        <v>3</v>
      </c>
      <c r="AJ197" s="1" t="s">
        <v>369</v>
      </c>
      <c r="AK197" s="1">
        <v>8</v>
      </c>
      <c r="AL197" s="1">
        <v>36.235599999999998</v>
      </c>
      <c r="AM197" s="1" t="s">
        <v>367</v>
      </c>
      <c r="AN197" s="1">
        <v>4.4590163934426199</v>
      </c>
      <c r="AO197" s="1">
        <v>0.67305907825549005</v>
      </c>
    </row>
    <row r="198" spans="1:46">
      <c r="A198" s="1" t="s">
        <v>370</v>
      </c>
      <c r="B198" s="1">
        <v>70</v>
      </c>
      <c r="C198" s="1" t="s">
        <v>370</v>
      </c>
      <c r="D198" s="1" t="s">
        <v>371</v>
      </c>
      <c r="E198" s="1" t="s">
        <v>47</v>
      </c>
      <c r="F198" s="1" t="s">
        <v>341</v>
      </c>
      <c r="G198" s="1" t="s">
        <v>49</v>
      </c>
      <c r="H198" s="2" t="s">
        <v>342</v>
      </c>
      <c r="I198" s="1">
        <v>36</v>
      </c>
      <c r="J198" s="1">
        <v>3</v>
      </c>
      <c r="K198" s="1" t="s">
        <v>150</v>
      </c>
      <c r="L198" s="1" t="s">
        <v>78</v>
      </c>
      <c r="M198" s="1">
        <v>46.94</v>
      </c>
      <c r="N198" s="1">
        <v>50</v>
      </c>
      <c r="O198" s="1">
        <v>67.670479999999998</v>
      </c>
      <c r="P198" s="1">
        <v>-168.72936000000001</v>
      </c>
      <c r="Q198" s="1">
        <v>2.0470000000000002</v>
      </c>
      <c r="R198" s="1">
        <v>32.857500000000002</v>
      </c>
      <c r="S198" s="1">
        <v>320.13299999999998</v>
      </c>
      <c r="T198" s="1">
        <v>261.12</v>
      </c>
      <c r="U198" s="1">
        <v>58.56</v>
      </c>
      <c r="V198" s="1">
        <v>9700</v>
      </c>
      <c r="W198" s="3">
        <v>2.1608999999999998</v>
      </c>
      <c r="X198" s="1" t="s">
        <v>367</v>
      </c>
      <c r="Y198" s="1">
        <v>7.62</v>
      </c>
      <c r="Z198" s="1">
        <v>8.7200000000000006</v>
      </c>
      <c r="AA198" s="1">
        <v>1.41</v>
      </c>
      <c r="AB198" s="1">
        <v>13.2</v>
      </c>
      <c r="AC198" s="1">
        <v>10.1</v>
      </c>
      <c r="AD198" s="1">
        <v>0.17</v>
      </c>
      <c r="AE198" s="1">
        <v>2.97</v>
      </c>
      <c r="AF198" s="1">
        <v>10.27</v>
      </c>
      <c r="AH198" s="1" t="s">
        <v>372</v>
      </c>
      <c r="AI198" s="1">
        <v>3</v>
      </c>
      <c r="AJ198" s="1" t="s">
        <v>369</v>
      </c>
      <c r="AK198" s="1">
        <v>8</v>
      </c>
      <c r="AL198" s="1">
        <v>36.235599999999998</v>
      </c>
      <c r="AM198" s="1" t="s">
        <v>367</v>
      </c>
      <c r="AN198" s="1">
        <v>4.4590163934426199</v>
      </c>
      <c r="AO198" s="1">
        <v>0.67305907825549005</v>
      </c>
    </row>
    <row r="199" spans="1:46">
      <c r="A199" s="1" t="s">
        <v>373</v>
      </c>
      <c r="B199" s="1">
        <v>73</v>
      </c>
      <c r="C199" s="1" t="s">
        <v>373</v>
      </c>
      <c r="D199" s="1" t="s">
        <v>374</v>
      </c>
      <c r="E199" s="1" t="s">
        <v>47</v>
      </c>
      <c r="F199" s="1" t="s">
        <v>341</v>
      </c>
      <c r="G199" s="1" t="s">
        <v>49</v>
      </c>
      <c r="H199" s="2" t="s">
        <v>342</v>
      </c>
      <c r="I199" s="1">
        <v>36</v>
      </c>
      <c r="J199" s="1">
        <v>20</v>
      </c>
      <c r="K199" s="1" t="s">
        <v>150</v>
      </c>
      <c r="L199" s="1" t="s">
        <v>78</v>
      </c>
      <c r="M199" s="1">
        <v>46.94</v>
      </c>
      <c r="N199" s="1">
        <v>50</v>
      </c>
      <c r="O199" s="1">
        <v>67.670479999999998</v>
      </c>
      <c r="P199" s="1">
        <v>-168.72936000000001</v>
      </c>
      <c r="Q199" s="1">
        <v>2.0470000000000002</v>
      </c>
      <c r="R199" s="1">
        <v>32.857500000000002</v>
      </c>
      <c r="S199" s="1">
        <v>320.13299999999998</v>
      </c>
      <c r="T199" s="1">
        <v>261.12</v>
      </c>
      <c r="U199" s="1">
        <v>58.56</v>
      </c>
      <c r="V199" s="1">
        <v>9700</v>
      </c>
      <c r="W199" s="3">
        <v>2.1608999999999998</v>
      </c>
      <c r="X199" s="1" t="s">
        <v>367</v>
      </c>
      <c r="Y199" s="1">
        <v>7.62</v>
      </c>
      <c r="Z199" s="1">
        <v>8.7200000000000006</v>
      </c>
      <c r="AA199" s="1">
        <v>1.41</v>
      </c>
      <c r="AB199" s="1">
        <v>13.2</v>
      </c>
      <c r="AC199" s="1">
        <v>10.1</v>
      </c>
      <c r="AD199" s="1">
        <v>0.17</v>
      </c>
      <c r="AE199" s="1">
        <v>2.97</v>
      </c>
      <c r="AF199" s="1">
        <v>10.27</v>
      </c>
      <c r="AH199" s="1" t="s">
        <v>375</v>
      </c>
      <c r="AI199" s="1">
        <v>3</v>
      </c>
      <c r="AJ199" s="1" t="s">
        <v>369</v>
      </c>
      <c r="AK199" s="1">
        <v>8</v>
      </c>
      <c r="AL199" s="1">
        <v>36.235599999999998</v>
      </c>
      <c r="AM199" s="1" t="s">
        <v>367</v>
      </c>
      <c r="AN199" s="1">
        <v>4.4590163934426199</v>
      </c>
      <c r="AO199" s="1">
        <v>0.67305907825549005</v>
      </c>
    </row>
    <row r="200" spans="1:46">
      <c r="A200" s="1" t="s">
        <v>1767</v>
      </c>
      <c r="C200" s="1" t="s">
        <v>1767</v>
      </c>
      <c r="D200" s="1" t="s">
        <v>1768</v>
      </c>
      <c r="E200" s="1" t="s">
        <v>1394</v>
      </c>
      <c r="F200" s="1" t="s">
        <v>1769</v>
      </c>
      <c r="G200" s="1" t="s">
        <v>456</v>
      </c>
      <c r="H200" s="2" t="s">
        <v>1770</v>
      </c>
      <c r="I200" s="1">
        <v>10</v>
      </c>
      <c r="J200" s="1">
        <v>0.2</v>
      </c>
      <c r="K200" s="1">
        <v>5</v>
      </c>
      <c r="L200" s="1" t="s">
        <v>52</v>
      </c>
      <c r="M200" s="1">
        <v>6.1980000000000004</v>
      </c>
      <c r="N200" s="1">
        <v>41.2</v>
      </c>
      <c r="O200" s="1">
        <v>71.619833330000006</v>
      </c>
      <c r="P200" s="1">
        <v>-163.76233329999999</v>
      </c>
      <c r="Q200" s="1">
        <v>4.7939499999999997</v>
      </c>
      <c r="R200" s="1">
        <v>31.212949999999999</v>
      </c>
      <c r="S200" s="1">
        <v>332.8807635</v>
      </c>
      <c r="W200" s="3">
        <v>0.2969</v>
      </c>
      <c r="X200" s="1" t="s">
        <v>1771</v>
      </c>
      <c r="Y200" s="1">
        <v>0.35399999999999998</v>
      </c>
      <c r="Z200" s="1">
        <v>0.19600000000000001</v>
      </c>
      <c r="AA200" s="1">
        <v>0.69499999999999995</v>
      </c>
      <c r="AB200" s="1">
        <v>4.0999999999999996</v>
      </c>
      <c r="AC200" s="1">
        <v>0</v>
      </c>
      <c r="AD200" s="1">
        <v>0</v>
      </c>
      <c r="AE200" s="1">
        <v>0.26</v>
      </c>
      <c r="AF200" s="1">
        <v>0</v>
      </c>
      <c r="AH200" s="8" t="s">
        <v>1772</v>
      </c>
      <c r="AI200" s="8">
        <v>12</v>
      </c>
      <c r="AJ200" s="8" t="s">
        <v>1773</v>
      </c>
      <c r="AK200" s="8">
        <v>2.7</v>
      </c>
      <c r="AM200" s="1" t="s">
        <v>1771</v>
      </c>
      <c r="AT200" s="8" t="s">
        <v>1607</v>
      </c>
    </row>
    <row r="201" spans="1:46">
      <c r="A201" s="1" t="s">
        <v>1774</v>
      </c>
      <c r="C201" s="1" t="s">
        <v>1774</v>
      </c>
      <c r="D201" s="1" t="s">
        <v>1775</v>
      </c>
      <c r="E201" s="1" t="s">
        <v>1394</v>
      </c>
      <c r="F201" s="1" t="s">
        <v>1769</v>
      </c>
      <c r="G201" s="1" t="s">
        <v>456</v>
      </c>
      <c r="H201" s="2" t="s">
        <v>1770</v>
      </c>
      <c r="I201" s="1">
        <v>10</v>
      </c>
      <c r="J201" s="1">
        <v>0.2</v>
      </c>
      <c r="K201" s="1">
        <v>10</v>
      </c>
      <c r="L201" s="1" t="s">
        <v>65</v>
      </c>
      <c r="M201" s="1">
        <v>10.472</v>
      </c>
      <c r="N201" s="1">
        <v>41.2</v>
      </c>
      <c r="O201" s="1">
        <v>71.619833330000006</v>
      </c>
      <c r="P201" s="1">
        <v>-163.76233329999999</v>
      </c>
      <c r="Q201" s="1">
        <v>4.7773000000000003</v>
      </c>
      <c r="R201" s="1">
        <v>31.213149999999999</v>
      </c>
      <c r="S201" s="1">
        <v>332.92989060000002</v>
      </c>
      <c r="W201" s="3">
        <v>0.29070000000000001</v>
      </c>
      <c r="X201" s="1" t="s">
        <v>1776</v>
      </c>
      <c r="Y201" s="1">
        <v>0.25900000000000001</v>
      </c>
      <c r="Z201" s="1">
        <v>0.16800000000000001</v>
      </c>
      <c r="AA201" s="1">
        <v>0.68799999999999994</v>
      </c>
      <c r="AB201" s="1">
        <v>4.0999999999999996</v>
      </c>
      <c r="AC201" s="1">
        <v>0</v>
      </c>
      <c r="AD201" s="1">
        <v>0</v>
      </c>
      <c r="AE201" s="1">
        <v>0.21</v>
      </c>
      <c r="AF201" s="1">
        <v>0</v>
      </c>
      <c r="AH201" s="8" t="s">
        <v>1777</v>
      </c>
      <c r="AI201" s="8">
        <v>10</v>
      </c>
      <c r="AJ201" s="8" t="s">
        <v>1778</v>
      </c>
      <c r="AK201" s="8">
        <v>3</v>
      </c>
      <c r="AM201" s="1" t="s">
        <v>1776</v>
      </c>
      <c r="AT201" s="8" t="s">
        <v>1607</v>
      </c>
    </row>
    <row r="202" spans="1:46">
      <c r="A202" s="1" t="s">
        <v>1779</v>
      </c>
      <c r="C202" s="1" t="s">
        <v>1779</v>
      </c>
      <c r="D202" s="1" t="s">
        <v>1780</v>
      </c>
      <c r="E202" s="1" t="s">
        <v>1394</v>
      </c>
      <c r="F202" s="1" t="s">
        <v>1769</v>
      </c>
      <c r="G202" s="1" t="s">
        <v>456</v>
      </c>
      <c r="H202" s="2" t="s">
        <v>1770</v>
      </c>
      <c r="I202" s="1">
        <v>10</v>
      </c>
      <c r="J202" s="1">
        <v>0.2</v>
      </c>
      <c r="K202" s="1">
        <v>30</v>
      </c>
      <c r="L202" s="1" t="s">
        <v>65</v>
      </c>
      <c r="M202" s="1">
        <v>30.504999999999999</v>
      </c>
      <c r="N202" s="1">
        <v>41.2</v>
      </c>
      <c r="O202" s="1">
        <v>71.619833330000006</v>
      </c>
      <c r="P202" s="1">
        <v>-163.76233329999999</v>
      </c>
      <c r="Q202" s="1">
        <v>3.5507499999999999</v>
      </c>
      <c r="R202" s="1">
        <v>31.770050000000001</v>
      </c>
      <c r="S202" s="1">
        <v>359.49425339999999</v>
      </c>
      <c r="W202" s="3">
        <v>0.43969999999999998</v>
      </c>
      <c r="X202" s="1" t="s">
        <v>1781</v>
      </c>
      <c r="Y202" s="1">
        <v>0.45400000000000001</v>
      </c>
      <c r="Z202" s="1">
        <v>0.35499999999999998</v>
      </c>
      <c r="AA202" s="1">
        <v>0.61499999999999999</v>
      </c>
      <c r="AB202" s="1">
        <v>2.8</v>
      </c>
      <c r="AC202" s="1">
        <v>0</v>
      </c>
      <c r="AD202" s="1">
        <v>0</v>
      </c>
      <c r="AE202" s="1">
        <v>0.27</v>
      </c>
      <c r="AF202" s="1">
        <v>0</v>
      </c>
      <c r="AH202" s="8" t="s">
        <v>1782</v>
      </c>
      <c r="AI202" s="8">
        <v>6</v>
      </c>
      <c r="AJ202" s="8" t="s">
        <v>1783</v>
      </c>
      <c r="AK202" s="8">
        <v>2</v>
      </c>
      <c r="AM202" s="1" t="s">
        <v>1781</v>
      </c>
      <c r="AT202" s="8" t="s">
        <v>1607</v>
      </c>
    </row>
    <row r="203" spans="1:46">
      <c r="A203" s="1" t="s">
        <v>1784</v>
      </c>
      <c r="C203" s="1" t="s">
        <v>1784</v>
      </c>
      <c r="D203" s="1" t="s">
        <v>1785</v>
      </c>
      <c r="E203" s="1" t="s">
        <v>1394</v>
      </c>
      <c r="F203" s="1" t="s">
        <v>1769</v>
      </c>
      <c r="G203" s="1" t="s">
        <v>456</v>
      </c>
      <c r="H203" s="2" t="s">
        <v>1770</v>
      </c>
      <c r="I203" s="1">
        <v>10</v>
      </c>
      <c r="J203" s="1">
        <v>0.2</v>
      </c>
      <c r="K203" s="1" t="s">
        <v>78</v>
      </c>
      <c r="L203" s="1" t="s">
        <v>78</v>
      </c>
      <c r="M203" s="1">
        <v>38.192</v>
      </c>
      <c r="N203" s="1">
        <v>41.2</v>
      </c>
      <c r="O203" s="1">
        <v>71.619833330000006</v>
      </c>
      <c r="P203" s="1">
        <v>-163.76233329999999</v>
      </c>
      <c r="Q203" s="1">
        <v>1.0844499999999999</v>
      </c>
      <c r="R203" s="1">
        <v>32.443800000000003</v>
      </c>
      <c r="S203" s="1">
        <v>288.0991788</v>
      </c>
      <c r="W203" s="3">
        <v>0.72899999999999998</v>
      </c>
      <c r="X203" s="1" t="s">
        <v>1786</v>
      </c>
      <c r="Y203" s="1">
        <v>1.597</v>
      </c>
      <c r="Z203" s="1">
        <v>0.71799999999999997</v>
      </c>
      <c r="AA203" s="1">
        <v>1.2689999999999999</v>
      </c>
      <c r="AB203" s="1">
        <v>16.5</v>
      </c>
      <c r="AC203" s="1">
        <v>2.1</v>
      </c>
      <c r="AD203" s="1">
        <v>0.11</v>
      </c>
      <c r="AE203" s="1">
        <v>3.56</v>
      </c>
      <c r="AF203" s="1">
        <v>2.21</v>
      </c>
      <c r="AH203" s="8" t="s">
        <v>1787</v>
      </c>
      <c r="AI203" s="8">
        <v>4</v>
      </c>
      <c r="AJ203" s="8" t="s">
        <v>1788</v>
      </c>
      <c r="AK203" s="8">
        <v>2.2000000000000002</v>
      </c>
      <c r="AM203" s="1" t="s">
        <v>1786</v>
      </c>
      <c r="AT203" s="8" t="s">
        <v>1607</v>
      </c>
    </row>
    <row r="204" spans="1:46">
      <c r="A204" s="1" t="s">
        <v>1789</v>
      </c>
      <c r="C204" s="1" t="s">
        <v>1789</v>
      </c>
      <c r="D204" s="1" t="s">
        <v>1790</v>
      </c>
      <c r="E204" s="1" t="s">
        <v>1394</v>
      </c>
      <c r="F204" s="1" t="s">
        <v>1791</v>
      </c>
      <c r="G204" s="1" t="s">
        <v>456</v>
      </c>
      <c r="H204" s="2" t="s">
        <v>1792</v>
      </c>
      <c r="I204" s="1">
        <v>25</v>
      </c>
      <c r="J204" s="1">
        <v>0.2</v>
      </c>
      <c r="K204" s="1">
        <v>4</v>
      </c>
      <c r="L204" s="1" t="s">
        <v>52</v>
      </c>
      <c r="M204" s="1">
        <v>3.5179999999999998</v>
      </c>
      <c r="N204" s="1">
        <v>109.3</v>
      </c>
      <c r="O204" s="1">
        <v>71.455666669999999</v>
      </c>
      <c r="P204" s="1">
        <v>-157.57433330000001</v>
      </c>
      <c r="Q204" s="1">
        <v>4.5012499999999998</v>
      </c>
      <c r="R204" s="1">
        <v>26.942</v>
      </c>
      <c r="S204" s="1">
        <v>345.09554700000001</v>
      </c>
      <c r="W204" s="3">
        <v>0.41420000000000001</v>
      </c>
      <c r="X204" s="1" t="s">
        <v>1793</v>
      </c>
      <c r="Y204" s="1">
        <v>0.65900000000000003</v>
      </c>
      <c r="Z204" s="1">
        <v>0.21299999999999999</v>
      </c>
      <c r="AA204" s="1">
        <v>0.45300000000000001</v>
      </c>
      <c r="AB204" s="1">
        <v>5.5</v>
      </c>
      <c r="AC204" s="1">
        <v>0</v>
      </c>
      <c r="AD204" s="1">
        <v>0.01</v>
      </c>
      <c r="AE204" s="1">
        <v>0.21</v>
      </c>
      <c r="AF204" s="1">
        <v>0.01</v>
      </c>
      <c r="AH204" s="8" t="s">
        <v>1794</v>
      </c>
      <c r="AI204" s="8">
        <v>18</v>
      </c>
      <c r="AJ204" s="8" t="s">
        <v>1795</v>
      </c>
      <c r="AK204" s="8">
        <v>2.8</v>
      </c>
      <c r="AM204" s="1" t="s">
        <v>1793</v>
      </c>
      <c r="AT204" s="8" t="s">
        <v>1607</v>
      </c>
    </row>
    <row r="205" spans="1:46">
      <c r="A205" s="1" t="s">
        <v>1796</v>
      </c>
      <c r="C205" s="1" t="s">
        <v>1796</v>
      </c>
      <c r="D205" s="1" t="s">
        <v>1797</v>
      </c>
      <c r="E205" s="1" t="s">
        <v>1394</v>
      </c>
      <c r="F205" s="1" t="s">
        <v>1791</v>
      </c>
      <c r="G205" s="1" t="s">
        <v>456</v>
      </c>
      <c r="H205" s="2" t="s">
        <v>1792</v>
      </c>
      <c r="I205" s="1">
        <v>25</v>
      </c>
      <c r="J205" s="1">
        <v>0.2</v>
      </c>
      <c r="K205" s="1">
        <v>20</v>
      </c>
      <c r="L205" s="1" t="s">
        <v>65</v>
      </c>
      <c r="M205" s="1">
        <v>21.032</v>
      </c>
      <c r="N205" s="1">
        <v>109.3</v>
      </c>
      <c r="O205" s="1">
        <v>71.455666669999999</v>
      </c>
      <c r="P205" s="1">
        <v>-157.57433330000001</v>
      </c>
      <c r="Q205" s="1">
        <v>5.1750499999999997</v>
      </c>
      <c r="R205" s="1">
        <v>31.472899999999999</v>
      </c>
      <c r="S205" s="1">
        <v>319.25469240000001</v>
      </c>
      <c r="W205" s="3">
        <v>0.66800000000000004</v>
      </c>
      <c r="X205" s="1" t="s">
        <v>1798</v>
      </c>
      <c r="Y205" s="1">
        <v>1.5880000000000001</v>
      </c>
      <c r="Z205" s="1">
        <v>0.61099999999999999</v>
      </c>
      <c r="AA205" s="1">
        <v>0.73199999999999998</v>
      </c>
      <c r="AB205" s="1">
        <v>5.3</v>
      </c>
      <c r="AC205" s="1">
        <v>0.1</v>
      </c>
      <c r="AD205" s="1">
        <v>0.01</v>
      </c>
      <c r="AE205" s="1">
        <v>0.48</v>
      </c>
      <c r="AF205" s="1">
        <v>0.11</v>
      </c>
      <c r="AH205" s="8" t="s">
        <v>1799</v>
      </c>
      <c r="AI205" s="8">
        <v>14</v>
      </c>
      <c r="AJ205" s="8" t="s">
        <v>1800</v>
      </c>
      <c r="AK205" s="8">
        <v>2.8</v>
      </c>
      <c r="AM205" s="1" t="s">
        <v>1798</v>
      </c>
      <c r="AT205" s="8" t="s">
        <v>1607</v>
      </c>
    </row>
    <row r="206" spans="1:46">
      <c r="A206" s="1" t="s">
        <v>1801</v>
      </c>
      <c r="C206" s="1" t="s">
        <v>1801</v>
      </c>
      <c r="D206" s="1" t="s">
        <v>1802</v>
      </c>
      <c r="E206" s="1" t="s">
        <v>1394</v>
      </c>
      <c r="F206" s="1" t="s">
        <v>1791</v>
      </c>
      <c r="G206" s="1" t="s">
        <v>456</v>
      </c>
      <c r="H206" s="2" t="s">
        <v>1792</v>
      </c>
      <c r="I206" s="1">
        <v>25</v>
      </c>
      <c r="J206" s="1">
        <v>0.2</v>
      </c>
      <c r="K206" s="1">
        <v>30</v>
      </c>
      <c r="L206" s="1" t="s">
        <v>65</v>
      </c>
      <c r="M206" s="1">
        <v>30.623000000000001</v>
      </c>
      <c r="N206" s="1">
        <v>109.3</v>
      </c>
      <c r="O206" s="1">
        <v>71.455666669999999</v>
      </c>
      <c r="P206" s="1">
        <v>-157.57433330000001</v>
      </c>
      <c r="Q206" s="1">
        <v>3.8472</v>
      </c>
      <c r="R206" s="1">
        <v>31.984950000000001</v>
      </c>
      <c r="S206" s="1">
        <v>296.2944723</v>
      </c>
      <c r="W206" s="3">
        <v>0.3105</v>
      </c>
      <c r="X206" s="1" t="s">
        <v>1803</v>
      </c>
      <c r="Y206" s="1">
        <v>0.70199999999999996</v>
      </c>
      <c r="Z206" s="1">
        <v>0.34699999999999998</v>
      </c>
      <c r="AA206" s="1">
        <v>1.1319999999999999</v>
      </c>
      <c r="AB206" s="1">
        <v>10.8</v>
      </c>
      <c r="AC206" s="1">
        <v>1.7</v>
      </c>
      <c r="AD206" s="1">
        <v>0.12</v>
      </c>
      <c r="AE206" s="1">
        <v>2.37</v>
      </c>
      <c r="AF206" s="1">
        <v>1.82</v>
      </c>
      <c r="AH206" s="8" t="s">
        <v>1804</v>
      </c>
      <c r="AI206" s="8">
        <v>12</v>
      </c>
      <c r="AJ206" s="8" t="s">
        <v>1805</v>
      </c>
      <c r="AK206" s="8">
        <v>3</v>
      </c>
      <c r="AM206" s="1" t="s">
        <v>1803</v>
      </c>
      <c r="AT206" s="8" t="s">
        <v>1607</v>
      </c>
    </row>
    <row r="207" spans="1:46">
      <c r="A207" s="1" t="s">
        <v>1806</v>
      </c>
      <c r="C207" s="1" t="s">
        <v>1806</v>
      </c>
      <c r="D207" s="1" t="s">
        <v>1807</v>
      </c>
      <c r="E207" s="1" t="s">
        <v>1394</v>
      </c>
      <c r="F207" s="1" t="s">
        <v>1791</v>
      </c>
      <c r="G207" s="1" t="s">
        <v>456</v>
      </c>
      <c r="H207" s="2" t="s">
        <v>1792</v>
      </c>
      <c r="I207" s="1">
        <v>25</v>
      </c>
      <c r="J207" s="1">
        <v>0.2</v>
      </c>
      <c r="K207" s="1">
        <v>40</v>
      </c>
      <c r="L207" s="1" t="s">
        <v>65</v>
      </c>
      <c r="M207" s="1">
        <v>41.435000000000002</v>
      </c>
      <c r="N207" s="1">
        <v>109.3</v>
      </c>
      <c r="O207" s="1">
        <v>71.455666669999999</v>
      </c>
      <c r="P207" s="1">
        <v>-157.57433330000001</v>
      </c>
      <c r="Q207" s="1">
        <v>3.4349500000000002</v>
      </c>
      <c r="R207" s="1">
        <v>32.170099999999998</v>
      </c>
      <c r="S207" s="1">
        <v>288.36714480000001</v>
      </c>
      <c r="W207" s="3">
        <v>0.22670000000000001</v>
      </c>
      <c r="X207" s="1" t="s">
        <v>1808</v>
      </c>
      <c r="Y207" s="1">
        <v>0.21099999999999999</v>
      </c>
      <c r="Z207" s="1">
        <v>0.20799999999999999</v>
      </c>
      <c r="AA207" s="1">
        <v>1.2889999999999999</v>
      </c>
      <c r="AB207" s="1">
        <v>13.4</v>
      </c>
      <c r="AC207" s="1">
        <v>2.2000000000000002</v>
      </c>
      <c r="AD207" s="1">
        <v>0.14000000000000001</v>
      </c>
      <c r="AE207" s="1">
        <v>3.59</v>
      </c>
      <c r="AF207" s="1">
        <v>2.34</v>
      </c>
      <c r="AH207" s="8" t="s">
        <v>1809</v>
      </c>
      <c r="AI207" s="8">
        <v>10</v>
      </c>
      <c r="AJ207" s="8" t="s">
        <v>1810</v>
      </c>
      <c r="AK207" s="8">
        <v>3</v>
      </c>
      <c r="AM207" s="1" t="s">
        <v>1808</v>
      </c>
      <c r="AT207" s="8" t="s">
        <v>1607</v>
      </c>
    </row>
    <row r="208" spans="1:46">
      <c r="A208" s="1" t="s">
        <v>1811</v>
      </c>
      <c r="C208" s="1" t="s">
        <v>1811</v>
      </c>
      <c r="D208" s="1" t="s">
        <v>1812</v>
      </c>
      <c r="E208" s="1" t="s">
        <v>1394</v>
      </c>
      <c r="F208" s="1" t="s">
        <v>1791</v>
      </c>
      <c r="G208" s="1" t="s">
        <v>456</v>
      </c>
      <c r="H208" s="2" t="s">
        <v>1792</v>
      </c>
      <c r="I208" s="1">
        <v>25</v>
      </c>
      <c r="J208" s="1">
        <v>0.2</v>
      </c>
      <c r="K208" s="1">
        <v>76</v>
      </c>
      <c r="L208" s="1" t="s">
        <v>65</v>
      </c>
      <c r="M208" s="1">
        <v>76.251000000000005</v>
      </c>
      <c r="N208" s="1">
        <v>109.3</v>
      </c>
      <c r="O208" s="1">
        <v>71.455666669999999</v>
      </c>
      <c r="P208" s="1">
        <v>-157.57433330000001</v>
      </c>
      <c r="Q208" s="1">
        <v>0.85455000000000003</v>
      </c>
      <c r="R208" s="1">
        <v>32.25665</v>
      </c>
      <c r="S208" s="1">
        <v>295.01716770000002</v>
      </c>
      <c r="W208" s="3">
        <v>0.19500000000000001</v>
      </c>
      <c r="X208" s="1" t="s">
        <v>1242</v>
      </c>
      <c r="AA208" s="1">
        <v>1.484</v>
      </c>
      <c r="AB208" s="1">
        <v>16.399999999999999</v>
      </c>
      <c r="AC208" s="1">
        <v>5.4</v>
      </c>
      <c r="AD208" s="1">
        <v>0.19</v>
      </c>
      <c r="AE208" s="1">
        <v>2.82</v>
      </c>
      <c r="AF208" s="1">
        <v>5.59</v>
      </c>
      <c r="AH208" s="8" t="s">
        <v>1813</v>
      </c>
      <c r="AI208" s="8">
        <v>6</v>
      </c>
      <c r="AJ208" s="8" t="s">
        <v>1814</v>
      </c>
      <c r="AK208" s="8">
        <v>3</v>
      </c>
      <c r="AM208" s="1" t="s">
        <v>1242</v>
      </c>
      <c r="AT208" s="8" t="s">
        <v>1607</v>
      </c>
    </row>
    <row r="209" spans="1:46">
      <c r="A209" s="1" t="s">
        <v>1815</v>
      </c>
      <c r="C209" s="1" t="s">
        <v>1815</v>
      </c>
      <c r="D209" s="1" t="s">
        <v>1816</v>
      </c>
      <c r="E209" s="1" t="s">
        <v>1394</v>
      </c>
      <c r="F209" s="1" t="s">
        <v>1791</v>
      </c>
      <c r="G209" s="1" t="s">
        <v>456</v>
      </c>
      <c r="H209" s="2" t="s">
        <v>1792</v>
      </c>
      <c r="I209" s="1">
        <v>25</v>
      </c>
      <c r="J209" s="1">
        <v>0.2</v>
      </c>
      <c r="K209" s="1">
        <v>105</v>
      </c>
      <c r="L209" s="1" t="s">
        <v>78</v>
      </c>
      <c r="M209" s="1">
        <v>104.878</v>
      </c>
      <c r="N209" s="1">
        <v>109.3</v>
      </c>
      <c r="O209" s="1">
        <v>71.455666669999999</v>
      </c>
      <c r="P209" s="1">
        <v>-157.57433330000001</v>
      </c>
      <c r="Q209" s="1">
        <v>0.58550000000000002</v>
      </c>
      <c r="R209" s="1">
        <v>32.434950000000001</v>
      </c>
      <c r="S209" s="1">
        <v>285.54903569999999</v>
      </c>
      <c r="W209" s="3">
        <v>0.22500000000000001</v>
      </c>
      <c r="X209" s="1" t="s">
        <v>1247</v>
      </c>
      <c r="AA209" s="1">
        <v>1.6080000000000001</v>
      </c>
      <c r="AB209" s="1">
        <v>20</v>
      </c>
      <c r="AC209" s="1">
        <v>6.5</v>
      </c>
      <c r="AD209" s="1">
        <v>0.17</v>
      </c>
      <c r="AE209" s="1">
        <v>2.95</v>
      </c>
      <c r="AF209" s="1">
        <v>6.67</v>
      </c>
      <c r="AH209" s="8" t="s">
        <v>1817</v>
      </c>
      <c r="AI209" s="8">
        <v>4</v>
      </c>
      <c r="AJ209" s="8" t="s">
        <v>1818</v>
      </c>
      <c r="AK209" s="8">
        <v>3</v>
      </c>
      <c r="AM209" s="1" t="s">
        <v>1247</v>
      </c>
      <c r="AT209" s="8" t="s">
        <v>1607</v>
      </c>
    </row>
    <row r="210" spans="1:46">
      <c r="A210" s="1" t="s">
        <v>376</v>
      </c>
      <c r="B210" s="1">
        <v>59</v>
      </c>
      <c r="C210" s="1" t="s">
        <v>376</v>
      </c>
      <c r="D210" s="1" t="s">
        <v>377</v>
      </c>
      <c r="E210" s="1" t="s">
        <v>47</v>
      </c>
      <c r="F210" s="1" t="s">
        <v>378</v>
      </c>
      <c r="G210" s="1" t="s">
        <v>49</v>
      </c>
      <c r="H210" s="2" t="s">
        <v>379</v>
      </c>
      <c r="I210" s="1">
        <v>24</v>
      </c>
      <c r="J210" s="1">
        <v>3</v>
      </c>
      <c r="K210" s="1" t="s">
        <v>52</v>
      </c>
      <c r="L210" s="1" t="s">
        <v>52</v>
      </c>
      <c r="M210" s="1">
        <v>2.75</v>
      </c>
      <c r="N210" s="1">
        <v>25</v>
      </c>
      <c r="O210" s="1">
        <v>67.594700000000003</v>
      </c>
      <c r="P210" s="1">
        <v>-164.52366000000001</v>
      </c>
      <c r="Q210" s="1">
        <v>5.319</v>
      </c>
      <c r="R210" s="1">
        <v>30.406500000000001</v>
      </c>
      <c r="S210" s="1">
        <v>339.113</v>
      </c>
      <c r="W210" s="3">
        <v>6.9599999999999995E-2</v>
      </c>
      <c r="X210" s="1" t="s">
        <v>380</v>
      </c>
      <c r="Y210" s="1">
        <v>0.22</v>
      </c>
      <c r="Z210" s="1">
        <v>0.11</v>
      </c>
      <c r="AA210" s="1">
        <v>0.54700000000000004</v>
      </c>
      <c r="AB210" s="1">
        <v>4.3</v>
      </c>
      <c r="AC210" s="1">
        <v>0.3</v>
      </c>
      <c r="AD210" s="1">
        <v>0</v>
      </c>
      <c r="AE210" s="1">
        <v>0.06</v>
      </c>
      <c r="AF210" s="1">
        <v>0.3</v>
      </c>
      <c r="AH210" s="1" t="s">
        <v>381</v>
      </c>
      <c r="AI210" s="1">
        <v>10</v>
      </c>
      <c r="AJ210" s="1" t="s">
        <v>382</v>
      </c>
      <c r="AK210" s="1">
        <v>9</v>
      </c>
      <c r="AL210" s="1">
        <v>89.234800000000007</v>
      </c>
      <c r="AM210" s="1" t="s">
        <v>380</v>
      </c>
    </row>
    <row r="211" spans="1:46">
      <c r="A211" s="1" t="s">
        <v>383</v>
      </c>
      <c r="B211" s="1">
        <v>62</v>
      </c>
      <c r="C211" s="1" t="s">
        <v>383</v>
      </c>
      <c r="D211" s="1" t="s">
        <v>384</v>
      </c>
      <c r="E211" s="1" t="s">
        <v>47</v>
      </c>
      <c r="F211" s="1" t="s">
        <v>378</v>
      </c>
      <c r="G211" s="1" t="s">
        <v>49</v>
      </c>
      <c r="H211" s="2" t="s">
        <v>379</v>
      </c>
      <c r="I211" s="1">
        <v>24</v>
      </c>
      <c r="J211" s="1">
        <v>20</v>
      </c>
      <c r="K211" s="1" t="s">
        <v>52</v>
      </c>
      <c r="L211" s="1" t="s">
        <v>52</v>
      </c>
      <c r="M211" s="1">
        <v>2.75</v>
      </c>
      <c r="N211" s="1">
        <v>25</v>
      </c>
      <c r="O211" s="1">
        <v>67.594700000000003</v>
      </c>
      <c r="P211" s="1">
        <v>-164.52366000000001</v>
      </c>
      <c r="Q211" s="1">
        <v>5.319</v>
      </c>
      <c r="R211" s="1">
        <v>30.406500000000001</v>
      </c>
      <c r="S211" s="1">
        <v>339.113</v>
      </c>
      <c r="W211" s="3">
        <v>6.9599999999999995E-2</v>
      </c>
      <c r="X211" s="1" t="s">
        <v>380</v>
      </c>
      <c r="Y211" s="1">
        <v>0.22</v>
      </c>
      <c r="Z211" s="1">
        <v>0.11</v>
      </c>
      <c r="AA211" s="1">
        <v>0.54700000000000004</v>
      </c>
      <c r="AB211" s="1">
        <v>4.3</v>
      </c>
      <c r="AC211" s="1">
        <v>0.3</v>
      </c>
      <c r="AD211" s="1">
        <v>0</v>
      </c>
      <c r="AE211" s="1">
        <v>0.06</v>
      </c>
      <c r="AF211" s="1">
        <v>0.3</v>
      </c>
      <c r="AH211" s="1" t="s">
        <v>385</v>
      </c>
      <c r="AI211" s="1">
        <v>10</v>
      </c>
      <c r="AJ211" s="1" t="s">
        <v>382</v>
      </c>
      <c r="AK211" s="1">
        <v>9</v>
      </c>
      <c r="AL211" s="1">
        <v>89.234800000000007</v>
      </c>
      <c r="AM211" s="1" t="s">
        <v>380</v>
      </c>
    </row>
    <row r="212" spans="1:46">
      <c r="A212" s="1" t="s">
        <v>386</v>
      </c>
      <c r="B212" s="1">
        <v>56</v>
      </c>
      <c r="C212" s="1" t="s">
        <v>386</v>
      </c>
      <c r="D212" s="1" t="s">
        <v>387</v>
      </c>
      <c r="E212" s="1" t="s">
        <v>47</v>
      </c>
      <c r="F212" s="1" t="s">
        <v>378</v>
      </c>
      <c r="G212" s="1" t="s">
        <v>49</v>
      </c>
      <c r="H212" s="2" t="s">
        <v>379</v>
      </c>
      <c r="I212" s="1">
        <v>24</v>
      </c>
      <c r="J212" s="1">
        <v>0.2</v>
      </c>
      <c r="L212" s="1" t="s">
        <v>78</v>
      </c>
      <c r="M212" s="1">
        <v>15.95</v>
      </c>
      <c r="N212" s="1">
        <v>25</v>
      </c>
      <c r="O212" s="1">
        <v>67.594700000000003</v>
      </c>
      <c r="P212" s="1">
        <v>-164.52366000000001</v>
      </c>
      <c r="Q212" s="1">
        <v>-0.89</v>
      </c>
      <c r="R212" s="1">
        <v>31.579499999999999</v>
      </c>
      <c r="S212" s="1">
        <v>412.185</v>
      </c>
      <c r="W212" s="3">
        <v>0.99890000000000001</v>
      </c>
      <c r="X212" s="1" t="s">
        <v>388</v>
      </c>
      <c r="Y212" s="1">
        <v>2.95</v>
      </c>
      <c r="Z212" s="1">
        <v>0.63</v>
      </c>
      <c r="AA212" s="1">
        <v>0.98099999999999998</v>
      </c>
      <c r="AB212" s="1">
        <v>15.3</v>
      </c>
      <c r="AC212" s="1">
        <v>1.3</v>
      </c>
      <c r="AD212" s="1">
        <v>0.06</v>
      </c>
      <c r="AE212" s="1">
        <v>0.27</v>
      </c>
      <c r="AF212" s="1">
        <v>1.36</v>
      </c>
      <c r="AH212" s="1" t="s">
        <v>389</v>
      </c>
      <c r="AI212" s="1">
        <v>5</v>
      </c>
      <c r="AJ212" s="1" t="s">
        <v>390</v>
      </c>
      <c r="AK212" s="1">
        <v>9</v>
      </c>
      <c r="AL212" s="1">
        <v>88.228499999999997</v>
      </c>
      <c r="AM212" s="1" t="s">
        <v>388</v>
      </c>
      <c r="AS212" s="1" t="s">
        <v>391</v>
      </c>
    </row>
    <row r="213" spans="1:46">
      <c r="A213" s="1" t="s">
        <v>392</v>
      </c>
      <c r="B213" s="1">
        <v>60</v>
      </c>
      <c r="C213" s="1" t="s">
        <v>392</v>
      </c>
      <c r="D213" s="1" t="s">
        <v>393</v>
      </c>
      <c r="E213" s="1" t="s">
        <v>47</v>
      </c>
      <c r="F213" s="1" t="s">
        <v>378</v>
      </c>
      <c r="G213" s="1" t="s">
        <v>49</v>
      </c>
      <c r="H213" s="2" t="s">
        <v>379</v>
      </c>
      <c r="I213" s="1">
        <v>24</v>
      </c>
      <c r="J213" s="1">
        <v>3</v>
      </c>
      <c r="K213" s="1" t="s">
        <v>137</v>
      </c>
      <c r="L213" s="1" t="s">
        <v>78</v>
      </c>
      <c r="M213" s="1">
        <v>15.95</v>
      </c>
      <c r="N213" s="1">
        <v>25</v>
      </c>
      <c r="O213" s="1">
        <v>67.594700000000003</v>
      </c>
      <c r="P213" s="1">
        <v>-164.52366000000001</v>
      </c>
      <c r="Q213" s="1">
        <v>-0.89</v>
      </c>
      <c r="R213" s="1">
        <v>31.579499999999999</v>
      </c>
      <c r="S213" s="1">
        <v>412.185</v>
      </c>
      <c r="W213" s="3">
        <v>0.99890000000000001</v>
      </c>
      <c r="X213" s="1" t="s">
        <v>388</v>
      </c>
      <c r="Y213" s="1">
        <v>2.95</v>
      </c>
      <c r="Z213" s="1">
        <v>0.63</v>
      </c>
      <c r="AA213" s="1">
        <v>0.98099999999999998</v>
      </c>
      <c r="AB213" s="1">
        <v>15.3</v>
      </c>
      <c r="AC213" s="1">
        <v>1.3</v>
      </c>
      <c r="AD213" s="1">
        <v>0.06</v>
      </c>
      <c r="AE213" s="1">
        <v>0.27</v>
      </c>
      <c r="AF213" s="1">
        <v>1.36</v>
      </c>
      <c r="AH213" s="1" t="s">
        <v>394</v>
      </c>
      <c r="AI213" s="1">
        <v>5</v>
      </c>
      <c r="AJ213" s="1" t="s">
        <v>390</v>
      </c>
      <c r="AK213" s="1">
        <v>9</v>
      </c>
      <c r="AL213" s="1">
        <v>88.228499999999997</v>
      </c>
      <c r="AM213" s="1" t="s">
        <v>388</v>
      </c>
    </row>
    <row r="214" spans="1:46">
      <c r="A214" s="1" t="s">
        <v>395</v>
      </c>
      <c r="B214" s="1">
        <v>63</v>
      </c>
      <c r="C214" s="1" t="s">
        <v>395</v>
      </c>
      <c r="D214" s="1" t="s">
        <v>396</v>
      </c>
      <c r="E214" s="1" t="s">
        <v>47</v>
      </c>
      <c r="F214" s="1" t="s">
        <v>378</v>
      </c>
      <c r="G214" s="1" t="s">
        <v>49</v>
      </c>
      <c r="H214" s="2" t="s">
        <v>379</v>
      </c>
      <c r="I214" s="1">
        <v>24</v>
      </c>
      <c r="J214" s="1">
        <v>20</v>
      </c>
      <c r="L214" s="1" t="s">
        <v>78</v>
      </c>
      <c r="M214" s="1">
        <v>15.95</v>
      </c>
      <c r="N214" s="1">
        <v>25</v>
      </c>
      <c r="O214" s="1">
        <v>67.594700000000003</v>
      </c>
      <c r="P214" s="1">
        <v>-164.52366000000001</v>
      </c>
      <c r="Q214" s="1">
        <v>-0.89</v>
      </c>
      <c r="R214" s="1">
        <v>31.579499999999999</v>
      </c>
      <c r="S214" s="1">
        <v>412.185</v>
      </c>
      <c r="W214" s="3">
        <v>0.99890000000000001</v>
      </c>
      <c r="X214" s="1" t="s">
        <v>388</v>
      </c>
      <c r="Y214" s="1">
        <v>2.95</v>
      </c>
      <c r="Z214" s="1">
        <v>0.63</v>
      </c>
      <c r="AA214" s="1">
        <v>0.98099999999999998</v>
      </c>
      <c r="AB214" s="1">
        <v>15.3</v>
      </c>
      <c r="AC214" s="1">
        <v>1.3</v>
      </c>
      <c r="AD214" s="1">
        <v>0.06</v>
      </c>
      <c r="AE214" s="1">
        <v>0.27</v>
      </c>
      <c r="AF214" s="1">
        <v>1.36</v>
      </c>
      <c r="AH214" s="1" t="s">
        <v>397</v>
      </c>
      <c r="AI214" s="1">
        <v>5</v>
      </c>
      <c r="AJ214" s="1" t="s">
        <v>390</v>
      </c>
      <c r="AK214" s="1">
        <v>9</v>
      </c>
      <c r="AL214" s="1">
        <v>88.228499999999997</v>
      </c>
      <c r="AM214" s="1" t="s">
        <v>388</v>
      </c>
    </row>
    <row r="215" spans="1:46">
      <c r="A215" s="1" t="s">
        <v>398</v>
      </c>
      <c r="B215" s="1">
        <v>58</v>
      </c>
      <c r="C215" s="1" t="s">
        <v>398</v>
      </c>
      <c r="D215" s="1" t="s">
        <v>399</v>
      </c>
      <c r="E215" s="1" t="s">
        <v>47</v>
      </c>
      <c r="F215" s="1" t="s">
        <v>378</v>
      </c>
      <c r="G215" s="1" t="s">
        <v>49</v>
      </c>
      <c r="H215" s="2" t="s">
        <v>379</v>
      </c>
      <c r="I215" s="1">
        <v>24</v>
      </c>
      <c r="J215" s="1">
        <v>0.2</v>
      </c>
      <c r="K215" s="1" t="s">
        <v>150</v>
      </c>
      <c r="L215" s="1" t="s">
        <v>78</v>
      </c>
      <c r="M215" s="1">
        <v>22.17</v>
      </c>
      <c r="N215" s="1">
        <v>25</v>
      </c>
      <c r="O215" s="1">
        <v>67.594700000000003</v>
      </c>
      <c r="P215" s="1">
        <v>-164.52366000000001</v>
      </c>
      <c r="Q215" s="1">
        <v>-1.365</v>
      </c>
      <c r="R215" s="1">
        <v>31.689499999999999</v>
      </c>
      <c r="S215" s="1">
        <v>380.88200000000001</v>
      </c>
      <c r="W215" s="3">
        <v>2.9521000000000002</v>
      </c>
      <c r="X215" s="1" t="s">
        <v>400</v>
      </c>
      <c r="Y215" s="1">
        <v>3.47</v>
      </c>
      <c r="Z215" s="1">
        <v>0.16</v>
      </c>
      <c r="AA215" s="1">
        <v>1.036</v>
      </c>
      <c r="AB215" s="1">
        <v>16.8</v>
      </c>
      <c r="AC215" s="1">
        <v>1.6</v>
      </c>
      <c r="AD215" s="1">
        <v>7.0000000000000007E-2</v>
      </c>
      <c r="AE215" s="1">
        <v>0.28999999999999998</v>
      </c>
      <c r="AF215" s="1">
        <v>1.67</v>
      </c>
      <c r="AH215" s="1" t="s">
        <v>401</v>
      </c>
      <c r="AI215" s="1">
        <v>2</v>
      </c>
      <c r="AJ215" s="1" t="s">
        <v>402</v>
      </c>
      <c r="AK215" s="1">
        <v>9</v>
      </c>
      <c r="AL215" s="1">
        <v>83.5471</v>
      </c>
      <c r="AM215" s="1" t="s">
        <v>400</v>
      </c>
    </row>
    <row r="216" spans="1:46">
      <c r="A216" s="1" t="s">
        <v>403</v>
      </c>
      <c r="B216" s="1">
        <v>61</v>
      </c>
      <c r="C216" s="1" t="s">
        <v>403</v>
      </c>
      <c r="D216" s="1" t="s">
        <v>404</v>
      </c>
      <c r="E216" s="1" t="s">
        <v>47</v>
      </c>
      <c r="F216" s="1" t="s">
        <v>378</v>
      </c>
      <c r="G216" s="1" t="s">
        <v>49</v>
      </c>
      <c r="H216" s="2" t="s">
        <v>379</v>
      </c>
      <c r="I216" s="1">
        <v>24</v>
      </c>
      <c r="J216" s="1">
        <v>3</v>
      </c>
      <c r="K216" s="1" t="s">
        <v>150</v>
      </c>
      <c r="L216" s="1" t="s">
        <v>78</v>
      </c>
      <c r="M216" s="1">
        <v>22.17</v>
      </c>
      <c r="N216" s="1">
        <v>25</v>
      </c>
      <c r="O216" s="1">
        <v>67.594700000000003</v>
      </c>
      <c r="P216" s="1">
        <v>-164.52366000000001</v>
      </c>
      <c r="Q216" s="1">
        <v>-1.365</v>
      </c>
      <c r="R216" s="1">
        <v>31.689499999999999</v>
      </c>
      <c r="S216" s="1">
        <v>380.88200000000001</v>
      </c>
      <c r="W216" s="3">
        <v>2.9521000000000002</v>
      </c>
      <c r="X216" s="1" t="s">
        <v>400</v>
      </c>
      <c r="Y216" s="1">
        <v>3.47</v>
      </c>
      <c r="Z216" s="1">
        <v>0.16</v>
      </c>
      <c r="AA216" s="1">
        <v>1.036</v>
      </c>
      <c r="AB216" s="1">
        <v>16.8</v>
      </c>
      <c r="AC216" s="1">
        <v>1.6</v>
      </c>
      <c r="AD216" s="1">
        <v>7.0000000000000007E-2</v>
      </c>
      <c r="AE216" s="1">
        <v>0.28999999999999998</v>
      </c>
      <c r="AF216" s="1">
        <v>1.67</v>
      </c>
      <c r="AH216" s="1" t="s">
        <v>405</v>
      </c>
      <c r="AI216" s="1">
        <v>2</v>
      </c>
      <c r="AJ216" s="1" t="s">
        <v>402</v>
      </c>
      <c r="AK216" s="1">
        <v>9</v>
      </c>
      <c r="AL216" s="1">
        <v>83.5471</v>
      </c>
      <c r="AM216" s="1" t="s">
        <v>400</v>
      </c>
    </row>
    <row r="217" spans="1:46">
      <c r="A217" s="1" t="s">
        <v>406</v>
      </c>
      <c r="B217" s="1">
        <v>64</v>
      </c>
      <c r="C217" s="1" t="s">
        <v>406</v>
      </c>
      <c r="D217" s="1" t="s">
        <v>407</v>
      </c>
      <c r="E217" s="1" t="s">
        <v>47</v>
      </c>
      <c r="F217" s="1" t="s">
        <v>378</v>
      </c>
      <c r="G217" s="1" t="s">
        <v>49</v>
      </c>
      <c r="H217" s="2" t="s">
        <v>379</v>
      </c>
      <c r="I217" s="1">
        <v>24</v>
      </c>
      <c r="J217" s="1">
        <v>20</v>
      </c>
      <c r="K217" s="1" t="s">
        <v>150</v>
      </c>
      <c r="L217" s="1" t="s">
        <v>78</v>
      </c>
      <c r="M217" s="1">
        <v>22.17</v>
      </c>
      <c r="N217" s="1">
        <v>25</v>
      </c>
      <c r="O217" s="1">
        <v>67.594700000000003</v>
      </c>
      <c r="P217" s="1">
        <v>-164.52366000000001</v>
      </c>
      <c r="Q217" s="1">
        <v>-1.365</v>
      </c>
      <c r="R217" s="1">
        <v>31.689499999999999</v>
      </c>
      <c r="S217" s="1">
        <v>380.88200000000001</v>
      </c>
      <c r="W217" s="3">
        <v>2.9521000000000002</v>
      </c>
      <c r="X217" s="1" t="s">
        <v>400</v>
      </c>
      <c r="Y217" s="1">
        <v>3.47</v>
      </c>
      <c r="Z217" s="1">
        <v>0.16</v>
      </c>
      <c r="AA217" s="1">
        <v>1.036</v>
      </c>
      <c r="AB217" s="1">
        <v>16.8</v>
      </c>
      <c r="AC217" s="1">
        <v>1.6</v>
      </c>
      <c r="AD217" s="1">
        <v>7.0000000000000007E-2</v>
      </c>
      <c r="AE217" s="1">
        <v>0.28999999999999998</v>
      </c>
      <c r="AF217" s="1">
        <v>1.67</v>
      </c>
      <c r="AH217" s="1" t="s">
        <v>408</v>
      </c>
      <c r="AI217" s="1">
        <v>2</v>
      </c>
      <c r="AJ217" s="1" t="s">
        <v>402</v>
      </c>
      <c r="AK217" s="1">
        <v>9</v>
      </c>
      <c r="AL217" s="1">
        <v>83.5471</v>
      </c>
      <c r="AM217" s="1" t="s">
        <v>400</v>
      </c>
    </row>
    <row r="218" spans="1:46">
      <c r="A218" s="1" t="s">
        <v>409</v>
      </c>
      <c r="B218" s="1">
        <v>39</v>
      </c>
      <c r="C218" s="1" t="s">
        <v>409</v>
      </c>
      <c r="D218" s="1" t="s">
        <v>410</v>
      </c>
      <c r="E218" s="1" t="s">
        <v>47</v>
      </c>
      <c r="F218" s="1" t="s">
        <v>411</v>
      </c>
      <c r="G218" s="1" t="s">
        <v>49</v>
      </c>
      <c r="H218" s="2" t="s">
        <v>412</v>
      </c>
      <c r="I218" s="1">
        <v>22</v>
      </c>
      <c r="J218" s="1">
        <v>0.2</v>
      </c>
      <c r="K218" s="1" t="s">
        <v>52</v>
      </c>
      <c r="L218" s="1" t="s">
        <v>52</v>
      </c>
      <c r="M218" s="1">
        <v>2.65</v>
      </c>
      <c r="N218" s="1">
        <v>35.5</v>
      </c>
      <c r="O218" s="1">
        <v>67.538960000000003</v>
      </c>
      <c r="P218" s="1">
        <v>-164.87996000000001</v>
      </c>
      <c r="Q218" s="1">
        <v>5.1615000000000002</v>
      </c>
      <c r="R218" s="1">
        <v>31.408999999999999</v>
      </c>
      <c r="S218" s="1">
        <v>340.73</v>
      </c>
      <c r="T218" s="1">
        <v>122.34</v>
      </c>
      <c r="U218" s="1">
        <v>20.36</v>
      </c>
      <c r="V218" s="1">
        <v>2360</v>
      </c>
      <c r="W218" s="3">
        <v>0.18859999999999999</v>
      </c>
      <c r="X218" s="1" t="s">
        <v>413</v>
      </c>
      <c r="Y218" s="1">
        <v>0.09</v>
      </c>
      <c r="Z218" s="1">
        <v>0.15</v>
      </c>
      <c r="AA218" s="1">
        <v>0.42</v>
      </c>
      <c r="AB218" s="1">
        <v>5</v>
      </c>
      <c r="AC218" s="1">
        <v>0.1</v>
      </c>
      <c r="AD218" s="1">
        <v>0</v>
      </c>
      <c r="AE218" s="1">
        <v>7.0000000000000007E-2</v>
      </c>
      <c r="AF218" s="1">
        <v>0.1</v>
      </c>
      <c r="AH218" s="1" t="s">
        <v>414</v>
      </c>
      <c r="AI218" s="1">
        <v>20</v>
      </c>
      <c r="AJ218" s="1" t="s">
        <v>415</v>
      </c>
      <c r="AK218" s="1">
        <v>8</v>
      </c>
      <c r="AL218" s="1">
        <v>92.324200000000005</v>
      </c>
      <c r="AM218" s="1" t="s">
        <v>413</v>
      </c>
      <c r="AN218" s="1">
        <v>6.0088408644400797</v>
      </c>
      <c r="AO218" s="1">
        <v>0.90699484746265302</v>
      </c>
      <c r="AS218" s="1" t="s">
        <v>416</v>
      </c>
    </row>
    <row r="219" spans="1:46">
      <c r="A219" s="1" t="s">
        <v>417</v>
      </c>
      <c r="B219" s="1">
        <v>42</v>
      </c>
      <c r="C219" s="1" t="s">
        <v>417</v>
      </c>
      <c r="D219" s="1" t="s">
        <v>418</v>
      </c>
      <c r="E219" s="1" t="s">
        <v>47</v>
      </c>
      <c r="F219" s="1" t="s">
        <v>411</v>
      </c>
      <c r="G219" s="1" t="s">
        <v>49</v>
      </c>
      <c r="H219" s="2" t="s">
        <v>412</v>
      </c>
      <c r="I219" s="1">
        <v>22</v>
      </c>
      <c r="J219" s="1">
        <v>3</v>
      </c>
      <c r="K219" s="1" t="s">
        <v>52</v>
      </c>
      <c r="L219" s="1" t="s">
        <v>52</v>
      </c>
      <c r="M219" s="1">
        <v>2.65</v>
      </c>
      <c r="N219" s="1">
        <v>35.5</v>
      </c>
      <c r="O219" s="1">
        <v>67.538960000000003</v>
      </c>
      <c r="P219" s="1">
        <v>-164.87996000000001</v>
      </c>
      <c r="Q219" s="1">
        <v>5.1615000000000002</v>
      </c>
      <c r="R219" s="1">
        <v>31.408999999999999</v>
      </c>
      <c r="S219" s="1">
        <v>340.73</v>
      </c>
      <c r="T219" s="1">
        <v>122.34</v>
      </c>
      <c r="U219" s="1">
        <v>20.36</v>
      </c>
      <c r="V219" s="1">
        <v>2360</v>
      </c>
      <c r="W219" s="3">
        <v>0.18859999999999999</v>
      </c>
      <c r="X219" s="1" t="s">
        <v>413</v>
      </c>
      <c r="Y219" s="1">
        <v>0.09</v>
      </c>
      <c r="Z219" s="1">
        <v>0.15</v>
      </c>
      <c r="AA219" s="1">
        <v>0.42</v>
      </c>
      <c r="AB219" s="1">
        <v>5</v>
      </c>
      <c r="AC219" s="1">
        <v>0.1</v>
      </c>
      <c r="AD219" s="1">
        <v>0</v>
      </c>
      <c r="AE219" s="1">
        <v>7.0000000000000007E-2</v>
      </c>
      <c r="AF219" s="1">
        <v>0.1</v>
      </c>
      <c r="AH219" s="1" t="s">
        <v>419</v>
      </c>
      <c r="AI219" s="1">
        <v>20</v>
      </c>
      <c r="AJ219" s="1" t="s">
        <v>415</v>
      </c>
      <c r="AK219" s="1">
        <v>8</v>
      </c>
      <c r="AL219" s="1">
        <v>92.324200000000005</v>
      </c>
      <c r="AM219" s="1" t="s">
        <v>413</v>
      </c>
      <c r="AN219" s="1">
        <v>6.0088408644400797</v>
      </c>
      <c r="AO219" s="1">
        <v>0.90699484746265302</v>
      </c>
    </row>
    <row r="220" spans="1:46">
      <c r="A220" s="1" t="s">
        <v>420</v>
      </c>
      <c r="B220" s="1">
        <v>45</v>
      </c>
      <c r="C220" s="1" t="s">
        <v>420</v>
      </c>
      <c r="D220" s="1" t="s">
        <v>421</v>
      </c>
      <c r="E220" s="1" t="s">
        <v>47</v>
      </c>
      <c r="F220" s="1" t="s">
        <v>411</v>
      </c>
      <c r="G220" s="1" t="s">
        <v>49</v>
      </c>
      <c r="H220" s="2" t="s">
        <v>412</v>
      </c>
      <c r="I220" s="1">
        <v>22</v>
      </c>
      <c r="J220" s="1">
        <v>20</v>
      </c>
      <c r="K220" s="1" t="s">
        <v>52</v>
      </c>
      <c r="L220" s="1" t="s">
        <v>52</v>
      </c>
      <c r="M220" s="1">
        <v>2.65</v>
      </c>
      <c r="N220" s="1">
        <v>35.5</v>
      </c>
      <c r="O220" s="1">
        <v>67.538960000000003</v>
      </c>
      <c r="P220" s="1">
        <v>-164.87996000000001</v>
      </c>
      <c r="Q220" s="1">
        <v>5.1615000000000002</v>
      </c>
      <c r="R220" s="1">
        <v>31.408999999999999</v>
      </c>
      <c r="S220" s="1">
        <v>340.73</v>
      </c>
      <c r="T220" s="1">
        <v>122.34</v>
      </c>
      <c r="U220" s="1">
        <v>20.36</v>
      </c>
      <c r="V220" s="1">
        <v>2360</v>
      </c>
      <c r="W220" s="3">
        <v>0.18859999999999999</v>
      </c>
      <c r="X220" s="1" t="s">
        <v>413</v>
      </c>
      <c r="Y220" s="1">
        <v>0.09</v>
      </c>
      <c r="Z220" s="1">
        <v>0.15</v>
      </c>
      <c r="AA220" s="1">
        <v>0.42</v>
      </c>
      <c r="AB220" s="1">
        <v>5</v>
      </c>
      <c r="AC220" s="1">
        <v>0.1</v>
      </c>
      <c r="AD220" s="1">
        <v>0</v>
      </c>
      <c r="AE220" s="1">
        <v>7.0000000000000007E-2</v>
      </c>
      <c r="AF220" s="1">
        <v>0.1</v>
      </c>
      <c r="AH220" s="1" t="s">
        <v>422</v>
      </c>
      <c r="AI220" s="1">
        <v>20</v>
      </c>
      <c r="AJ220" s="1" t="s">
        <v>415</v>
      </c>
      <c r="AK220" s="1">
        <v>8</v>
      </c>
      <c r="AL220" s="1">
        <v>92.324200000000005</v>
      </c>
      <c r="AM220" s="1" t="s">
        <v>413</v>
      </c>
      <c r="AN220" s="1">
        <v>6.0088408644400797</v>
      </c>
      <c r="AO220" s="1">
        <v>0.90699484746265302</v>
      </c>
    </row>
    <row r="221" spans="1:46">
      <c r="A221" s="1" t="s">
        <v>423</v>
      </c>
      <c r="B221" s="1">
        <v>41</v>
      </c>
      <c r="C221" s="1" t="s">
        <v>423</v>
      </c>
      <c r="D221" s="1" t="s">
        <v>424</v>
      </c>
      <c r="E221" s="1" t="s">
        <v>47</v>
      </c>
      <c r="F221" s="1" t="s">
        <v>411</v>
      </c>
      <c r="G221" s="1" t="s">
        <v>49</v>
      </c>
      <c r="H221" s="2" t="s">
        <v>412</v>
      </c>
      <c r="I221" s="1">
        <v>22</v>
      </c>
      <c r="J221" s="1">
        <v>0.2</v>
      </c>
      <c r="K221" s="1" t="s">
        <v>425</v>
      </c>
      <c r="L221" s="1" t="s">
        <v>65</v>
      </c>
      <c r="M221" s="1">
        <v>15.38</v>
      </c>
      <c r="N221" s="1">
        <v>35.5</v>
      </c>
      <c r="O221" s="1">
        <v>67.538939999999997</v>
      </c>
      <c r="P221" s="1">
        <v>-164.87996000000001</v>
      </c>
      <c r="Q221" s="1">
        <v>4.1115000000000004</v>
      </c>
      <c r="R221" s="1">
        <v>31.494</v>
      </c>
      <c r="S221" s="1">
        <v>352.40100000000001</v>
      </c>
      <c r="W221" s="3">
        <v>0.17419999999999999</v>
      </c>
      <c r="X221" s="1" t="s">
        <v>426</v>
      </c>
      <c r="Y221" s="1">
        <v>0.14000000000000001</v>
      </c>
      <c r="Z221" s="1">
        <v>0.06</v>
      </c>
      <c r="AA221" s="1">
        <v>0.39700000000000002</v>
      </c>
      <c r="AB221" s="1">
        <v>1.6</v>
      </c>
      <c r="AC221" s="1">
        <v>0</v>
      </c>
      <c r="AD221" s="1">
        <v>0</v>
      </c>
      <c r="AE221" s="1">
        <v>0</v>
      </c>
      <c r="AF221" s="1">
        <v>0</v>
      </c>
      <c r="AH221" s="1" t="s">
        <v>427</v>
      </c>
      <c r="AI221" s="1">
        <v>8</v>
      </c>
      <c r="AJ221" s="1" t="s">
        <v>428</v>
      </c>
      <c r="AK221" s="1">
        <v>8</v>
      </c>
      <c r="AL221" s="1">
        <v>92.494900000000001</v>
      </c>
      <c r="AM221" s="1" t="s">
        <v>426</v>
      </c>
    </row>
    <row r="222" spans="1:46">
      <c r="A222" s="1" t="s">
        <v>429</v>
      </c>
      <c r="B222" s="1">
        <v>43</v>
      </c>
      <c r="C222" s="1" t="s">
        <v>429</v>
      </c>
      <c r="D222" s="1" t="s">
        <v>430</v>
      </c>
      <c r="E222" s="1" t="s">
        <v>47</v>
      </c>
      <c r="F222" s="1" t="s">
        <v>411</v>
      </c>
      <c r="G222" s="1" t="s">
        <v>49</v>
      </c>
      <c r="H222" s="2" t="s">
        <v>412</v>
      </c>
      <c r="I222" s="1">
        <v>22</v>
      </c>
      <c r="J222" s="1">
        <v>3</v>
      </c>
      <c r="K222" s="1" t="s">
        <v>425</v>
      </c>
      <c r="L222" s="1" t="s">
        <v>65</v>
      </c>
      <c r="M222" s="1">
        <v>15.38</v>
      </c>
      <c r="N222" s="1">
        <v>35.5</v>
      </c>
      <c r="O222" s="1">
        <v>67.538939999999997</v>
      </c>
      <c r="P222" s="1">
        <v>-164.87996000000001</v>
      </c>
      <c r="Q222" s="1">
        <v>4.1115000000000004</v>
      </c>
      <c r="R222" s="1">
        <v>31.494</v>
      </c>
      <c r="S222" s="1">
        <v>352.40100000000001</v>
      </c>
      <c r="W222" s="3">
        <v>0.17419999999999999</v>
      </c>
      <c r="X222" s="1" t="s">
        <v>426</v>
      </c>
      <c r="Y222" s="1">
        <v>0.14000000000000001</v>
      </c>
      <c r="Z222" s="1">
        <v>0.06</v>
      </c>
      <c r="AA222" s="1">
        <v>0.39700000000000002</v>
      </c>
      <c r="AB222" s="1">
        <v>1.6</v>
      </c>
      <c r="AC222" s="1">
        <v>0</v>
      </c>
      <c r="AD222" s="1">
        <v>0</v>
      </c>
      <c r="AE222" s="1">
        <v>0</v>
      </c>
      <c r="AF222" s="1">
        <v>0</v>
      </c>
      <c r="AH222" s="1" t="s">
        <v>431</v>
      </c>
      <c r="AI222" s="1">
        <v>8</v>
      </c>
      <c r="AJ222" s="1" t="s">
        <v>428</v>
      </c>
      <c r="AK222" s="1">
        <v>8</v>
      </c>
      <c r="AL222" s="1">
        <v>92.494900000000001</v>
      </c>
      <c r="AM222" s="1" t="s">
        <v>426</v>
      </c>
    </row>
    <row r="223" spans="1:46">
      <c r="A223" s="1" t="s">
        <v>432</v>
      </c>
      <c r="B223" s="1">
        <v>46</v>
      </c>
      <c r="C223" s="1" t="s">
        <v>432</v>
      </c>
      <c r="D223" s="1" t="s">
        <v>433</v>
      </c>
      <c r="E223" s="1" t="s">
        <v>47</v>
      </c>
      <c r="F223" s="1" t="s">
        <v>411</v>
      </c>
      <c r="G223" s="1" t="s">
        <v>49</v>
      </c>
      <c r="H223" s="2" t="s">
        <v>412</v>
      </c>
      <c r="I223" s="1">
        <v>22</v>
      </c>
      <c r="J223" s="1">
        <v>20</v>
      </c>
      <c r="K223" s="1" t="s">
        <v>425</v>
      </c>
      <c r="L223" s="1" t="s">
        <v>65</v>
      </c>
      <c r="M223" s="1">
        <v>15.38</v>
      </c>
      <c r="N223" s="1">
        <v>35.5</v>
      </c>
      <c r="O223" s="1">
        <v>67.538939999999997</v>
      </c>
      <c r="P223" s="1">
        <v>-164.87996000000001</v>
      </c>
      <c r="Q223" s="1">
        <v>4.1115000000000004</v>
      </c>
      <c r="R223" s="1">
        <v>31.494</v>
      </c>
      <c r="S223" s="1">
        <v>352.40100000000001</v>
      </c>
      <c r="W223" s="3">
        <v>0.17419999999999999</v>
      </c>
      <c r="X223" s="1" t="s">
        <v>426</v>
      </c>
      <c r="Y223" s="1">
        <v>0.14000000000000001</v>
      </c>
      <c r="Z223" s="1">
        <v>0.06</v>
      </c>
      <c r="AA223" s="1">
        <v>0.39700000000000002</v>
      </c>
      <c r="AB223" s="1">
        <v>1.6</v>
      </c>
      <c r="AC223" s="1">
        <v>0</v>
      </c>
      <c r="AD223" s="1">
        <v>0</v>
      </c>
      <c r="AE223" s="1">
        <v>0</v>
      </c>
      <c r="AF223" s="1">
        <v>0</v>
      </c>
      <c r="AH223" s="1" t="s">
        <v>434</v>
      </c>
      <c r="AI223" s="1">
        <v>8</v>
      </c>
      <c r="AJ223" s="1" t="s">
        <v>428</v>
      </c>
      <c r="AK223" s="1">
        <v>8</v>
      </c>
      <c r="AL223" s="1">
        <v>92.494900000000001</v>
      </c>
      <c r="AM223" s="1" t="s">
        <v>426</v>
      </c>
    </row>
    <row r="224" spans="1:46">
      <c r="A224" s="1" t="s">
        <v>435</v>
      </c>
      <c r="B224" s="1">
        <v>40</v>
      </c>
      <c r="C224" s="1" t="s">
        <v>435</v>
      </c>
      <c r="D224" s="1" t="s">
        <v>436</v>
      </c>
      <c r="E224" s="1" t="s">
        <v>47</v>
      </c>
      <c r="F224" s="1" t="s">
        <v>411</v>
      </c>
      <c r="G224" s="1" t="s">
        <v>49</v>
      </c>
      <c r="H224" s="2" t="s">
        <v>412</v>
      </c>
      <c r="I224" s="1">
        <v>22</v>
      </c>
      <c r="J224" s="1">
        <v>0.2</v>
      </c>
      <c r="K224" s="1" t="s">
        <v>261</v>
      </c>
      <c r="L224" s="1" t="s">
        <v>78</v>
      </c>
      <c r="M224" s="1">
        <v>32.67</v>
      </c>
      <c r="N224" s="1">
        <v>35.5</v>
      </c>
      <c r="O224" s="1">
        <v>67.538939999999997</v>
      </c>
      <c r="P224" s="1">
        <v>-164.87996000000001</v>
      </c>
      <c r="Q224" s="1">
        <v>-1.2235</v>
      </c>
      <c r="R224" s="1">
        <v>31.719000000000001</v>
      </c>
      <c r="S224" s="1">
        <v>385.79399999999998</v>
      </c>
      <c r="T224" s="1">
        <v>158.06</v>
      </c>
      <c r="U224" s="1">
        <v>26.42</v>
      </c>
      <c r="V224" s="1">
        <v>1780</v>
      </c>
      <c r="W224" s="3">
        <v>7.8266999999999998</v>
      </c>
      <c r="X224" s="1" t="s">
        <v>437</v>
      </c>
      <c r="Y224" s="1">
        <v>1.53</v>
      </c>
      <c r="Z224" s="1">
        <v>0.24</v>
      </c>
      <c r="AA224" s="1">
        <v>0.99299999999999999</v>
      </c>
      <c r="AB224" s="1">
        <v>11.8</v>
      </c>
      <c r="AC224" s="1">
        <v>2</v>
      </c>
      <c r="AD224" s="1">
        <v>0.08</v>
      </c>
      <c r="AE224" s="1">
        <v>0.46</v>
      </c>
      <c r="AF224" s="1">
        <v>2.08</v>
      </c>
      <c r="AH224" s="1" t="s">
        <v>438</v>
      </c>
      <c r="AI224" s="1">
        <v>2</v>
      </c>
      <c r="AJ224" s="1" t="s">
        <v>439</v>
      </c>
      <c r="AK224" s="1">
        <v>8</v>
      </c>
      <c r="AL224" s="1">
        <v>70.034300000000002</v>
      </c>
      <c r="AM224" s="1" t="s">
        <v>437</v>
      </c>
      <c r="AN224" s="1">
        <v>5.9825889477668399</v>
      </c>
      <c r="AO224" s="1">
        <v>0.90303229400254204</v>
      </c>
    </row>
    <row r="225" spans="1:46">
      <c r="A225" s="1" t="s">
        <v>440</v>
      </c>
      <c r="B225" s="1">
        <v>44</v>
      </c>
      <c r="C225" s="1" t="s">
        <v>440</v>
      </c>
      <c r="D225" s="1" t="s">
        <v>441</v>
      </c>
      <c r="E225" s="1" t="s">
        <v>47</v>
      </c>
      <c r="F225" s="1" t="s">
        <v>411</v>
      </c>
      <c r="G225" s="1" t="s">
        <v>49</v>
      </c>
      <c r="H225" s="2" t="s">
        <v>412</v>
      </c>
      <c r="I225" s="1">
        <v>22</v>
      </c>
      <c r="J225" s="1">
        <v>3</v>
      </c>
      <c r="K225" s="1" t="s">
        <v>261</v>
      </c>
      <c r="L225" s="1" t="s">
        <v>78</v>
      </c>
      <c r="M225" s="1">
        <v>32.67</v>
      </c>
      <c r="N225" s="1">
        <v>35.5</v>
      </c>
      <c r="O225" s="1">
        <v>67.538939999999997</v>
      </c>
      <c r="P225" s="1">
        <v>-164.87996000000001</v>
      </c>
      <c r="Q225" s="1">
        <v>-1.2235</v>
      </c>
      <c r="R225" s="1">
        <v>31.719000000000001</v>
      </c>
      <c r="S225" s="1">
        <v>385.79399999999998</v>
      </c>
      <c r="T225" s="1">
        <v>158.06</v>
      </c>
      <c r="U225" s="1">
        <v>26.42</v>
      </c>
      <c r="V225" s="1">
        <v>1780</v>
      </c>
      <c r="W225" s="3">
        <v>7.8266999999999998</v>
      </c>
      <c r="X225" s="1" t="s">
        <v>437</v>
      </c>
      <c r="Y225" s="1">
        <v>1.53</v>
      </c>
      <c r="Z225" s="1">
        <v>0.24</v>
      </c>
      <c r="AA225" s="1">
        <v>0.99299999999999999</v>
      </c>
      <c r="AB225" s="1">
        <v>11.8</v>
      </c>
      <c r="AC225" s="1">
        <v>2</v>
      </c>
      <c r="AD225" s="1">
        <v>0.08</v>
      </c>
      <c r="AE225" s="1">
        <v>0.46</v>
      </c>
      <c r="AF225" s="1">
        <v>2.08</v>
      </c>
      <c r="AH225" s="1" t="s">
        <v>442</v>
      </c>
      <c r="AI225" s="1">
        <v>2</v>
      </c>
      <c r="AJ225" s="1" t="s">
        <v>439</v>
      </c>
      <c r="AK225" s="1">
        <v>8</v>
      </c>
      <c r="AL225" s="1">
        <v>70.034300000000002</v>
      </c>
      <c r="AM225" s="1" t="s">
        <v>437</v>
      </c>
      <c r="AN225" s="1">
        <v>5.9825889477668399</v>
      </c>
      <c r="AO225" s="1">
        <v>0.90303229400254204</v>
      </c>
    </row>
    <row r="226" spans="1:46">
      <c r="A226" s="1" t="s">
        <v>443</v>
      </c>
      <c r="B226" s="1">
        <v>47</v>
      </c>
      <c r="C226" s="1" t="s">
        <v>443</v>
      </c>
      <c r="D226" s="1" t="s">
        <v>444</v>
      </c>
      <c r="E226" s="1" t="s">
        <v>47</v>
      </c>
      <c r="F226" s="1" t="s">
        <v>411</v>
      </c>
      <c r="G226" s="1" t="s">
        <v>49</v>
      </c>
      <c r="H226" s="2" t="s">
        <v>412</v>
      </c>
      <c r="I226" s="1">
        <v>22</v>
      </c>
      <c r="J226" s="1">
        <v>20</v>
      </c>
      <c r="K226" s="1" t="s">
        <v>261</v>
      </c>
      <c r="L226" s="1" t="s">
        <v>78</v>
      </c>
      <c r="M226" s="1">
        <v>32.67</v>
      </c>
      <c r="N226" s="1">
        <v>35.5</v>
      </c>
      <c r="O226" s="1">
        <v>67.538939999999997</v>
      </c>
      <c r="P226" s="1">
        <v>-164.87996000000001</v>
      </c>
      <c r="Q226" s="1">
        <v>-1.2235</v>
      </c>
      <c r="R226" s="1">
        <v>31.719000000000001</v>
      </c>
      <c r="S226" s="1">
        <v>385.79399999999998</v>
      </c>
      <c r="T226" s="1">
        <v>158.06</v>
      </c>
      <c r="U226" s="1">
        <v>26.42</v>
      </c>
      <c r="V226" s="1">
        <v>1780</v>
      </c>
      <c r="W226" s="3">
        <v>7.8266999999999998</v>
      </c>
      <c r="X226" s="1" t="s">
        <v>437</v>
      </c>
      <c r="Y226" s="1">
        <v>1.53</v>
      </c>
      <c r="Z226" s="1">
        <v>0.24</v>
      </c>
      <c r="AA226" s="1">
        <v>0.99299999999999999</v>
      </c>
      <c r="AB226" s="1">
        <v>11.8</v>
      </c>
      <c r="AC226" s="1">
        <v>2</v>
      </c>
      <c r="AD226" s="1">
        <v>0.08</v>
      </c>
      <c r="AE226" s="1">
        <v>0.46</v>
      </c>
      <c r="AF226" s="1">
        <v>2.08</v>
      </c>
      <c r="AH226" s="1" t="s">
        <v>445</v>
      </c>
      <c r="AI226" s="1">
        <v>2</v>
      </c>
      <c r="AJ226" s="1" t="s">
        <v>439</v>
      </c>
      <c r="AK226" s="1">
        <v>8</v>
      </c>
      <c r="AL226" s="1">
        <v>70.034300000000002</v>
      </c>
      <c r="AM226" s="1" t="s">
        <v>437</v>
      </c>
      <c r="AN226" s="1">
        <v>5.9825889477668399</v>
      </c>
      <c r="AO226" s="1">
        <v>0.90303229400254204</v>
      </c>
    </row>
    <row r="227" spans="1:46">
      <c r="A227" s="1" t="s">
        <v>446</v>
      </c>
      <c r="B227" s="1">
        <v>247</v>
      </c>
      <c r="C227" s="1" t="s">
        <v>446</v>
      </c>
      <c r="D227" s="1" t="s">
        <v>447</v>
      </c>
      <c r="E227" s="1" t="s">
        <v>47</v>
      </c>
      <c r="F227" s="1" t="s">
        <v>448</v>
      </c>
      <c r="G227" s="1" t="s">
        <v>49</v>
      </c>
      <c r="J227" s="1">
        <v>3</v>
      </c>
      <c r="AH227" s="1" t="s">
        <v>449</v>
      </c>
      <c r="AK227" s="1">
        <v>1</v>
      </c>
    </row>
    <row r="228" spans="1:46">
      <c r="A228" s="1" t="s">
        <v>450</v>
      </c>
      <c r="B228" s="1">
        <v>246</v>
      </c>
      <c r="C228" s="1" t="s">
        <v>450</v>
      </c>
      <c r="D228" s="1" t="s">
        <v>451</v>
      </c>
      <c r="E228" s="1" t="s">
        <v>47</v>
      </c>
      <c r="F228" s="1" t="s">
        <v>448</v>
      </c>
      <c r="G228" s="1" t="s">
        <v>49</v>
      </c>
      <c r="J228" s="1">
        <v>20</v>
      </c>
      <c r="AH228" s="1" t="s">
        <v>452</v>
      </c>
      <c r="AK228" s="1">
        <v>1</v>
      </c>
    </row>
    <row r="229" spans="1:46">
      <c r="A229" s="1" t="s">
        <v>1819</v>
      </c>
      <c r="C229" s="1" t="s">
        <v>1819</v>
      </c>
      <c r="D229" s="1" t="s">
        <v>1820</v>
      </c>
      <c r="E229" s="1" t="s">
        <v>1466</v>
      </c>
      <c r="F229" s="1" t="s">
        <v>1821</v>
      </c>
      <c r="G229" s="1" t="s">
        <v>49</v>
      </c>
      <c r="H229" s="2" t="s">
        <v>1822</v>
      </c>
      <c r="I229" s="1">
        <v>75</v>
      </c>
      <c r="J229" s="1">
        <v>0.2</v>
      </c>
      <c r="K229" s="1" t="s">
        <v>52</v>
      </c>
      <c r="L229" s="1" t="s">
        <v>52</v>
      </c>
      <c r="M229" s="1">
        <v>4.7839999999999998</v>
      </c>
      <c r="N229" s="1">
        <v>49</v>
      </c>
      <c r="O229" s="1">
        <v>71.507419999999996</v>
      </c>
      <c r="P229" s="1">
        <v>-167.21906999999999</v>
      </c>
      <c r="Q229" s="1">
        <v>6.5790499999999996</v>
      </c>
      <c r="R229" s="1">
        <v>32.029350000000001</v>
      </c>
      <c r="S229" s="1">
        <v>293.952</v>
      </c>
      <c r="W229" s="3">
        <v>0.41799999999999998</v>
      </c>
      <c r="X229" s="1" t="s">
        <v>1823</v>
      </c>
      <c r="Y229" s="1">
        <v>0.64</v>
      </c>
      <c r="AA229" s="1">
        <v>0.28999999999999998</v>
      </c>
      <c r="AB229" s="1">
        <v>1.78</v>
      </c>
      <c r="AE229" s="1">
        <v>0.47</v>
      </c>
      <c r="AF229" s="1">
        <v>0.51</v>
      </c>
      <c r="AI229" s="1">
        <v>13</v>
      </c>
      <c r="AJ229" s="1" t="s">
        <v>1823</v>
      </c>
      <c r="AK229" s="1">
        <v>4</v>
      </c>
      <c r="AL229" s="1">
        <v>94.286600000000007</v>
      </c>
      <c r="AM229" s="1" t="s">
        <v>1823</v>
      </c>
      <c r="AP229" s="1" t="s">
        <v>1824</v>
      </c>
      <c r="AQ229" s="1">
        <v>-1.22</v>
      </c>
      <c r="AR229" s="1">
        <v>16.72</v>
      </c>
      <c r="AS229" s="1" t="s">
        <v>1825</v>
      </c>
      <c r="AT229" s="1">
        <v>5</v>
      </c>
    </row>
    <row r="230" spans="1:46">
      <c r="A230" s="1" t="s">
        <v>1826</v>
      </c>
      <c r="C230" s="1" t="s">
        <v>1826</v>
      </c>
      <c r="D230" s="1" t="s">
        <v>1827</v>
      </c>
      <c r="E230" s="1" t="s">
        <v>1466</v>
      </c>
      <c r="F230" s="1" t="s">
        <v>1821</v>
      </c>
      <c r="G230" s="1" t="s">
        <v>49</v>
      </c>
      <c r="H230" s="2" t="s">
        <v>1822</v>
      </c>
      <c r="I230" s="1">
        <v>75</v>
      </c>
      <c r="J230" s="1">
        <v>3</v>
      </c>
      <c r="K230" s="1" t="s">
        <v>52</v>
      </c>
      <c r="L230" s="1" t="s">
        <v>52</v>
      </c>
      <c r="M230" s="1">
        <v>4.7839999999999998</v>
      </c>
      <c r="N230" s="1">
        <v>49</v>
      </c>
      <c r="O230" s="1">
        <v>71.507419999999996</v>
      </c>
      <c r="P230" s="1">
        <v>-167.21906999999999</v>
      </c>
      <c r="Q230" s="1">
        <v>6.5790499999999996</v>
      </c>
      <c r="R230" s="1">
        <v>32.029350000000001</v>
      </c>
      <c r="S230" s="1">
        <v>293.952</v>
      </c>
      <c r="W230" s="3">
        <v>0.41799999999999998</v>
      </c>
      <c r="X230" s="1" t="s">
        <v>1823</v>
      </c>
      <c r="Y230" s="1">
        <v>0.64</v>
      </c>
      <c r="AA230" s="1">
        <v>0.28999999999999998</v>
      </c>
      <c r="AB230" s="1">
        <v>1.78</v>
      </c>
      <c r="AE230" s="1">
        <v>0.47</v>
      </c>
      <c r="AF230" s="1">
        <v>0.51</v>
      </c>
      <c r="AI230" s="1">
        <v>13</v>
      </c>
      <c r="AJ230" s="1" t="s">
        <v>1823</v>
      </c>
      <c r="AK230" s="1">
        <v>4</v>
      </c>
      <c r="AL230" s="1">
        <v>94.286600000000007</v>
      </c>
      <c r="AM230" s="1" t="s">
        <v>1823</v>
      </c>
      <c r="AP230" s="1" t="s">
        <v>1824</v>
      </c>
      <c r="AQ230" s="1">
        <v>-1.22</v>
      </c>
      <c r="AR230" s="1">
        <v>16.72</v>
      </c>
      <c r="AT230" s="1">
        <v>5</v>
      </c>
    </row>
    <row r="231" spans="1:46">
      <c r="A231" s="1" t="s">
        <v>1828</v>
      </c>
      <c r="C231" s="1" t="s">
        <v>1828</v>
      </c>
      <c r="D231" s="1" t="s">
        <v>1829</v>
      </c>
      <c r="E231" s="1" t="s">
        <v>1466</v>
      </c>
      <c r="F231" s="1" t="s">
        <v>1821</v>
      </c>
      <c r="G231" s="1" t="s">
        <v>49</v>
      </c>
      <c r="H231" s="2" t="s">
        <v>1822</v>
      </c>
      <c r="I231" s="1">
        <v>75</v>
      </c>
      <c r="J231" s="1">
        <v>20</v>
      </c>
      <c r="K231" s="1" t="s">
        <v>52</v>
      </c>
      <c r="L231" s="1" t="s">
        <v>52</v>
      </c>
      <c r="M231" s="1">
        <v>4.7839999999999998</v>
      </c>
      <c r="N231" s="1">
        <v>49</v>
      </c>
      <c r="O231" s="1">
        <v>71.507419999999996</v>
      </c>
      <c r="P231" s="1">
        <v>-167.21906999999999</v>
      </c>
      <c r="Q231" s="1">
        <v>6.5790499999999996</v>
      </c>
      <c r="R231" s="1">
        <v>32.029350000000001</v>
      </c>
      <c r="S231" s="1">
        <v>293.952</v>
      </c>
      <c r="W231" s="3">
        <v>0.41799999999999998</v>
      </c>
      <c r="X231" s="1" t="s">
        <v>1823</v>
      </c>
      <c r="Y231" s="1">
        <v>0.64</v>
      </c>
      <c r="AA231" s="1">
        <v>0.28999999999999998</v>
      </c>
      <c r="AB231" s="1">
        <v>1.78</v>
      </c>
      <c r="AE231" s="1">
        <v>0.47</v>
      </c>
      <c r="AF231" s="1">
        <v>0.51</v>
      </c>
      <c r="AI231" s="1">
        <v>13</v>
      </c>
      <c r="AJ231" s="1" t="s">
        <v>1823</v>
      </c>
      <c r="AK231" s="1">
        <v>4</v>
      </c>
      <c r="AL231" s="1">
        <v>94.286600000000007</v>
      </c>
      <c r="AM231" s="1" t="s">
        <v>1823</v>
      </c>
      <c r="AP231" s="1" t="s">
        <v>1824</v>
      </c>
      <c r="AQ231" s="1">
        <v>-1.22</v>
      </c>
      <c r="AR231" s="1">
        <v>16.72</v>
      </c>
      <c r="AS231" s="1" t="s">
        <v>1830</v>
      </c>
      <c r="AT231" s="1">
        <v>5</v>
      </c>
    </row>
    <row r="232" spans="1:46">
      <c r="A232" s="1" t="s">
        <v>1831</v>
      </c>
      <c r="C232" s="1" t="s">
        <v>1831</v>
      </c>
      <c r="D232" s="1" t="s">
        <v>1832</v>
      </c>
      <c r="E232" s="1" t="s">
        <v>1466</v>
      </c>
      <c r="F232" s="1" t="s">
        <v>1821</v>
      </c>
      <c r="G232" s="1" t="s">
        <v>49</v>
      </c>
      <c r="H232" s="2" t="s">
        <v>1833</v>
      </c>
      <c r="I232" s="1">
        <v>75</v>
      </c>
      <c r="J232" s="1">
        <v>3</v>
      </c>
      <c r="L232" s="1" t="s">
        <v>65</v>
      </c>
      <c r="M232" s="1">
        <v>10.119</v>
      </c>
      <c r="N232" s="1">
        <v>49</v>
      </c>
      <c r="O232" s="1">
        <v>71.507459999999995</v>
      </c>
      <c r="P232" s="1">
        <v>-167.21906000000001</v>
      </c>
      <c r="Q232" s="1">
        <v>6.5838000000000001</v>
      </c>
      <c r="R232" s="1">
        <v>32.029800000000002</v>
      </c>
      <c r="S232" s="1">
        <v>294.36349999999999</v>
      </c>
      <c r="T232" s="1">
        <v>62.718984079999998</v>
      </c>
      <c r="U232" s="1">
        <v>10.94397582</v>
      </c>
      <c r="W232" s="3">
        <v>0.40799999999999997</v>
      </c>
      <c r="X232" s="1" t="s">
        <v>1834</v>
      </c>
      <c r="Y232" s="1">
        <v>0.62</v>
      </c>
      <c r="AA232" s="1">
        <v>0.3</v>
      </c>
      <c r="AB232" s="1">
        <v>1.78</v>
      </c>
      <c r="AE232" s="1">
        <v>0.18</v>
      </c>
      <c r="AF232" s="1">
        <v>0.82</v>
      </c>
      <c r="AI232" s="1">
        <v>11</v>
      </c>
      <c r="AJ232" s="1" t="s">
        <v>1834</v>
      </c>
      <c r="AK232" s="1">
        <v>4</v>
      </c>
      <c r="AL232" s="1">
        <v>94.276499999999999</v>
      </c>
      <c r="AM232" s="1" t="s">
        <v>1834</v>
      </c>
      <c r="AN232" s="1">
        <v>5.7309139851516999</v>
      </c>
      <c r="AO232" s="1">
        <v>0.86504362040025595</v>
      </c>
      <c r="AP232" s="1" t="s">
        <v>1835</v>
      </c>
      <c r="AR232" s="1">
        <v>16.72</v>
      </c>
      <c r="AT232" s="1">
        <v>10</v>
      </c>
    </row>
    <row r="233" spans="1:46">
      <c r="A233" s="1" t="s">
        <v>1836</v>
      </c>
      <c r="C233" s="1" t="s">
        <v>1836</v>
      </c>
      <c r="D233" s="1" t="s">
        <v>1837</v>
      </c>
      <c r="E233" s="1" t="s">
        <v>1466</v>
      </c>
      <c r="F233" s="1" t="s">
        <v>1821</v>
      </c>
      <c r="G233" s="1" t="s">
        <v>49</v>
      </c>
      <c r="H233" s="2" t="s">
        <v>1833</v>
      </c>
      <c r="I233" s="1">
        <v>75</v>
      </c>
      <c r="J233" s="1">
        <v>20</v>
      </c>
      <c r="L233" s="1" t="s">
        <v>65</v>
      </c>
      <c r="M233" s="1">
        <v>10.119</v>
      </c>
      <c r="N233" s="1">
        <v>49</v>
      </c>
      <c r="O233" s="1">
        <v>71.507459999999995</v>
      </c>
      <c r="P233" s="1">
        <v>-167.21906000000001</v>
      </c>
      <c r="Q233" s="1">
        <v>6.5838000000000001</v>
      </c>
      <c r="R233" s="1">
        <v>32.029800000000002</v>
      </c>
      <c r="S233" s="1">
        <v>294.36349999999999</v>
      </c>
      <c r="T233" s="1">
        <v>62.718984079999998</v>
      </c>
      <c r="U233" s="1">
        <v>10.94397582</v>
      </c>
      <c r="W233" s="3">
        <v>0.40799999999999997</v>
      </c>
      <c r="X233" s="1" t="s">
        <v>1834</v>
      </c>
      <c r="Y233" s="1">
        <v>0.62</v>
      </c>
      <c r="AA233" s="1">
        <v>0.3</v>
      </c>
      <c r="AB233" s="1">
        <v>1.78</v>
      </c>
      <c r="AE233" s="1">
        <v>0.18</v>
      </c>
      <c r="AF233" s="1">
        <v>0.82</v>
      </c>
      <c r="AI233" s="1">
        <v>11</v>
      </c>
      <c r="AJ233" s="1" t="s">
        <v>1834</v>
      </c>
      <c r="AK233" s="1">
        <v>4</v>
      </c>
      <c r="AL233" s="1">
        <v>94.276499999999999</v>
      </c>
      <c r="AM233" s="1" t="s">
        <v>1834</v>
      </c>
      <c r="AN233" s="1">
        <v>5.7309139851516999</v>
      </c>
      <c r="AO233" s="1">
        <v>0.86504362040025595</v>
      </c>
      <c r="AP233" s="1" t="s">
        <v>1835</v>
      </c>
      <c r="AR233" s="1">
        <v>16.72</v>
      </c>
      <c r="AT233" s="1">
        <v>10</v>
      </c>
    </row>
    <row r="234" spans="1:46">
      <c r="A234" s="1" t="s">
        <v>1838</v>
      </c>
      <c r="C234" s="1" t="s">
        <v>1838</v>
      </c>
      <c r="D234" s="1" t="s">
        <v>1839</v>
      </c>
      <c r="E234" s="1" t="s">
        <v>1466</v>
      </c>
      <c r="F234" s="1" t="s">
        <v>1821</v>
      </c>
      <c r="G234" s="1" t="s">
        <v>49</v>
      </c>
      <c r="H234" s="2" t="s">
        <v>1840</v>
      </c>
      <c r="I234" s="1">
        <v>75</v>
      </c>
      <c r="J234" s="1">
        <v>3</v>
      </c>
      <c r="L234" s="1" t="s">
        <v>65</v>
      </c>
      <c r="M234" s="1">
        <v>20.388000000000002</v>
      </c>
      <c r="N234" s="1">
        <v>49</v>
      </c>
      <c r="O234" s="1">
        <v>71.507499999999993</v>
      </c>
      <c r="P234" s="1">
        <v>-167.21904000000001</v>
      </c>
      <c r="Q234" s="1">
        <v>6.4078999999999997</v>
      </c>
      <c r="R234" s="1">
        <v>32.033549999999998</v>
      </c>
      <c r="S234" s="1">
        <v>295.46600000000001</v>
      </c>
      <c r="T234" s="1">
        <v>52.695911930000001</v>
      </c>
      <c r="U234" s="1">
        <v>8.2499971169999995</v>
      </c>
      <c r="V234" s="1">
        <v>3246.9135799999999</v>
      </c>
      <c r="W234" s="3">
        <v>0.53100000000000003</v>
      </c>
      <c r="X234" s="1" t="s">
        <v>1841</v>
      </c>
      <c r="Y234" s="1">
        <v>0.66</v>
      </c>
      <c r="AA234" s="1">
        <v>0.35</v>
      </c>
      <c r="AB234" s="1">
        <v>1.78</v>
      </c>
      <c r="AE234" s="1">
        <v>0.36</v>
      </c>
      <c r="AF234" s="1">
        <v>0.55000000000000004</v>
      </c>
      <c r="AI234" s="1">
        <v>9</v>
      </c>
      <c r="AJ234" s="1" t="s">
        <v>1841</v>
      </c>
      <c r="AK234" s="1">
        <v>4</v>
      </c>
      <c r="AL234" s="1">
        <v>94.234200000000001</v>
      </c>
      <c r="AM234" s="1" t="s">
        <v>1841</v>
      </c>
      <c r="AN234" s="1">
        <v>6.3873854963433203</v>
      </c>
      <c r="AO234" s="1">
        <v>0.964133659825407</v>
      </c>
      <c r="AP234" s="1" t="s">
        <v>1842</v>
      </c>
      <c r="AR234" s="1">
        <v>16.72</v>
      </c>
      <c r="AT234" s="1">
        <v>20</v>
      </c>
    </row>
    <row r="235" spans="1:46">
      <c r="A235" s="1" t="s">
        <v>1843</v>
      </c>
      <c r="C235" s="1" t="s">
        <v>1843</v>
      </c>
      <c r="D235" s="1" t="s">
        <v>1844</v>
      </c>
      <c r="E235" s="1" t="s">
        <v>1466</v>
      </c>
      <c r="F235" s="1" t="s">
        <v>1821</v>
      </c>
      <c r="G235" s="1" t="s">
        <v>49</v>
      </c>
      <c r="H235" s="2" t="s">
        <v>1840</v>
      </c>
      <c r="I235" s="1">
        <v>75</v>
      </c>
      <c r="J235" s="1">
        <v>20</v>
      </c>
      <c r="L235" s="1" t="s">
        <v>65</v>
      </c>
      <c r="M235" s="1">
        <v>20.388000000000002</v>
      </c>
      <c r="N235" s="1">
        <v>49</v>
      </c>
      <c r="O235" s="1">
        <v>71.507499999999993</v>
      </c>
      <c r="P235" s="1">
        <v>-167.21904000000001</v>
      </c>
      <c r="Q235" s="1">
        <v>6.4078999999999997</v>
      </c>
      <c r="R235" s="1">
        <v>32.033549999999998</v>
      </c>
      <c r="S235" s="1">
        <v>295.46600000000001</v>
      </c>
      <c r="T235" s="1">
        <v>52.695911930000001</v>
      </c>
      <c r="U235" s="1">
        <v>8.2499971169999995</v>
      </c>
      <c r="V235" s="1">
        <v>3246.9135799999999</v>
      </c>
      <c r="W235" s="3">
        <v>0.53100000000000003</v>
      </c>
      <c r="X235" s="1" t="s">
        <v>1841</v>
      </c>
      <c r="Y235" s="1">
        <v>0.66</v>
      </c>
      <c r="AA235" s="1">
        <v>0.35</v>
      </c>
      <c r="AB235" s="1">
        <v>1.78</v>
      </c>
      <c r="AE235" s="1">
        <v>0.36</v>
      </c>
      <c r="AF235" s="1">
        <v>0.55000000000000004</v>
      </c>
      <c r="AI235" s="1">
        <v>9</v>
      </c>
      <c r="AJ235" s="1" t="s">
        <v>1841</v>
      </c>
      <c r="AK235" s="1">
        <v>4</v>
      </c>
      <c r="AL235" s="1">
        <v>94.234200000000001</v>
      </c>
      <c r="AM235" s="1" t="s">
        <v>1841</v>
      </c>
      <c r="AN235" s="1">
        <v>6.3873854963433203</v>
      </c>
      <c r="AO235" s="1">
        <v>0.964133659825407</v>
      </c>
      <c r="AP235" s="1" t="s">
        <v>1842</v>
      </c>
      <c r="AR235" s="1">
        <v>16.72</v>
      </c>
      <c r="AT235" s="1">
        <v>20</v>
      </c>
    </row>
    <row r="236" spans="1:46">
      <c r="A236" s="1" t="s">
        <v>1845</v>
      </c>
      <c r="C236" s="1" t="s">
        <v>1845</v>
      </c>
      <c r="D236" s="1" t="s">
        <v>1846</v>
      </c>
      <c r="E236" s="1" t="s">
        <v>1466</v>
      </c>
      <c r="F236" s="1" t="s">
        <v>1821</v>
      </c>
      <c r="G236" s="1" t="s">
        <v>49</v>
      </c>
      <c r="H236" s="2" t="s">
        <v>1847</v>
      </c>
      <c r="I236" s="1">
        <v>75</v>
      </c>
      <c r="J236" s="1">
        <v>0.2</v>
      </c>
      <c r="K236" s="1" t="s">
        <v>1488</v>
      </c>
      <c r="L236" s="1" t="s">
        <v>65</v>
      </c>
      <c r="M236" s="1">
        <v>26.934000000000001</v>
      </c>
      <c r="N236" s="1">
        <v>49</v>
      </c>
      <c r="O236" s="1">
        <v>71.507499999999993</v>
      </c>
      <c r="P236" s="1">
        <v>-167.21917999999999</v>
      </c>
      <c r="Q236" s="1">
        <v>3.3155999999999999</v>
      </c>
      <c r="R236" s="1">
        <v>32.667999999999999</v>
      </c>
      <c r="S236" s="1">
        <v>316.29500000000002</v>
      </c>
      <c r="T236" s="1">
        <v>113.44937210000001</v>
      </c>
      <c r="U236" s="1">
        <v>20.76475413</v>
      </c>
      <c r="V236" s="1">
        <v>1676.9230769999999</v>
      </c>
      <c r="W236" s="3">
        <v>2.1030000000000002</v>
      </c>
      <c r="X236" s="1" t="s">
        <v>1848</v>
      </c>
      <c r="Y236" s="1">
        <v>0.98</v>
      </c>
      <c r="AA236" s="1">
        <v>1.64</v>
      </c>
      <c r="AB236" s="1">
        <v>12.25</v>
      </c>
      <c r="AE236" s="1">
        <v>3.63</v>
      </c>
      <c r="AF236" s="1">
        <v>6.44</v>
      </c>
      <c r="AI236" s="1">
        <v>7</v>
      </c>
      <c r="AJ236" s="1" t="s">
        <v>1849</v>
      </c>
      <c r="AK236" s="1">
        <v>4</v>
      </c>
      <c r="AL236" s="1">
        <v>88.828500000000005</v>
      </c>
      <c r="AM236" s="1" t="s">
        <v>1848</v>
      </c>
      <c r="AN236" s="1">
        <v>5.4635548001068504</v>
      </c>
      <c r="AO236" s="1">
        <v>0.82468751699725995</v>
      </c>
      <c r="AP236" s="1" t="s">
        <v>1850</v>
      </c>
      <c r="AR236" s="1">
        <v>16.72</v>
      </c>
      <c r="AT236" s="1">
        <v>28</v>
      </c>
    </row>
    <row r="237" spans="1:46">
      <c r="A237" s="1" t="s">
        <v>1851</v>
      </c>
      <c r="C237" s="1" t="s">
        <v>1851</v>
      </c>
      <c r="D237" s="1" t="s">
        <v>1846</v>
      </c>
      <c r="E237" s="1" t="s">
        <v>1466</v>
      </c>
      <c r="F237" s="1" t="s">
        <v>1821</v>
      </c>
      <c r="G237" s="1" t="s">
        <v>49</v>
      </c>
      <c r="H237" s="2" t="s">
        <v>1847</v>
      </c>
      <c r="I237" s="1">
        <v>75</v>
      </c>
      <c r="J237" s="1">
        <v>0.2</v>
      </c>
      <c r="K237" s="1" t="s">
        <v>1488</v>
      </c>
      <c r="L237" s="1" t="s">
        <v>65</v>
      </c>
      <c r="M237" s="1">
        <v>26.934000000000001</v>
      </c>
      <c r="N237" s="1">
        <v>49</v>
      </c>
      <c r="O237" s="1">
        <v>71.507499999999993</v>
      </c>
      <c r="P237" s="1">
        <v>-167.21917999999999</v>
      </c>
      <c r="Q237" s="1">
        <v>3.3155999999999999</v>
      </c>
      <c r="R237" s="1">
        <v>32.667999999999999</v>
      </c>
      <c r="S237" s="1">
        <v>316.29500000000002</v>
      </c>
      <c r="T237" s="1">
        <v>113.44937210000001</v>
      </c>
      <c r="U237" s="1">
        <v>20.76475413</v>
      </c>
      <c r="V237" s="1">
        <v>1676.9230769999999</v>
      </c>
      <c r="W237" s="3">
        <v>2.1030000000000002</v>
      </c>
      <c r="X237" s="1" t="s">
        <v>1848</v>
      </c>
      <c r="Y237" s="1">
        <v>0.98</v>
      </c>
      <c r="AA237" s="1">
        <v>1.64</v>
      </c>
      <c r="AB237" s="1">
        <v>12.25</v>
      </c>
      <c r="AE237" s="1">
        <v>3.63</v>
      </c>
      <c r="AF237" s="1">
        <v>6.44</v>
      </c>
      <c r="AI237" s="1">
        <v>7</v>
      </c>
      <c r="AJ237" s="1" t="s">
        <v>1849</v>
      </c>
      <c r="AK237" s="1">
        <v>4</v>
      </c>
      <c r="AL237" s="1">
        <v>88.828500000000005</v>
      </c>
      <c r="AM237" s="1" t="s">
        <v>1848</v>
      </c>
      <c r="AN237" s="1">
        <v>5.4635548001068504</v>
      </c>
      <c r="AO237" s="1">
        <v>0.82468751699725995</v>
      </c>
      <c r="AP237" s="1" t="s">
        <v>1850</v>
      </c>
      <c r="AR237" s="1">
        <v>16.72</v>
      </c>
      <c r="AT237" s="1">
        <v>28</v>
      </c>
    </row>
    <row r="238" spans="1:46">
      <c r="A238" s="1" t="s">
        <v>1852</v>
      </c>
      <c r="C238" s="1" t="s">
        <v>1852</v>
      </c>
      <c r="D238" s="1" t="s">
        <v>1853</v>
      </c>
      <c r="E238" s="1" t="s">
        <v>1466</v>
      </c>
      <c r="F238" s="1" t="s">
        <v>1821</v>
      </c>
      <c r="G238" s="1" t="s">
        <v>49</v>
      </c>
      <c r="H238" s="2" t="s">
        <v>1847</v>
      </c>
      <c r="I238" s="1">
        <v>75</v>
      </c>
      <c r="J238" s="1">
        <v>3</v>
      </c>
      <c r="K238" s="1" t="s">
        <v>1488</v>
      </c>
      <c r="L238" s="1" t="s">
        <v>65</v>
      </c>
      <c r="M238" s="1">
        <v>26.934000000000001</v>
      </c>
      <c r="N238" s="1">
        <v>49</v>
      </c>
      <c r="O238" s="1">
        <v>71.507499999999993</v>
      </c>
      <c r="P238" s="1">
        <v>-167.21917999999999</v>
      </c>
      <c r="Q238" s="1">
        <v>3.3155999999999999</v>
      </c>
      <c r="R238" s="1">
        <v>32.667999999999999</v>
      </c>
      <c r="S238" s="1">
        <v>316.29500000000002</v>
      </c>
      <c r="T238" s="1">
        <v>113.44937210000001</v>
      </c>
      <c r="U238" s="1">
        <v>20.76475413</v>
      </c>
      <c r="V238" s="1">
        <v>1676.9230769999999</v>
      </c>
      <c r="W238" s="3">
        <v>2.1030000000000002</v>
      </c>
      <c r="X238" s="1" t="s">
        <v>1848</v>
      </c>
      <c r="Y238" s="1">
        <v>0.98</v>
      </c>
      <c r="AA238" s="1">
        <v>1.64</v>
      </c>
      <c r="AB238" s="1">
        <v>12.25</v>
      </c>
      <c r="AE238" s="1">
        <v>3.63</v>
      </c>
      <c r="AF238" s="1">
        <v>6.44</v>
      </c>
      <c r="AI238" s="1">
        <v>7</v>
      </c>
      <c r="AJ238" s="1" t="s">
        <v>1849</v>
      </c>
      <c r="AK238" s="1">
        <v>4</v>
      </c>
      <c r="AL238" s="1">
        <v>88.828500000000005</v>
      </c>
      <c r="AM238" s="1" t="s">
        <v>1848</v>
      </c>
      <c r="AN238" s="1">
        <v>5.4635548001068504</v>
      </c>
      <c r="AO238" s="1">
        <v>0.82468751699725995</v>
      </c>
      <c r="AP238" s="1" t="s">
        <v>1850</v>
      </c>
      <c r="AR238" s="1">
        <v>16.72</v>
      </c>
      <c r="AT238" s="1">
        <v>28</v>
      </c>
    </row>
    <row r="239" spans="1:46">
      <c r="A239" s="1" t="s">
        <v>1854</v>
      </c>
      <c r="C239" s="1" t="s">
        <v>1854</v>
      </c>
      <c r="D239" s="1" t="s">
        <v>1855</v>
      </c>
      <c r="E239" s="1" t="s">
        <v>1466</v>
      </c>
      <c r="F239" s="1" t="s">
        <v>1821</v>
      </c>
      <c r="G239" s="1" t="s">
        <v>49</v>
      </c>
      <c r="H239" s="2" t="s">
        <v>1847</v>
      </c>
      <c r="I239" s="1">
        <v>75</v>
      </c>
      <c r="J239" s="1">
        <v>20</v>
      </c>
      <c r="K239" s="1" t="s">
        <v>1488</v>
      </c>
      <c r="L239" s="1" t="s">
        <v>65</v>
      </c>
      <c r="M239" s="1">
        <v>26.934000000000001</v>
      </c>
      <c r="N239" s="1">
        <v>49</v>
      </c>
      <c r="O239" s="1">
        <v>71.507499999999993</v>
      </c>
      <c r="P239" s="1">
        <v>-167.21917999999999</v>
      </c>
      <c r="Q239" s="1">
        <v>3.3155999999999999</v>
      </c>
      <c r="R239" s="1">
        <v>32.667999999999999</v>
      </c>
      <c r="S239" s="1">
        <v>316.29500000000002</v>
      </c>
      <c r="T239" s="1">
        <v>113.44937210000001</v>
      </c>
      <c r="U239" s="1">
        <v>20.76475413</v>
      </c>
      <c r="V239" s="1">
        <v>1676.9230769999999</v>
      </c>
      <c r="W239" s="3">
        <v>2.1030000000000002</v>
      </c>
      <c r="X239" s="1" t="s">
        <v>1848</v>
      </c>
      <c r="Y239" s="1">
        <v>0.98</v>
      </c>
      <c r="AA239" s="1">
        <v>1.64</v>
      </c>
      <c r="AB239" s="1">
        <v>12.25</v>
      </c>
      <c r="AE239" s="1">
        <v>3.63</v>
      </c>
      <c r="AF239" s="1">
        <v>6.44</v>
      </c>
      <c r="AI239" s="1">
        <v>7</v>
      </c>
      <c r="AJ239" s="1" t="s">
        <v>1849</v>
      </c>
      <c r="AK239" s="1">
        <v>4</v>
      </c>
      <c r="AL239" s="1">
        <v>88.828500000000005</v>
      </c>
      <c r="AM239" s="1" t="s">
        <v>1848</v>
      </c>
      <c r="AN239" s="1">
        <v>5.4635548001068504</v>
      </c>
      <c r="AO239" s="1">
        <v>0.82468751699725995</v>
      </c>
      <c r="AP239" s="1" t="s">
        <v>1850</v>
      </c>
      <c r="AR239" s="1">
        <v>16.72</v>
      </c>
      <c r="AT239" s="1">
        <v>28</v>
      </c>
    </row>
    <row r="240" spans="1:46">
      <c r="A240" s="1" t="s">
        <v>1856</v>
      </c>
      <c r="C240" s="1" t="s">
        <v>1856</v>
      </c>
      <c r="D240" s="1" t="s">
        <v>1857</v>
      </c>
      <c r="E240" s="1" t="s">
        <v>1466</v>
      </c>
      <c r="F240" s="1" t="s">
        <v>1821</v>
      </c>
      <c r="G240" s="1" t="s">
        <v>49</v>
      </c>
      <c r="H240" s="2" t="s">
        <v>1858</v>
      </c>
      <c r="I240" s="1">
        <v>75</v>
      </c>
      <c r="J240" s="1">
        <v>0.2</v>
      </c>
      <c r="L240" s="1" t="s">
        <v>65</v>
      </c>
      <c r="M240" s="1">
        <v>29.821999999999999</v>
      </c>
      <c r="N240" s="1">
        <v>49</v>
      </c>
      <c r="O240" s="1">
        <v>71.507459999999995</v>
      </c>
      <c r="P240" s="1">
        <v>-167.21933000000001</v>
      </c>
      <c r="Q240" s="1">
        <v>3.22865</v>
      </c>
      <c r="R240" s="1">
        <v>32.677700000000002</v>
      </c>
      <c r="S240" s="1">
        <v>249.738</v>
      </c>
      <c r="T240" s="1">
        <v>138.43030010000001</v>
      </c>
      <c r="U240" s="1">
        <v>21.45962359</v>
      </c>
      <c r="V240" s="1">
        <v>5316.6666670000004</v>
      </c>
      <c r="W240" s="3">
        <v>0.60799999999999998</v>
      </c>
      <c r="X240" s="1" t="s">
        <v>1848</v>
      </c>
      <c r="Y240" s="1">
        <v>0.98</v>
      </c>
      <c r="AA240" s="1">
        <v>1.64</v>
      </c>
      <c r="AB240" s="1">
        <v>12.25</v>
      </c>
      <c r="AE240" s="1">
        <v>3.63</v>
      </c>
      <c r="AF240" s="1">
        <v>6.44</v>
      </c>
      <c r="AI240" s="1">
        <v>5</v>
      </c>
      <c r="AJ240" s="1" t="s">
        <v>1848</v>
      </c>
      <c r="AK240" s="1">
        <v>4</v>
      </c>
      <c r="AL240" s="1">
        <v>75.396100000000004</v>
      </c>
      <c r="AM240" s="1" t="s">
        <v>1848</v>
      </c>
      <c r="AN240" s="1">
        <v>6.4507329086847198</v>
      </c>
      <c r="AO240" s="1">
        <v>0.97369553338637305</v>
      </c>
      <c r="AP240" s="1" t="s">
        <v>1859</v>
      </c>
      <c r="AR240" s="1">
        <v>16.72</v>
      </c>
      <c r="AT240" s="1">
        <v>30</v>
      </c>
    </row>
    <row r="241" spans="1:46">
      <c r="A241" s="1" t="s">
        <v>1860</v>
      </c>
      <c r="C241" s="1" t="s">
        <v>1860</v>
      </c>
      <c r="D241" s="1" t="s">
        <v>1857</v>
      </c>
      <c r="E241" s="1" t="s">
        <v>1466</v>
      </c>
      <c r="F241" s="1" t="s">
        <v>1821</v>
      </c>
      <c r="G241" s="1" t="s">
        <v>49</v>
      </c>
      <c r="H241" s="2" t="s">
        <v>1858</v>
      </c>
      <c r="I241" s="1">
        <v>75</v>
      </c>
      <c r="J241" s="1">
        <v>0.2</v>
      </c>
      <c r="L241" s="1" t="s">
        <v>65</v>
      </c>
      <c r="M241" s="1">
        <v>29.821999999999999</v>
      </c>
      <c r="N241" s="1">
        <v>49</v>
      </c>
      <c r="O241" s="1">
        <v>71.507459999999995</v>
      </c>
      <c r="P241" s="1">
        <v>-167.21933000000001</v>
      </c>
      <c r="Q241" s="1">
        <v>3.22865</v>
      </c>
      <c r="R241" s="1">
        <v>32.677700000000002</v>
      </c>
      <c r="S241" s="1">
        <v>249.738</v>
      </c>
      <c r="T241" s="1">
        <v>138.43030010000001</v>
      </c>
      <c r="U241" s="1">
        <v>21.45962359</v>
      </c>
      <c r="V241" s="1">
        <v>5316.6666670000004</v>
      </c>
      <c r="W241" s="3">
        <v>0.60799999999999998</v>
      </c>
      <c r="X241" s="1" t="s">
        <v>1848</v>
      </c>
      <c r="Y241" s="1">
        <v>0.98</v>
      </c>
      <c r="AA241" s="1">
        <v>1.64</v>
      </c>
      <c r="AB241" s="1">
        <v>12.25</v>
      </c>
      <c r="AE241" s="1">
        <v>3.63</v>
      </c>
      <c r="AF241" s="1">
        <v>6.44</v>
      </c>
      <c r="AI241" s="1">
        <v>5</v>
      </c>
      <c r="AJ241" s="1" t="s">
        <v>1848</v>
      </c>
      <c r="AK241" s="1">
        <v>4</v>
      </c>
      <c r="AL241" s="1">
        <v>75.396100000000004</v>
      </c>
      <c r="AM241" s="1" t="s">
        <v>1848</v>
      </c>
      <c r="AN241" s="1">
        <v>6.4507329086847198</v>
      </c>
      <c r="AO241" s="1">
        <v>0.97369553338637305</v>
      </c>
      <c r="AP241" s="1" t="s">
        <v>1859</v>
      </c>
      <c r="AR241" s="1">
        <v>16.72</v>
      </c>
      <c r="AT241" s="1">
        <v>30</v>
      </c>
    </row>
    <row r="242" spans="1:46">
      <c r="A242" s="1" t="s">
        <v>1861</v>
      </c>
      <c r="C242" s="1" t="s">
        <v>1861</v>
      </c>
      <c r="D242" s="1" t="s">
        <v>1862</v>
      </c>
      <c r="E242" s="1" t="s">
        <v>1466</v>
      </c>
      <c r="F242" s="1" t="s">
        <v>1821</v>
      </c>
      <c r="G242" s="1" t="s">
        <v>49</v>
      </c>
      <c r="H242" s="2" t="s">
        <v>1858</v>
      </c>
      <c r="I242" s="1">
        <v>75</v>
      </c>
      <c r="J242" s="1">
        <v>3</v>
      </c>
      <c r="L242" s="1" t="s">
        <v>65</v>
      </c>
      <c r="M242" s="1">
        <v>29.821999999999999</v>
      </c>
      <c r="N242" s="1">
        <v>49</v>
      </c>
      <c r="O242" s="1">
        <v>71.507459999999995</v>
      </c>
      <c r="P242" s="1">
        <v>-167.21933000000001</v>
      </c>
      <c r="Q242" s="1">
        <v>3.22865</v>
      </c>
      <c r="R242" s="1">
        <v>32.677700000000002</v>
      </c>
      <c r="S242" s="1">
        <v>249.738</v>
      </c>
      <c r="T242" s="1">
        <v>138.43030010000001</v>
      </c>
      <c r="U242" s="1">
        <v>21.45962359</v>
      </c>
      <c r="V242" s="1">
        <v>5316.6666670000004</v>
      </c>
      <c r="W242" s="3">
        <v>0.60799999999999998</v>
      </c>
      <c r="X242" s="1" t="s">
        <v>1848</v>
      </c>
      <c r="Y242" s="1">
        <v>0.98</v>
      </c>
      <c r="AA242" s="1">
        <v>1.64</v>
      </c>
      <c r="AB242" s="1">
        <v>12.25</v>
      </c>
      <c r="AE242" s="1">
        <v>3.63</v>
      </c>
      <c r="AF242" s="1">
        <v>6.44</v>
      </c>
      <c r="AI242" s="1">
        <v>5</v>
      </c>
      <c r="AJ242" s="1" t="s">
        <v>1848</v>
      </c>
      <c r="AK242" s="1">
        <v>4</v>
      </c>
      <c r="AL242" s="1">
        <v>75.396100000000004</v>
      </c>
      <c r="AM242" s="1" t="s">
        <v>1848</v>
      </c>
      <c r="AN242" s="1">
        <v>6.4507329086847198</v>
      </c>
      <c r="AO242" s="1">
        <v>0.97369553338637305</v>
      </c>
      <c r="AP242" s="1" t="s">
        <v>1859</v>
      </c>
      <c r="AR242" s="1">
        <v>16.72</v>
      </c>
      <c r="AT242" s="1">
        <v>30</v>
      </c>
    </row>
    <row r="243" spans="1:46">
      <c r="A243" s="1" t="s">
        <v>1863</v>
      </c>
      <c r="C243" s="1" t="s">
        <v>1863</v>
      </c>
      <c r="D243" s="1" t="s">
        <v>1864</v>
      </c>
      <c r="E243" s="1" t="s">
        <v>1466</v>
      </c>
      <c r="F243" s="1" t="s">
        <v>1821</v>
      </c>
      <c r="G243" s="1" t="s">
        <v>49</v>
      </c>
      <c r="H243" s="2" t="s">
        <v>1858</v>
      </c>
      <c r="I243" s="1">
        <v>75</v>
      </c>
      <c r="J243" s="1">
        <v>20</v>
      </c>
      <c r="L243" s="1" t="s">
        <v>65</v>
      </c>
      <c r="M243" s="1">
        <v>29.821999999999999</v>
      </c>
      <c r="N243" s="1">
        <v>49</v>
      </c>
      <c r="O243" s="1">
        <v>71.507459999999995</v>
      </c>
      <c r="P243" s="1">
        <v>-167.21933000000001</v>
      </c>
      <c r="Q243" s="1">
        <v>3.22865</v>
      </c>
      <c r="R243" s="1">
        <v>32.677700000000002</v>
      </c>
      <c r="S243" s="1">
        <v>249.738</v>
      </c>
      <c r="T243" s="1">
        <v>138.43030010000001</v>
      </c>
      <c r="U243" s="1">
        <v>21.45962359</v>
      </c>
      <c r="V243" s="1">
        <v>5316.6666670000004</v>
      </c>
      <c r="W243" s="3">
        <v>0.60799999999999998</v>
      </c>
      <c r="X243" s="1" t="s">
        <v>1848</v>
      </c>
      <c r="Y243" s="1">
        <v>0.98</v>
      </c>
      <c r="AA243" s="1">
        <v>1.64</v>
      </c>
      <c r="AB243" s="1">
        <v>12.25</v>
      </c>
      <c r="AE243" s="1">
        <v>3.63</v>
      </c>
      <c r="AF243" s="1">
        <v>6.44</v>
      </c>
      <c r="AI243" s="1">
        <v>5</v>
      </c>
      <c r="AJ243" s="1" t="s">
        <v>1848</v>
      </c>
      <c r="AK243" s="1">
        <v>4</v>
      </c>
      <c r="AL243" s="1">
        <v>75.396100000000004</v>
      </c>
      <c r="AM243" s="1" t="s">
        <v>1848</v>
      </c>
      <c r="AN243" s="1">
        <v>6.4507329086847198</v>
      </c>
      <c r="AO243" s="1">
        <v>0.97369553338637305</v>
      </c>
      <c r="AP243" s="1" t="s">
        <v>1859</v>
      </c>
      <c r="AR243" s="1">
        <v>16.72</v>
      </c>
      <c r="AT243" s="1">
        <v>30</v>
      </c>
    </row>
    <row r="244" spans="1:46">
      <c r="A244" s="1" t="s">
        <v>1865</v>
      </c>
      <c r="C244" s="1" t="s">
        <v>1865</v>
      </c>
      <c r="D244" s="1" t="s">
        <v>1866</v>
      </c>
      <c r="E244" s="1" t="s">
        <v>1466</v>
      </c>
      <c r="F244" s="1" t="s">
        <v>1821</v>
      </c>
      <c r="G244" s="1" t="s">
        <v>49</v>
      </c>
      <c r="H244" s="2" t="s">
        <v>1867</v>
      </c>
      <c r="I244" s="1">
        <v>75</v>
      </c>
      <c r="J244" s="1">
        <v>0.2</v>
      </c>
      <c r="L244" s="1" t="s">
        <v>78</v>
      </c>
      <c r="M244" s="1">
        <v>40.295999999999999</v>
      </c>
      <c r="N244" s="1">
        <v>49</v>
      </c>
      <c r="O244" s="1">
        <v>71.507440000000003</v>
      </c>
      <c r="P244" s="1">
        <v>-167.21941000000001</v>
      </c>
      <c r="Q244" s="1">
        <v>3.04115</v>
      </c>
      <c r="R244" s="1">
        <v>32.666550000000001</v>
      </c>
      <c r="S244" s="1">
        <v>250.97550000000001</v>
      </c>
      <c r="T244" s="1">
        <v>145.87076239999999</v>
      </c>
      <c r="U244" s="1">
        <v>23.260506970000002</v>
      </c>
      <c r="V244" s="1">
        <v>3000</v>
      </c>
      <c r="W244" s="3">
        <v>0.39600000000000002</v>
      </c>
      <c r="X244" s="1" t="s">
        <v>721</v>
      </c>
      <c r="Y244" s="1">
        <v>0.78</v>
      </c>
      <c r="AA244" s="1">
        <v>1.58</v>
      </c>
      <c r="AB244" s="1">
        <v>15.96</v>
      </c>
      <c r="AE244" s="1">
        <v>3.64</v>
      </c>
      <c r="AF244" s="1">
        <v>6.14</v>
      </c>
      <c r="AI244" s="1">
        <v>3</v>
      </c>
      <c r="AJ244" s="1" t="s">
        <v>721</v>
      </c>
      <c r="AK244" s="1">
        <v>4</v>
      </c>
      <c r="AL244" s="1">
        <v>54.822600000000001</v>
      </c>
      <c r="AM244" s="1" t="s">
        <v>721</v>
      </c>
      <c r="AN244" s="1">
        <v>6.2711772614472796</v>
      </c>
      <c r="AO244" s="1">
        <v>0.94659279418072195</v>
      </c>
      <c r="AP244" s="1" t="s">
        <v>1868</v>
      </c>
      <c r="AR244" s="1">
        <v>16.72</v>
      </c>
      <c r="AT244" s="1">
        <v>40</v>
      </c>
    </row>
    <row r="245" spans="1:46">
      <c r="A245" s="1" t="s">
        <v>1869</v>
      </c>
      <c r="C245" s="1" t="s">
        <v>1869</v>
      </c>
      <c r="D245" s="1" t="s">
        <v>1870</v>
      </c>
      <c r="E245" s="1" t="s">
        <v>1466</v>
      </c>
      <c r="F245" s="1" t="s">
        <v>1821</v>
      </c>
      <c r="G245" s="1" t="s">
        <v>49</v>
      </c>
      <c r="H245" s="2" t="s">
        <v>1867</v>
      </c>
      <c r="I245" s="1">
        <v>75</v>
      </c>
      <c r="J245" s="1">
        <v>3</v>
      </c>
      <c r="L245" s="1" t="s">
        <v>78</v>
      </c>
      <c r="M245" s="1">
        <v>40.295999999999999</v>
      </c>
      <c r="N245" s="1">
        <v>49</v>
      </c>
      <c r="O245" s="1">
        <v>71.507440000000003</v>
      </c>
      <c r="P245" s="1">
        <v>-167.21941000000001</v>
      </c>
      <c r="Q245" s="1">
        <v>3.04115</v>
      </c>
      <c r="R245" s="1">
        <v>32.666550000000001</v>
      </c>
      <c r="S245" s="1">
        <v>250.97550000000001</v>
      </c>
      <c r="T245" s="1">
        <v>145.87076239999999</v>
      </c>
      <c r="U245" s="1">
        <v>23.260506970000002</v>
      </c>
      <c r="V245" s="1">
        <v>3000</v>
      </c>
      <c r="W245" s="3">
        <v>0.39600000000000002</v>
      </c>
      <c r="X245" s="1" t="s">
        <v>721</v>
      </c>
      <c r="Y245" s="1">
        <v>0.78</v>
      </c>
      <c r="AA245" s="1">
        <v>1.58</v>
      </c>
      <c r="AB245" s="1">
        <v>15.96</v>
      </c>
      <c r="AE245" s="1">
        <v>3.64</v>
      </c>
      <c r="AF245" s="1">
        <v>6.14</v>
      </c>
      <c r="AI245" s="1">
        <v>3</v>
      </c>
      <c r="AJ245" s="1" t="s">
        <v>721</v>
      </c>
      <c r="AK245" s="1">
        <v>4</v>
      </c>
      <c r="AL245" s="1">
        <v>54.822600000000001</v>
      </c>
      <c r="AM245" s="1" t="s">
        <v>721</v>
      </c>
      <c r="AN245" s="1">
        <v>6.2711772614472796</v>
      </c>
      <c r="AO245" s="1">
        <v>0.94659279418072195</v>
      </c>
      <c r="AP245" s="1" t="s">
        <v>1868</v>
      </c>
      <c r="AR245" s="1">
        <v>16.72</v>
      </c>
      <c r="AT245" s="1">
        <v>40</v>
      </c>
    </row>
    <row r="246" spans="1:46">
      <c r="A246" s="1" t="s">
        <v>1871</v>
      </c>
      <c r="C246" s="1" t="s">
        <v>1871</v>
      </c>
      <c r="D246" s="1" t="s">
        <v>1872</v>
      </c>
      <c r="E246" s="1" t="s">
        <v>1466</v>
      </c>
      <c r="F246" s="1" t="s">
        <v>1821</v>
      </c>
      <c r="G246" s="1" t="s">
        <v>49</v>
      </c>
      <c r="H246" s="2" t="s">
        <v>1867</v>
      </c>
      <c r="I246" s="1">
        <v>75</v>
      </c>
      <c r="J246" s="1">
        <v>20</v>
      </c>
      <c r="L246" s="1" t="s">
        <v>78</v>
      </c>
      <c r="M246" s="1">
        <v>40.295999999999999</v>
      </c>
      <c r="N246" s="1">
        <v>49</v>
      </c>
      <c r="O246" s="1">
        <v>71.507440000000003</v>
      </c>
      <c r="P246" s="1">
        <v>-167.21941000000001</v>
      </c>
      <c r="Q246" s="1">
        <v>3.04115</v>
      </c>
      <c r="R246" s="1">
        <v>32.666550000000001</v>
      </c>
      <c r="S246" s="1">
        <v>250.97550000000001</v>
      </c>
      <c r="T246" s="1">
        <v>145.87076239999999</v>
      </c>
      <c r="U246" s="1">
        <v>23.260506970000002</v>
      </c>
      <c r="V246" s="1">
        <v>3000</v>
      </c>
      <c r="W246" s="3">
        <v>0.39600000000000002</v>
      </c>
      <c r="X246" s="1" t="s">
        <v>721</v>
      </c>
      <c r="Y246" s="1">
        <v>0.78</v>
      </c>
      <c r="AA246" s="1">
        <v>1.58</v>
      </c>
      <c r="AB246" s="1">
        <v>15.96</v>
      </c>
      <c r="AE246" s="1">
        <v>3.64</v>
      </c>
      <c r="AF246" s="1">
        <v>6.14</v>
      </c>
      <c r="AI246" s="1">
        <v>3</v>
      </c>
      <c r="AJ246" s="1" t="s">
        <v>721</v>
      </c>
      <c r="AK246" s="1">
        <v>4</v>
      </c>
      <c r="AL246" s="1">
        <v>54.822600000000001</v>
      </c>
      <c r="AM246" s="1" t="s">
        <v>721</v>
      </c>
      <c r="AN246" s="1">
        <v>6.2711772614472796</v>
      </c>
      <c r="AO246" s="1">
        <v>0.94659279418072195</v>
      </c>
      <c r="AP246" s="1" t="s">
        <v>1868</v>
      </c>
      <c r="AR246" s="1">
        <v>16.72</v>
      </c>
      <c r="AT246" s="1">
        <v>40</v>
      </c>
    </row>
    <row r="247" spans="1:46">
      <c r="A247" s="1" t="s">
        <v>1873</v>
      </c>
      <c r="C247" s="1" t="s">
        <v>1873</v>
      </c>
      <c r="D247" s="1" t="s">
        <v>1874</v>
      </c>
      <c r="E247" s="1" t="s">
        <v>1466</v>
      </c>
      <c r="F247" s="1" t="s">
        <v>1821</v>
      </c>
      <c r="G247" s="1" t="s">
        <v>49</v>
      </c>
      <c r="H247" s="2" t="s">
        <v>1875</v>
      </c>
      <c r="I247" s="1">
        <v>75</v>
      </c>
      <c r="J247" s="1">
        <v>0.2</v>
      </c>
      <c r="K247" s="1" t="s">
        <v>78</v>
      </c>
      <c r="L247" s="1" t="s">
        <v>78</v>
      </c>
      <c r="M247" s="1">
        <v>46.078000000000003</v>
      </c>
      <c r="N247" s="1">
        <v>49</v>
      </c>
      <c r="O247" s="1">
        <v>71.507459999999995</v>
      </c>
      <c r="P247" s="1">
        <v>-167.21933999999999</v>
      </c>
      <c r="Q247" s="1">
        <v>3.0436000000000001</v>
      </c>
      <c r="R247" s="1">
        <v>32.666200000000003</v>
      </c>
      <c r="S247" s="1">
        <v>250.434</v>
      </c>
      <c r="T247" s="1">
        <v>202.7566477</v>
      </c>
      <c r="U247" s="1">
        <v>30.74340806</v>
      </c>
      <c r="V247" s="1">
        <v>3550</v>
      </c>
      <c r="W247" s="3">
        <v>0.41</v>
      </c>
      <c r="X247" s="1" t="s">
        <v>724</v>
      </c>
      <c r="Y247" s="1">
        <v>0.84</v>
      </c>
      <c r="AA247" s="1">
        <v>1.57</v>
      </c>
      <c r="AB247" s="1">
        <v>13.78</v>
      </c>
      <c r="AE247" s="1">
        <v>3.71</v>
      </c>
      <c r="AF247" s="1">
        <v>6.51</v>
      </c>
      <c r="AI247" s="1">
        <v>1</v>
      </c>
      <c r="AJ247" s="1" t="s">
        <v>724</v>
      </c>
      <c r="AK247" s="1">
        <v>4</v>
      </c>
      <c r="AL247" s="1">
        <v>48.399099999999997</v>
      </c>
      <c r="AM247" s="1" t="s">
        <v>724</v>
      </c>
      <c r="AN247" s="1">
        <v>6.5951259308757297</v>
      </c>
      <c r="AO247" s="1">
        <v>0.99549070654728</v>
      </c>
      <c r="AP247" s="1" t="s">
        <v>1876</v>
      </c>
      <c r="AQ247" s="1">
        <v>-0.86</v>
      </c>
      <c r="AR247" s="1">
        <v>16.72</v>
      </c>
      <c r="AT247" s="1">
        <v>44</v>
      </c>
    </row>
    <row r="248" spans="1:46">
      <c r="A248" s="1" t="s">
        <v>1877</v>
      </c>
      <c r="C248" s="1" t="s">
        <v>1877</v>
      </c>
      <c r="D248" s="1" t="s">
        <v>1878</v>
      </c>
      <c r="E248" s="1" t="s">
        <v>1466</v>
      </c>
      <c r="F248" s="1" t="s">
        <v>1821</v>
      </c>
      <c r="G248" s="1" t="s">
        <v>49</v>
      </c>
      <c r="H248" s="2" t="s">
        <v>1875</v>
      </c>
      <c r="I248" s="1">
        <v>75</v>
      </c>
      <c r="J248" s="1">
        <v>3</v>
      </c>
      <c r="K248" s="1" t="s">
        <v>78</v>
      </c>
      <c r="L248" s="1" t="s">
        <v>78</v>
      </c>
      <c r="M248" s="1">
        <v>46.078000000000003</v>
      </c>
      <c r="N248" s="1">
        <v>49</v>
      </c>
      <c r="O248" s="1">
        <v>71.507459999999995</v>
      </c>
      <c r="P248" s="1">
        <v>-167.21933999999999</v>
      </c>
      <c r="Q248" s="1">
        <v>3.0436000000000001</v>
      </c>
      <c r="R248" s="1">
        <v>32.666200000000003</v>
      </c>
      <c r="S248" s="1">
        <v>250.434</v>
      </c>
      <c r="T248" s="1">
        <v>202.7566477</v>
      </c>
      <c r="U248" s="1">
        <v>30.74340806</v>
      </c>
      <c r="V248" s="1">
        <v>3550</v>
      </c>
      <c r="W248" s="3">
        <v>0.41</v>
      </c>
      <c r="X248" s="1" t="s">
        <v>724</v>
      </c>
      <c r="Y248" s="1">
        <v>0.84</v>
      </c>
      <c r="AA248" s="1">
        <v>1.57</v>
      </c>
      <c r="AB248" s="1">
        <v>13.78</v>
      </c>
      <c r="AE248" s="1">
        <v>3.71</v>
      </c>
      <c r="AF248" s="1">
        <v>6.51</v>
      </c>
      <c r="AI248" s="1">
        <v>1</v>
      </c>
      <c r="AJ248" s="1" t="s">
        <v>724</v>
      </c>
      <c r="AK248" s="1">
        <v>4</v>
      </c>
      <c r="AL248" s="1">
        <v>48.399099999999997</v>
      </c>
      <c r="AM248" s="1" t="s">
        <v>724</v>
      </c>
      <c r="AN248" s="1">
        <v>6.5951259308757297</v>
      </c>
      <c r="AO248" s="1">
        <v>0.99549070654728</v>
      </c>
      <c r="AP248" s="1" t="s">
        <v>1876</v>
      </c>
      <c r="AQ248" s="1">
        <v>-0.86</v>
      </c>
      <c r="AR248" s="1">
        <v>16.72</v>
      </c>
      <c r="AT248" s="1">
        <v>44</v>
      </c>
    </row>
    <row r="249" spans="1:46">
      <c r="A249" s="1" t="s">
        <v>1879</v>
      </c>
      <c r="C249" s="1" t="s">
        <v>1879</v>
      </c>
      <c r="D249" s="1" t="s">
        <v>1880</v>
      </c>
      <c r="E249" s="1" t="s">
        <v>1466</v>
      </c>
      <c r="F249" s="1" t="s">
        <v>1821</v>
      </c>
      <c r="G249" s="1" t="s">
        <v>49</v>
      </c>
      <c r="H249" s="2" t="s">
        <v>1875</v>
      </c>
      <c r="I249" s="1">
        <v>75</v>
      </c>
      <c r="J249" s="1">
        <v>20</v>
      </c>
      <c r="K249" s="1" t="s">
        <v>78</v>
      </c>
      <c r="L249" s="1" t="s">
        <v>78</v>
      </c>
      <c r="M249" s="1">
        <v>46.078000000000003</v>
      </c>
      <c r="N249" s="1">
        <v>49</v>
      </c>
      <c r="O249" s="1">
        <v>71.507459999999995</v>
      </c>
      <c r="P249" s="1">
        <v>-167.21933999999999</v>
      </c>
      <c r="Q249" s="1">
        <v>3.0436000000000001</v>
      </c>
      <c r="R249" s="1">
        <v>32.666200000000003</v>
      </c>
      <c r="S249" s="1">
        <v>250.434</v>
      </c>
      <c r="T249" s="1">
        <v>202.7566477</v>
      </c>
      <c r="U249" s="1">
        <v>30.74340806</v>
      </c>
      <c r="V249" s="1">
        <v>3550</v>
      </c>
      <c r="W249" s="3">
        <v>0.41</v>
      </c>
      <c r="X249" s="1" t="s">
        <v>724</v>
      </c>
      <c r="Y249" s="1">
        <v>0.84</v>
      </c>
      <c r="AA249" s="1">
        <v>1.57</v>
      </c>
      <c r="AB249" s="1">
        <v>13.78</v>
      </c>
      <c r="AE249" s="1">
        <v>3.71</v>
      </c>
      <c r="AF249" s="1">
        <v>6.51</v>
      </c>
      <c r="AI249" s="1">
        <v>1</v>
      </c>
      <c r="AJ249" s="1" t="s">
        <v>724</v>
      </c>
      <c r="AK249" s="1">
        <v>4</v>
      </c>
      <c r="AL249" s="1">
        <v>48.399099999999997</v>
      </c>
      <c r="AM249" s="1" t="s">
        <v>724</v>
      </c>
      <c r="AN249" s="1">
        <v>6.5951259308757297</v>
      </c>
      <c r="AO249" s="1">
        <v>0.99549070654728</v>
      </c>
      <c r="AP249" s="1" t="s">
        <v>1876</v>
      </c>
      <c r="AQ249" s="1">
        <v>-0.86</v>
      </c>
      <c r="AR249" s="1">
        <v>16.72</v>
      </c>
      <c r="AS249" s="1" t="s">
        <v>1499</v>
      </c>
      <c r="AT249" s="1">
        <v>44</v>
      </c>
    </row>
    <row r="250" spans="1:46">
      <c r="A250" s="1" t="s">
        <v>1881</v>
      </c>
      <c r="C250" s="1" t="s">
        <v>1881</v>
      </c>
      <c r="D250" s="1" t="s">
        <v>1882</v>
      </c>
      <c r="E250" s="1" t="s">
        <v>1466</v>
      </c>
      <c r="F250" s="1" t="s">
        <v>1883</v>
      </c>
      <c r="G250" s="1" t="s">
        <v>49</v>
      </c>
      <c r="H250" s="2" t="s">
        <v>1884</v>
      </c>
      <c r="I250" s="1">
        <v>70</v>
      </c>
      <c r="J250" s="1">
        <v>3</v>
      </c>
      <c r="K250" s="1" t="s">
        <v>52</v>
      </c>
      <c r="L250" s="1" t="s">
        <v>52</v>
      </c>
      <c r="M250" s="1">
        <v>4.7220000000000004</v>
      </c>
      <c r="N250" s="1">
        <v>43</v>
      </c>
      <c r="O250" s="1">
        <v>70.896940000000001</v>
      </c>
      <c r="P250" s="1">
        <v>-165.25288</v>
      </c>
      <c r="Q250" s="1">
        <v>7.1173500000000001</v>
      </c>
      <c r="R250" s="1">
        <v>31.9391</v>
      </c>
      <c r="S250" s="1">
        <v>296.34949999999998</v>
      </c>
      <c r="T250" s="1">
        <v>117.2555763</v>
      </c>
      <c r="U250" s="1">
        <v>16.776290629999998</v>
      </c>
      <c r="V250" s="1">
        <v>4480</v>
      </c>
      <c r="W250" s="3">
        <v>1.0369999999999999</v>
      </c>
      <c r="X250" s="1" t="s">
        <v>1885</v>
      </c>
      <c r="Y250" s="1">
        <v>1.48</v>
      </c>
      <c r="AA250" s="1">
        <v>0.41</v>
      </c>
      <c r="AB250" s="1">
        <v>1.78</v>
      </c>
      <c r="AE250" s="1">
        <v>1.61</v>
      </c>
      <c r="AF250" s="1">
        <v>3.66</v>
      </c>
      <c r="AI250" s="1">
        <v>9</v>
      </c>
      <c r="AJ250" s="1" t="s">
        <v>1885</v>
      </c>
      <c r="AK250" s="1">
        <v>3.3</v>
      </c>
      <c r="AL250" s="1">
        <v>91.043599999999998</v>
      </c>
      <c r="AM250" s="1" t="s">
        <v>1885</v>
      </c>
      <c r="AN250" s="1">
        <v>6.9893624810194401</v>
      </c>
      <c r="AO250" s="1">
        <v>1.0549981103425601</v>
      </c>
      <c r="AP250" s="1" t="s">
        <v>1886</v>
      </c>
      <c r="AQ250" s="1">
        <v>-1.3</v>
      </c>
      <c r="AR250" s="1">
        <v>14.94</v>
      </c>
      <c r="AT250" s="1">
        <v>5</v>
      </c>
    </row>
    <row r="251" spans="1:46">
      <c r="A251" s="1" t="s">
        <v>1887</v>
      </c>
      <c r="C251" s="1" t="s">
        <v>1887</v>
      </c>
      <c r="D251" s="1" t="s">
        <v>1888</v>
      </c>
      <c r="E251" s="1" t="s">
        <v>1466</v>
      </c>
      <c r="F251" s="1" t="s">
        <v>1883</v>
      </c>
      <c r="G251" s="1" t="s">
        <v>49</v>
      </c>
      <c r="H251" s="2" t="s">
        <v>1884</v>
      </c>
      <c r="I251" s="1">
        <v>70</v>
      </c>
      <c r="J251" s="1">
        <v>20</v>
      </c>
      <c r="K251" s="1" t="s">
        <v>52</v>
      </c>
      <c r="L251" s="1" t="s">
        <v>52</v>
      </c>
      <c r="M251" s="1">
        <v>4.7220000000000004</v>
      </c>
      <c r="N251" s="1">
        <v>43</v>
      </c>
      <c r="O251" s="1">
        <v>70.896940000000001</v>
      </c>
      <c r="P251" s="1">
        <v>-165.25288</v>
      </c>
      <c r="Q251" s="1">
        <v>7.1173500000000001</v>
      </c>
      <c r="R251" s="1">
        <v>31.9391</v>
      </c>
      <c r="S251" s="1">
        <v>296.34949999999998</v>
      </c>
      <c r="T251" s="1">
        <v>117.2555763</v>
      </c>
      <c r="U251" s="1">
        <v>16.776290629999998</v>
      </c>
      <c r="V251" s="1">
        <v>4480</v>
      </c>
      <c r="W251" s="3">
        <v>1.0369999999999999</v>
      </c>
      <c r="X251" s="1" t="s">
        <v>1885</v>
      </c>
      <c r="Y251" s="1">
        <v>1.48</v>
      </c>
      <c r="AA251" s="1">
        <v>0.41</v>
      </c>
      <c r="AB251" s="1">
        <v>1.78</v>
      </c>
      <c r="AE251" s="1">
        <v>1.61</v>
      </c>
      <c r="AF251" s="1">
        <v>3.66</v>
      </c>
      <c r="AI251" s="1">
        <v>9</v>
      </c>
      <c r="AJ251" s="1" t="s">
        <v>1885</v>
      </c>
      <c r="AK251" s="1">
        <v>3.3</v>
      </c>
      <c r="AL251" s="1">
        <v>91.043599999999998</v>
      </c>
      <c r="AM251" s="1" t="s">
        <v>1885</v>
      </c>
      <c r="AN251" s="1">
        <v>6.9893624810194401</v>
      </c>
      <c r="AO251" s="1">
        <v>1.0549981103425601</v>
      </c>
      <c r="AP251" s="1" t="s">
        <v>1886</v>
      </c>
      <c r="AQ251" s="1">
        <v>-1.3</v>
      </c>
      <c r="AR251" s="1">
        <v>14.94</v>
      </c>
      <c r="AT251" s="1">
        <v>5</v>
      </c>
    </row>
    <row r="252" spans="1:46">
      <c r="A252" s="1" t="s">
        <v>1889</v>
      </c>
      <c r="C252" s="1" t="s">
        <v>1889</v>
      </c>
      <c r="D252" s="1" t="s">
        <v>1890</v>
      </c>
      <c r="E252" s="1" t="s">
        <v>1466</v>
      </c>
      <c r="F252" s="1" t="s">
        <v>1883</v>
      </c>
      <c r="G252" s="1" t="s">
        <v>49</v>
      </c>
      <c r="H252" s="2" t="s">
        <v>1891</v>
      </c>
      <c r="I252" s="1">
        <v>70</v>
      </c>
      <c r="J252" s="1">
        <v>0.2</v>
      </c>
      <c r="L252" s="1" t="s">
        <v>65</v>
      </c>
      <c r="M252" s="1">
        <v>19.643999999999998</v>
      </c>
      <c r="N252" s="1">
        <v>43</v>
      </c>
      <c r="O252" s="1">
        <v>70.897120000000001</v>
      </c>
      <c r="P252" s="1">
        <v>-165.25252</v>
      </c>
      <c r="Q252" s="1">
        <v>7.0810000000000004</v>
      </c>
      <c r="R252" s="1">
        <v>31.94885</v>
      </c>
      <c r="S252" s="1">
        <v>292.9855</v>
      </c>
      <c r="T252" s="1">
        <v>83.797819149999995</v>
      </c>
      <c r="U252" s="1">
        <v>13.55039384</v>
      </c>
      <c r="V252" s="1">
        <v>4966.6666670000004</v>
      </c>
      <c r="W252" s="3">
        <v>0.88500000000000001</v>
      </c>
      <c r="X252" s="1" t="s">
        <v>1892</v>
      </c>
      <c r="Y252" s="1">
        <v>1.1299999999999999</v>
      </c>
      <c r="AA252" s="1">
        <v>0.42</v>
      </c>
      <c r="AB252" s="1">
        <v>1.78</v>
      </c>
      <c r="AE252" s="1">
        <v>1.3</v>
      </c>
      <c r="AF252" s="1">
        <v>4.09</v>
      </c>
      <c r="AI252" s="1">
        <v>5</v>
      </c>
      <c r="AJ252" s="1" t="s">
        <v>1892</v>
      </c>
      <c r="AK252" s="1">
        <v>3.3</v>
      </c>
      <c r="AL252" s="1">
        <v>92.689099999999996</v>
      </c>
      <c r="AM252" s="1" t="s">
        <v>1892</v>
      </c>
      <c r="AN252" s="1">
        <v>6.1841611498134901</v>
      </c>
      <c r="AO252" s="1">
        <v>0.93345828676429998</v>
      </c>
      <c r="AP252" s="1" t="s">
        <v>1893</v>
      </c>
      <c r="AR252" s="1">
        <v>14.94</v>
      </c>
      <c r="AT252" s="1">
        <v>20</v>
      </c>
    </row>
    <row r="253" spans="1:46">
      <c r="A253" s="1" t="s">
        <v>1894</v>
      </c>
      <c r="C253" s="1" t="s">
        <v>1894</v>
      </c>
      <c r="D253" s="1" t="s">
        <v>1895</v>
      </c>
      <c r="E253" s="1" t="s">
        <v>1466</v>
      </c>
      <c r="F253" s="1" t="s">
        <v>1883</v>
      </c>
      <c r="G253" s="1" t="s">
        <v>49</v>
      </c>
      <c r="H253" s="2" t="s">
        <v>1891</v>
      </c>
      <c r="I253" s="1">
        <v>70</v>
      </c>
      <c r="J253" s="1">
        <v>3</v>
      </c>
      <c r="L253" s="1" t="s">
        <v>65</v>
      </c>
      <c r="M253" s="1">
        <v>19.643999999999998</v>
      </c>
      <c r="N253" s="1">
        <v>43</v>
      </c>
      <c r="O253" s="1">
        <v>70.897120000000001</v>
      </c>
      <c r="P253" s="1">
        <v>-165.25252</v>
      </c>
      <c r="Q253" s="1">
        <v>7.0810000000000004</v>
      </c>
      <c r="R253" s="1">
        <v>31.94885</v>
      </c>
      <c r="S253" s="1">
        <v>292.9855</v>
      </c>
      <c r="T253" s="1">
        <v>83.797819149999995</v>
      </c>
      <c r="U253" s="1">
        <v>13.55039384</v>
      </c>
      <c r="V253" s="1">
        <v>4966.6666670000004</v>
      </c>
      <c r="W253" s="3">
        <v>0.88500000000000001</v>
      </c>
      <c r="X253" s="1" t="s">
        <v>1892</v>
      </c>
      <c r="Y253" s="1">
        <v>1.1299999999999999</v>
      </c>
      <c r="AA253" s="1">
        <v>0.42</v>
      </c>
      <c r="AB253" s="1">
        <v>1.78</v>
      </c>
      <c r="AE253" s="1">
        <v>1.3</v>
      </c>
      <c r="AF253" s="1">
        <v>4.09</v>
      </c>
      <c r="AI253" s="1">
        <v>5</v>
      </c>
      <c r="AJ253" s="1" t="s">
        <v>1892</v>
      </c>
      <c r="AK253" s="1">
        <v>3.3</v>
      </c>
      <c r="AL253" s="1">
        <v>92.689099999999996</v>
      </c>
      <c r="AM253" s="1" t="s">
        <v>1892</v>
      </c>
      <c r="AN253" s="1">
        <v>6.1841611498134901</v>
      </c>
      <c r="AO253" s="1">
        <v>0.93345828676429998</v>
      </c>
      <c r="AP253" s="1" t="s">
        <v>1893</v>
      </c>
      <c r="AR253" s="1">
        <v>14.94</v>
      </c>
      <c r="AT253" s="1">
        <v>20</v>
      </c>
    </row>
    <row r="254" spans="1:46">
      <c r="A254" s="1" t="s">
        <v>1896</v>
      </c>
      <c r="C254" s="1" t="s">
        <v>1896</v>
      </c>
      <c r="D254" s="1" t="s">
        <v>1897</v>
      </c>
      <c r="E254" s="1" t="s">
        <v>1466</v>
      </c>
      <c r="F254" s="1" t="s">
        <v>1883</v>
      </c>
      <c r="G254" s="1" t="s">
        <v>49</v>
      </c>
      <c r="H254" s="2" t="s">
        <v>1891</v>
      </c>
      <c r="I254" s="1">
        <v>70</v>
      </c>
      <c r="J254" s="1">
        <v>20</v>
      </c>
      <c r="L254" s="1" t="s">
        <v>65</v>
      </c>
      <c r="M254" s="1">
        <v>19.643999999999998</v>
      </c>
      <c r="N254" s="1">
        <v>43</v>
      </c>
      <c r="O254" s="1">
        <v>70.897120000000001</v>
      </c>
      <c r="P254" s="1">
        <v>-165.25252</v>
      </c>
      <c r="Q254" s="1">
        <v>7.0810000000000004</v>
      </c>
      <c r="R254" s="1">
        <v>31.94885</v>
      </c>
      <c r="S254" s="1">
        <v>292.9855</v>
      </c>
      <c r="T254" s="1">
        <v>83.797819149999995</v>
      </c>
      <c r="U254" s="1">
        <v>13.55039384</v>
      </c>
      <c r="V254" s="1">
        <v>4966.6666670000004</v>
      </c>
      <c r="W254" s="3">
        <v>0.88500000000000001</v>
      </c>
      <c r="X254" s="1" t="s">
        <v>1892</v>
      </c>
      <c r="Y254" s="1">
        <v>1.1299999999999999</v>
      </c>
      <c r="AA254" s="1">
        <v>0.42</v>
      </c>
      <c r="AB254" s="1">
        <v>1.78</v>
      </c>
      <c r="AE254" s="1">
        <v>1.3</v>
      </c>
      <c r="AF254" s="1">
        <v>4.09</v>
      </c>
      <c r="AI254" s="1">
        <v>5</v>
      </c>
      <c r="AJ254" s="1" t="s">
        <v>1892</v>
      </c>
      <c r="AK254" s="1">
        <v>3.3</v>
      </c>
      <c r="AL254" s="1">
        <v>92.689099999999996</v>
      </c>
      <c r="AM254" s="1" t="s">
        <v>1892</v>
      </c>
      <c r="AN254" s="1">
        <v>6.1841611498134901</v>
      </c>
      <c r="AO254" s="1">
        <v>0.93345828676429998</v>
      </c>
      <c r="AP254" s="1" t="s">
        <v>1893</v>
      </c>
      <c r="AR254" s="1">
        <v>14.94</v>
      </c>
      <c r="AT254" s="1">
        <v>20</v>
      </c>
    </row>
    <row r="255" spans="1:46">
      <c r="A255" s="1" t="s">
        <v>1898</v>
      </c>
      <c r="C255" s="1" t="s">
        <v>1898</v>
      </c>
      <c r="D255" s="1" t="s">
        <v>1899</v>
      </c>
      <c r="E255" s="1" t="s">
        <v>1466</v>
      </c>
      <c r="F255" s="1" t="s">
        <v>1883</v>
      </c>
      <c r="G255" s="1" t="s">
        <v>49</v>
      </c>
      <c r="H255" s="2" t="s">
        <v>1900</v>
      </c>
      <c r="I255" s="1">
        <v>70</v>
      </c>
      <c r="J255" s="1">
        <v>0.2</v>
      </c>
      <c r="K255" s="1" t="s">
        <v>1488</v>
      </c>
      <c r="L255" s="1" t="s">
        <v>65</v>
      </c>
      <c r="M255" s="1">
        <v>28.818999999999999</v>
      </c>
      <c r="N255" s="1">
        <v>43</v>
      </c>
      <c r="O255" s="1">
        <v>70.897180000000006</v>
      </c>
      <c r="P255" s="1">
        <v>-165.25241</v>
      </c>
      <c r="Q255" s="1">
        <v>4.0636999999999999</v>
      </c>
      <c r="R255" s="1">
        <v>32.396949999999997</v>
      </c>
      <c r="S255" s="1">
        <v>264.57850000000002</v>
      </c>
      <c r="T255" s="1">
        <v>102.4084337</v>
      </c>
      <c r="U255" s="1">
        <v>17.80302116</v>
      </c>
      <c r="V255" s="1">
        <v>4276.9230770000004</v>
      </c>
      <c r="W255" s="3">
        <v>1.9830000000000001</v>
      </c>
      <c r="X255" s="1" t="s">
        <v>1901</v>
      </c>
      <c r="Y255" s="1">
        <v>1.83</v>
      </c>
      <c r="AA255" s="1">
        <v>0.94</v>
      </c>
      <c r="AB255" s="1">
        <v>5.43</v>
      </c>
      <c r="AE255" s="1">
        <v>2.4500000000000002</v>
      </c>
      <c r="AF255" s="1">
        <v>3.51</v>
      </c>
      <c r="AI255" s="1">
        <v>3</v>
      </c>
      <c r="AJ255" s="1" t="s">
        <v>1901</v>
      </c>
      <c r="AK255" s="1">
        <v>3</v>
      </c>
      <c r="AL255" s="1">
        <v>88.346100000000007</v>
      </c>
      <c r="AM255" s="1" t="s">
        <v>1901</v>
      </c>
      <c r="AN255" s="1">
        <v>5.75230646414622</v>
      </c>
      <c r="AO255" s="1">
        <v>0.86827267383339202</v>
      </c>
      <c r="AP255" s="1" t="s">
        <v>1902</v>
      </c>
      <c r="AR255" s="1">
        <v>14.94</v>
      </c>
      <c r="AT255" s="1">
        <v>29</v>
      </c>
    </row>
    <row r="256" spans="1:46">
      <c r="A256" s="1" t="s">
        <v>1903</v>
      </c>
      <c r="C256" s="1" t="s">
        <v>1903</v>
      </c>
      <c r="D256" s="1" t="s">
        <v>1904</v>
      </c>
      <c r="E256" s="1" t="s">
        <v>1466</v>
      </c>
      <c r="F256" s="1" t="s">
        <v>1883</v>
      </c>
      <c r="G256" s="1" t="s">
        <v>49</v>
      </c>
      <c r="H256" s="2" t="s">
        <v>1900</v>
      </c>
      <c r="I256" s="1">
        <v>70</v>
      </c>
      <c r="J256" s="1">
        <v>3</v>
      </c>
      <c r="K256" s="1" t="s">
        <v>1488</v>
      </c>
      <c r="L256" s="1" t="s">
        <v>65</v>
      </c>
      <c r="M256" s="1">
        <v>28.818999999999999</v>
      </c>
      <c r="N256" s="1">
        <v>43</v>
      </c>
      <c r="O256" s="1">
        <v>70.897180000000006</v>
      </c>
      <c r="P256" s="1">
        <v>-165.25241</v>
      </c>
      <c r="Q256" s="1">
        <v>4.0636999999999999</v>
      </c>
      <c r="R256" s="1">
        <v>32.396949999999997</v>
      </c>
      <c r="S256" s="1">
        <v>264.57850000000002</v>
      </c>
      <c r="T256" s="1">
        <v>102.4084337</v>
      </c>
      <c r="U256" s="1">
        <v>17.80302116</v>
      </c>
      <c r="V256" s="1">
        <v>4276.9230770000004</v>
      </c>
      <c r="W256" s="3">
        <v>1.9830000000000001</v>
      </c>
      <c r="X256" s="1" t="s">
        <v>1901</v>
      </c>
      <c r="Y256" s="1">
        <v>1.83</v>
      </c>
      <c r="AA256" s="1">
        <v>0.94</v>
      </c>
      <c r="AB256" s="1">
        <v>5.43</v>
      </c>
      <c r="AE256" s="1">
        <v>2.4500000000000002</v>
      </c>
      <c r="AF256" s="1">
        <v>3.51</v>
      </c>
      <c r="AI256" s="1">
        <v>3</v>
      </c>
      <c r="AJ256" s="1" t="s">
        <v>1901</v>
      </c>
      <c r="AK256" s="1">
        <v>3</v>
      </c>
      <c r="AL256" s="1">
        <v>88.346100000000007</v>
      </c>
      <c r="AM256" s="1" t="s">
        <v>1901</v>
      </c>
      <c r="AN256" s="1">
        <v>5.75230646414622</v>
      </c>
      <c r="AO256" s="1">
        <v>0.86827267383339202</v>
      </c>
      <c r="AP256" s="1" t="s">
        <v>1902</v>
      </c>
      <c r="AR256" s="1">
        <v>14.94</v>
      </c>
      <c r="AT256" s="1">
        <v>29</v>
      </c>
    </row>
    <row r="257" spans="1:46">
      <c r="A257" s="1" t="s">
        <v>1905</v>
      </c>
      <c r="C257" s="1" t="s">
        <v>1905</v>
      </c>
      <c r="D257" s="1" t="s">
        <v>1906</v>
      </c>
      <c r="E257" s="1" t="s">
        <v>1466</v>
      </c>
      <c r="F257" s="1" t="s">
        <v>1883</v>
      </c>
      <c r="G257" s="1" t="s">
        <v>49</v>
      </c>
      <c r="H257" s="2" t="s">
        <v>1900</v>
      </c>
      <c r="I257" s="1">
        <v>70</v>
      </c>
      <c r="J257" s="1">
        <v>20</v>
      </c>
      <c r="K257" s="1" t="s">
        <v>1488</v>
      </c>
      <c r="L257" s="1" t="s">
        <v>65</v>
      </c>
      <c r="M257" s="1">
        <v>28.818999999999999</v>
      </c>
      <c r="N257" s="1">
        <v>43</v>
      </c>
      <c r="O257" s="1">
        <v>70.897180000000006</v>
      </c>
      <c r="P257" s="1">
        <v>-165.25241</v>
      </c>
      <c r="Q257" s="1">
        <v>4.0636999999999999</v>
      </c>
      <c r="R257" s="1">
        <v>32.396949999999997</v>
      </c>
      <c r="S257" s="1">
        <v>264.57850000000002</v>
      </c>
      <c r="T257" s="1">
        <v>102.4084337</v>
      </c>
      <c r="U257" s="1">
        <v>17.80302116</v>
      </c>
      <c r="V257" s="1">
        <v>4276.9230770000004</v>
      </c>
      <c r="W257" s="3">
        <v>1.9830000000000001</v>
      </c>
      <c r="X257" s="1" t="s">
        <v>1901</v>
      </c>
      <c r="Y257" s="1">
        <v>1.83</v>
      </c>
      <c r="AA257" s="1">
        <v>0.94</v>
      </c>
      <c r="AB257" s="1">
        <v>5.43</v>
      </c>
      <c r="AE257" s="1">
        <v>2.4500000000000002</v>
      </c>
      <c r="AF257" s="1">
        <v>3.51</v>
      </c>
      <c r="AI257" s="1">
        <v>3</v>
      </c>
      <c r="AJ257" s="1" t="s">
        <v>1901</v>
      </c>
      <c r="AK257" s="1">
        <v>3</v>
      </c>
      <c r="AL257" s="1">
        <v>88.346100000000007</v>
      </c>
      <c r="AM257" s="1" t="s">
        <v>1901</v>
      </c>
      <c r="AN257" s="1">
        <v>5.75230646414622</v>
      </c>
      <c r="AO257" s="1">
        <v>0.86827267383339202</v>
      </c>
      <c r="AP257" s="1" t="s">
        <v>1902</v>
      </c>
      <c r="AR257" s="1">
        <v>14.94</v>
      </c>
      <c r="AT257" s="1">
        <v>29</v>
      </c>
    </row>
    <row r="258" spans="1:46">
      <c r="A258" s="1" t="s">
        <v>1907</v>
      </c>
      <c r="C258" s="1" t="s">
        <v>1907</v>
      </c>
      <c r="D258" s="1" t="s">
        <v>1908</v>
      </c>
      <c r="E258" s="1" t="s">
        <v>1466</v>
      </c>
      <c r="F258" s="1" t="s">
        <v>1883</v>
      </c>
      <c r="G258" s="1" t="s">
        <v>49</v>
      </c>
      <c r="H258" s="2" t="s">
        <v>1909</v>
      </c>
      <c r="I258" s="1">
        <v>70</v>
      </c>
      <c r="J258" s="1">
        <v>0.2</v>
      </c>
      <c r="K258" s="1" t="s">
        <v>78</v>
      </c>
      <c r="L258" s="1" t="s">
        <v>78</v>
      </c>
      <c r="M258" s="1">
        <v>38.698</v>
      </c>
      <c r="N258" s="1">
        <v>43</v>
      </c>
      <c r="O258" s="1">
        <v>70.897279999999995</v>
      </c>
      <c r="P258" s="1">
        <v>-165.25211999999999</v>
      </c>
      <c r="Q258" s="1">
        <v>3.6894999999999998</v>
      </c>
      <c r="R258" s="1">
        <v>32.443550000000002</v>
      </c>
      <c r="S258" s="1">
        <v>250.07300000000001</v>
      </c>
      <c r="T258" s="1">
        <v>104.8175835</v>
      </c>
      <c r="U258" s="1">
        <v>15.2099247</v>
      </c>
      <c r="V258" s="1">
        <v>4907.6923079999997</v>
      </c>
      <c r="W258" s="3">
        <v>0.53800000000000003</v>
      </c>
      <c r="X258" s="1" t="s">
        <v>640</v>
      </c>
      <c r="Y258" s="1">
        <v>0.92</v>
      </c>
      <c r="AA258" s="1">
        <v>1.47</v>
      </c>
      <c r="AB258" s="1">
        <v>16.510000000000002</v>
      </c>
      <c r="AE258" s="1">
        <v>4.53</v>
      </c>
      <c r="AF258" s="1">
        <v>9</v>
      </c>
      <c r="AI258" s="1">
        <v>1</v>
      </c>
      <c r="AJ258" s="1" t="s">
        <v>640</v>
      </c>
      <c r="AK258" s="1">
        <v>3</v>
      </c>
      <c r="AL258" s="1">
        <v>64.539699999999996</v>
      </c>
      <c r="AM258" s="1" t="s">
        <v>640</v>
      </c>
      <c r="AN258" s="1">
        <v>6.8913939790905099</v>
      </c>
      <c r="AO258" s="1">
        <v>1.0402104119381901</v>
      </c>
      <c r="AP258" s="1" t="s">
        <v>1910</v>
      </c>
      <c r="AQ258" s="1">
        <v>-1.17</v>
      </c>
      <c r="AR258" s="1">
        <v>14.94</v>
      </c>
      <c r="AT258" s="1">
        <v>38</v>
      </c>
    </row>
    <row r="259" spans="1:46">
      <c r="A259" s="1" t="s">
        <v>1911</v>
      </c>
      <c r="C259" s="1" t="s">
        <v>1911</v>
      </c>
      <c r="D259" s="1" t="s">
        <v>1912</v>
      </c>
      <c r="E259" s="1" t="s">
        <v>1466</v>
      </c>
      <c r="F259" s="1" t="s">
        <v>1883</v>
      </c>
      <c r="G259" s="1" t="s">
        <v>49</v>
      </c>
      <c r="H259" s="2" t="s">
        <v>1909</v>
      </c>
      <c r="I259" s="1">
        <v>70</v>
      </c>
      <c r="J259" s="1">
        <v>3</v>
      </c>
      <c r="K259" s="1" t="s">
        <v>78</v>
      </c>
      <c r="L259" s="1" t="s">
        <v>78</v>
      </c>
      <c r="M259" s="1">
        <v>38.698</v>
      </c>
      <c r="N259" s="1">
        <v>43</v>
      </c>
      <c r="O259" s="1">
        <v>70.897279999999995</v>
      </c>
      <c r="P259" s="1">
        <v>-165.25211999999999</v>
      </c>
      <c r="Q259" s="1">
        <v>3.6894999999999998</v>
      </c>
      <c r="R259" s="1">
        <v>32.443550000000002</v>
      </c>
      <c r="S259" s="1">
        <v>250.07300000000001</v>
      </c>
      <c r="T259" s="1">
        <v>104.8175835</v>
      </c>
      <c r="U259" s="1">
        <v>15.2099247</v>
      </c>
      <c r="V259" s="1">
        <v>4907.6923079999997</v>
      </c>
      <c r="W259" s="3">
        <v>0.53800000000000003</v>
      </c>
      <c r="X259" s="1" t="s">
        <v>640</v>
      </c>
      <c r="Y259" s="1">
        <v>0.92</v>
      </c>
      <c r="AA259" s="1">
        <v>1.47</v>
      </c>
      <c r="AB259" s="1">
        <v>16.510000000000002</v>
      </c>
      <c r="AE259" s="1">
        <v>4.53</v>
      </c>
      <c r="AF259" s="1">
        <v>9</v>
      </c>
      <c r="AI259" s="1">
        <v>1</v>
      </c>
      <c r="AJ259" s="1" t="s">
        <v>640</v>
      </c>
      <c r="AK259" s="1">
        <v>3</v>
      </c>
      <c r="AL259" s="1">
        <v>64.539699999999996</v>
      </c>
      <c r="AM259" s="1" t="s">
        <v>640</v>
      </c>
      <c r="AN259" s="1">
        <v>6.8913939790905099</v>
      </c>
      <c r="AO259" s="1">
        <v>1.0402104119381901</v>
      </c>
      <c r="AP259" s="1" t="s">
        <v>1910</v>
      </c>
      <c r="AQ259" s="1">
        <v>-1.17</v>
      </c>
      <c r="AR259" s="1">
        <v>14.94</v>
      </c>
      <c r="AT259" s="1">
        <v>38</v>
      </c>
    </row>
    <row r="260" spans="1:46">
      <c r="A260" s="1" t="s">
        <v>1913</v>
      </c>
      <c r="C260" s="1" t="s">
        <v>1913</v>
      </c>
      <c r="D260" s="1" t="s">
        <v>1914</v>
      </c>
      <c r="E260" s="1" t="s">
        <v>1466</v>
      </c>
      <c r="F260" s="1" t="s">
        <v>1883</v>
      </c>
      <c r="G260" s="1" t="s">
        <v>49</v>
      </c>
      <c r="H260" s="2" t="s">
        <v>1909</v>
      </c>
      <c r="I260" s="1">
        <v>70</v>
      </c>
      <c r="J260" s="1">
        <v>20</v>
      </c>
      <c r="K260" s="1" t="s">
        <v>78</v>
      </c>
      <c r="L260" s="1" t="s">
        <v>78</v>
      </c>
      <c r="M260" s="1">
        <v>38.698</v>
      </c>
      <c r="N260" s="1">
        <v>43</v>
      </c>
      <c r="O260" s="1">
        <v>70.897279999999995</v>
      </c>
      <c r="P260" s="1">
        <v>-165.25211999999999</v>
      </c>
      <c r="Q260" s="1">
        <v>3.6894999999999998</v>
      </c>
      <c r="R260" s="1">
        <v>32.443550000000002</v>
      </c>
      <c r="S260" s="1">
        <v>250.07300000000001</v>
      </c>
      <c r="T260" s="1">
        <v>104.8175835</v>
      </c>
      <c r="U260" s="1">
        <v>15.2099247</v>
      </c>
      <c r="V260" s="1">
        <v>4907.6923079999997</v>
      </c>
      <c r="W260" s="3">
        <v>0.53800000000000003</v>
      </c>
      <c r="X260" s="1" t="s">
        <v>640</v>
      </c>
      <c r="Y260" s="1">
        <v>0.92</v>
      </c>
      <c r="AA260" s="1">
        <v>1.47</v>
      </c>
      <c r="AB260" s="1">
        <v>16.510000000000002</v>
      </c>
      <c r="AE260" s="1">
        <v>4.53</v>
      </c>
      <c r="AF260" s="1">
        <v>9</v>
      </c>
      <c r="AI260" s="1">
        <v>1</v>
      </c>
      <c r="AJ260" s="1" t="s">
        <v>640</v>
      </c>
      <c r="AK260" s="1">
        <v>3</v>
      </c>
      <c r="AL260" s="1">
        <v>64.539699999999996</v>
      </c>
      <c r="AM260" s="1" t="s">
        <v>640</v>
      </c>
      <c r="AN260" s="1">
        <v>6.8913939790905099</v>
      </c>
      <c r="AO260" s="1">
        <v>1.0402104119381901</v>
      </c>
      <c r="AP260" s="1" t="s">
        <v>1910</v>
      </c>
      <c r="AQ260" s="1">
        <v>-1.17</v>
      </c>
      <c r="AR260" s="1">
        <v>14.94</v>
      </c>
      <c r="AT260" s="1">
        <v>38</v>
      </c>
    </row>
    <row r="261" spans="1:46">
      <c r="A261" s="1" t="s">
        <v>1915</v>
      </c>
      <c r="C261" s="1" t="s">
        <v>1915</v>
      </c>
      <c r="D261" s="1" t="s">
        <v>1916</v>
      </c>
      <c r="E261" s="1" t="s">
        <v>1466</v>
      </c>
      <c r="F261" s="1" t="s">
        <v>1917</v>
      </c>
      <c r="G261" s="1" t="s">
        <v>49</v>
      </c>
      <c r="H261" s="2" t="s">
        <v>1918</v>
      </c>
      <c r="I261" s="1">
        <v>45</v>
      </c>
      <c r="J261" s="1">
        <v>0.2</v>
      </c>
      <c r="K261" s="1" t="s">
        <v>52</v>
      </c>
      <c r="L261" s="1" t="s">
        <v>52</v>
      </c>
      <c r="M261" s="1">
        <v>4.5810000000000004</v>
      </c>
      <c r="N261" s="1">
        <v>41</v>
      </c>
      <c r="O261" s="1">
        <v>71.869550000000004</v>
      </c>
      <c r="P261" s="1">
        <v>-164.55183</v>
      </c>
      <c r="Q261" s="1">
        <v>5.5856500000000002</v>
      </c>
      <c r="R261" s="1">
        <v>31.863099999999999</v>
      </c>
      <c r="S261" s="1">
        <v>301.637</v>
      </c>
      <c r="T261" s="1">
        <v>89.801858300000006</v>
      </c>
      <c r="U261" s="1">
        <v>18.477446310000001</v>
      </c>
      <c r="V261" s="1">
        <v>5134.8314609999998</v>
      </c>
      <c r="W261" s="3">
        <v>0.38</v>
      </c>
      <c r="X261" s="1" t="s">
        <v>1919</v>
      </c>
      <c r="Y261" s="1">
        <v>0.75</v>
      </c>
      <c r="AA261" s="1">
        <v>0.56000000000000005</v>
      </c>
      <c r="AB261" s="1">
        <v>5.36</v>
      </c>
      <c r="AE261" s="1">
        <v>0.87</v>
      </c>
      <c r="AF261" s="1">
        <v>2.66</v>
      </c>
      <c r="AI261" s="1">
        <v>12</v>
      </c>
      <c r="AJ261" s="1" t="s">
        <v>1920</v>
      </c>
      <c r="AK261" s="1">
        <v>2.4</v>
      </c>
      <c r="AL261" s="1">
        <v>93.340100000000007</v>
      </c>
      <c r="AM261" s="1" t="s">
        <v>1919</v>
      </c>
      <c r="AN261" s="1">
        <v>4.8600795149597698</v>
      </c>
      <c r="AO261" s="1">
        <v>0.733596907918456</v>
      </c>
      <c r="AP261" s="1" t="s">
        <v>1921</v>
      </c>
      <c r="AQ261" s="1">
        <v>-1.71</v>
      </c>
      <c r="AR261" s="1">
        <v>10.32</v>
      </c>
      <c r="AT261" s="1">
        <v>5</v>
      </c>
    </row>
    <row r="262" spans="1:46">
      <c r="A262" s="1" t="s">
        <v>1922</v>
      </c>
      <c r="C262" s="1" t="s">
        <v>1922</v>
      </c>
      <c r="D262" s="1" t="s">
        <v>1923</v>
      </c>
      <c r="E262" s="1" t="s">
        <v>1466</v>
      </c>
      <c r="F262" s="1" t="s">
        <v>1917</v>
      </c>
      <c r="G262" s="1" t="s">
        <v>49</v>
      </c>
      <c r="H262" s="2" t="s">
        <v>1918</v>
      </c>
      <c r="I262" s="1">
        <v>45</v>
      </c>
      <c r="J262" s="1">
        <v>3</v>
      </c>
      <c r="K262" s="1" t="s">
        <v>52</v>
      </c>
      <c r="L262" s="1" t="s">
        <v>52</v>
      </c>
      <c r="M262" s="1">
        <v>4.5810000000000004</v>
      </c>
      <c r="N262" s="1">
        <v>41</v>
      </c>
      <c r="O262" s="1">
        <v>71.869550000000004</v>
      </c>
      <c r="P262" s="1">
        <v>-164.55183</v>
      </c>
      <c r="Q262" s="1">
        <v>5.5856500000000002</v>
      </c>
      <c r="R262" s="1">
        <v>31.863099999999999</v>
      </c>
      <c r="S262" s="1">
        <v>301.637</v>
      </c>
      <c r="T262" s="1">
        <v>89.801858300000006</v>
      </c>
      <c r="U262" s="1">
        <v>18.477446310000001</v>
      </c>
      <c r="V262" s="1">
        <v>5134.8314609999998</v>
      </c>
      <c r="W262" s="3">
        <v>0.38</v>
      </c>
      <c r="X262" s="1" t="s">
        <v>1919</v>
      </c>
      <c r="Y262" s="1">
        <v>0.75</v>
      </c>
      <c r="AA262" s="1">
        <v>0.56000000000000005</v>
      </c>
      <c r="AB262" s="1">
        <v>5.36</v>
      </c>
      <c r="AE262" s="1">
        <v>0.87</v>
      </c>
      <c r="AF262" s="1">
        <v>2.66</v>
      </c>
      <c r="AI262" s="1">
        <v>12</v>
      </c>
      <c r="AJ262" s="1" t="s">
        <v>1920</v>
      </c>
      <c r="AK262" s="1">
        <v>2.4</v>
      </c>
      <c r="AL262" s="1">
        <v>93.340100000000007</v>
      </c>
      <c r="AM262" s="1" t="s">
        <v>1919</v>
      </c>
      <c r="AN262" s="1">
        <v>4.8600795149597698</v>
      </c>
      <c r="AO262" s="1">
        <v>0.733596907918456</v>
      </c>
      <c r="AP262" s="1" t="s">
        <v>1921</v>
      </c>
      <c r="AQ262" s="1">
        <v>-1.71</v>
      </c>
      <c r="AR262" s="1">
        <v>10.32</v>
      </c>
      <c r="AT262" s="1">
        <v>5</v>
      </c>
    </row>
    <row r="263" spans="1:46">
      <c r="A263" s="1" t="s">
        <v>1924</v>
      </c>
      <c r="C263" s="1" t="s">
        <v>1924</v>
      </c>
      <c r="D263" s="1" t="s">
        <v>1925</v>
      </c>
      <c r="E263" s="1" t="s">
        <v>1466</v>
      </c>
      <c r="F263" s="1" t="s">
        <v>1917</v>
      </c>
      <c r="G263" s="1" t="s">
        <v>49</v>
      </c>
      <c r="H263" s="2" t="s">
        <v>1918</v>
      </c>
      <c r="I263" s="1">
        <v>45</v>
      </c>
      <c r="J263" s="1">
        <v>20</v>
      </c>
      <c r="K263" s="1" t="s">
        <v>52</v>
      </c>
      <c r="L263" s="1" t="s">
        <v>52</v>
      </c>
      <c r="M263" s="1">
        <v>4.5810000000000004</v>
      </c>
      <c r="N263" s="1">
        <v>41</v>
      </c>
      <c r="O263" s="1">
        <v>71.869550000000004</v>
      </c>
      <c r="P263" s="1">
        <v>-164.55183</v>
      </c>
      <c r="Q263" s="1">
        <v>5.5856500000000002</v>
      </c>
      <c r="R263" s="1">
        <v>31.863099999999999</v>
      </c>
      <c r="S263" s="1">
        <v>301.637</v>
      </c>
      <c r="T263" s="1">
        <v>89.801858300000006</v>
      </c>
      <c r="U263" s="1">
        <v>18.477446310000001</v>
      </c>
      <c r="V263" s="1">
        <v>5134.8314609999998</v>
      </c>
      <c r="W263" s="3">
        <v>0.38</v>
      </c>
      <c r="X263" s="1" t="s">
        <v>1919</v>
      </c>
      <c r="Y263" s="1">
        <v>0.75</v>
      </c>
      <c r="AA263" s="1">
        <v>0.56000000000000005</v>
      </c>
      <c r="AB263" s="1">
        <v>5.36</v>
      </c>
      <c r="AE263" s="1">
        <v>0.87</v>
      </c>
      <c r="AF263" s="1">
        <v>2.66</v>
      </c>
      <c r="AI263" s="1">
        <v>12</v>
      </c>
      <c r="AJ263" s="1" t="s">
        <v>1920</v>
      </c>
      <c r="AK263" s="1">
        <v>2.4</v>
      </c>
      <c r="AL263" s="1">
        <v>93.340100000000007</v>
      </c>
      <c r="AM263" s="1" t="s">
        <v>1919</v>
      </c>
      <c r="AN263" s="1">
        <v>4.8600795149597698</v>
      </c>
      <c r="AO263" s="1">
        <v>0.733596907918456</v>
      </c>
      <c r="AP263" s="1" t="s">
        <v>1921</v>
      </c>
      <c r="AQ263" s="1">
        <v>-1.71</v>
      </c>
      <c r="AR263" s="1">
        <v>10.32</v>
      </c>
      <c r="AT263" s="1">
        <v>5</v>
      </c>
    </row>
    <row r="264" spans="1:46">
      <c r="A264" s="1" t="s">
        <v>1926</v>
      </c>
      <c r="C264" s="1" t="s">
        <v>1926</v>
      </c>
      <c r="D264" s="1" t="s">
        <v>1927</v>
      </c>
      <c r="E264" s="1" t="s">
        <v>1466</v>
      </c>
      <c r="F264" s="1" t="s">
        <v>1917</v>
      </c>
      <c r="G264" s="1" t="s">
        <v>49</v>
      </c>
      <c r="H264" s="2" t="s">
        <v>1928</v>
      </c>
      <c r="I264" s="1">
        <v>45</v>
      </c>
      <c r="J264" s="1">
        <v>0.2</v>
      </c>
      <c r="L264" s="1" t="s">
        <v>65</v>
      </c>
      <c r="M264" s="1">
        <v>9.7349999999999994</v>
      </c>
      <c r="N264" s="1">
        <v>41</v>
      </c>
      <c r="O264" s="1">
        <v>71.869579999999999</v>
      </c>
      <c r="P264" s="1">
        <v>-164.55246</v>
      </c>
      <c r="Q264" s="1">
        <v>5.57735</v>
      </c>
      <c r="R264" s="1">
        <v>31.8628</v>
      </c>
      <c r="S264" s="1">
        <v>301.86450000000002</v>
      </c>
      <c r="T264" s="1">
        <v>71.107159530000004</v>
      </c>
      <c r="U264" s="1">
        <v>13.218941620000001</v>
      </c>
      <c r="V264" s="1">
        <v>4423.5294119999999</v>
      </c>
      <c r="W264" s="3">
        <v>0.46100000000000002</v>
      </c>
      <c r="X264" s="1" t="s">
        <v>1929</v>
      </c>
      <c r="Y264" s="1">
        <v>0.65</v>
      </c>
      <c r="AA264" s="1">
        <v>0.56000000000000005</v>
      </c>
      <c r="AB264" s="1">
        <v>2.48</v>
      </c>
      <c r="AE264" s="1">
        <v>0.56999999999999995</v>
      </c>
      <c r="AF264" s="1">
        <v>3.75</v>
      </c>
      <c r="AI264" s="1">
        <v>10</v>
      </c>
      <c r="AJ264" s="1" t="s">
        <v>1930</v>
      </c>
      <c r="AK264" s="1">
        <v>2.4</v>
      </c>
      <c r="AL264" s="1">
        <v>93.333799999999997</v>
      </c>
      <c r="AM264" s="1" t="s">
        <v>1929</v>
      </c>
      <c r="AN264" s="1">
        <v>5.3791870464437403</v>
      </c>
      <c r="AO264" s="1">
        <v>0.81195276172735698</v>
      </c>
      <c r="AP264" s="1" t="s">
        <v>1931</v>
      </c>
      <c r="AR264" s="1">
        <v>10.32</v>
      </c>
      <c r="AT264" s="1">
        <v>10</v>
      </c>
    </row>
    <row r="265" spans="1:46">
      <c r="A265" s="1" t="s">
        <v>1932</v>
      </c>
      <c r="C265" s="1" t="s">
        <v>1932</v>
      </c>
      <c r="D265" s="1" t="s">
        <v>1933</v>
      </c>
      <c r="E265" s="1" t="s">
        <v>1466</v>
      </c>
      <c r="F265" s="1" t="s">
        <v>1917</v>
      </c>
      <c r="G265" s="1" t="s">
        <v>49</v>
      </c>
      <c r="H265" s="2" t="s">
        <v>1928</v>
      </c>
      <c r="I265" s="1">
        <v>45</v>
      </c>
      <c r="J265" s="1">
        <v>3</v>
      </c>
      <c r="L265" s="1" t="s">
        <v>65</v>
      </c>
      <c r="M265" s="1">
        <v>9.7349999999999994</v>
      </c>
      <c r="N265" s="1">
        <v>41</v>
      </c>
      <c r="O265" s="1">
        <v>71.869579999999999</v>
      </c>
      <c r="P265" s="1">
        <v>-164.55246</v>
      </c>
      <c r="Q265" s="1">
        <v>5.57735</v>
      </c>
      <c r="R265" s="1">
        <v>31.8628</v>
      </c>
      <c r="S265" s="1">
        <v>301.86450000000002</v>
      </c>
      <c r="T265" s="1">
        <v>71.107159530000004</v>
      </c>
      <c r="U265" s="1">
        <v>13.218941620000001</v>
      </c>
      <c r="V265" s="1">
        <v>4423.5294119999999</v>
      </c>
      <c r="W265" s="3">
        <v>0.46100000000000002</v>
      </c>
      <c r="X265" s="1" t="s">
        <v>1929</v>
      </c>
      <c r="Y265" s="1">
        <v>0.65</v>
      </c>
      <c r="AA265" s="1">
        <v>0.56000000000000005</v>
      </c>
      <c r="AB265" s="1">
        <v>2.48</v>
      </c>
      <c r="AE265" s="1">
        <v>0.56999999999999995</v>
      </c>
      <c r="AF265" s="1">
        <v>3.75</v>
      </c>
      <c r="AI265" s="1">
        <v>10</v>
      </c>
      <c r="AJ265" s="1" t="s">
        <v>1930</v>
      </c>
      <c r="AK265" s="1">
        <v>2.4</v>
      </c>
      <c r="AL265" s="1">
        <v>93.333799999999997</v>
      </c>
      <c r="AM265" s="1" t="s">
        <v>1929</v>
      </c>
      <c r="AN265" s="1">
        <v>5.3791870464437403</v>
      </c>
      <c r="AO265" s="1">
        <v>0.81195276172735698</v>
      </c>
      <c r="AP265" s="1" t="s">
        <v>1931</v>
      </c>
      <c r="AR265" s="1">
        <v>10.32</v>
      </c>
      <c r="AT265" s="1">
        <v>10</v>
      </c>
    </row>
    <row r="266" spans="1:46">
      <c r="A266" s="1" t="s">
        <v>1934</v>
      </c>
      <c r="C266" s="1" t="s">
        <v>1934</v>
      </c>
      <c r="D266" s="1" t="s">
        <v>1935</v>
      </c>
      <c r="E266" s="1" t="s">
        <v>1466</v>
      </c>
      <c r="F266" s="1" t="s">
        <v>1917</v>
      </c>
      <c r="G266" s="1" t="s">
        <v>49</v>
      </c>
      <c r="H266" s="2" t="s">
        <v>1928</v>
      </c>
      <c r="I266" s="1">
        <v>45</v>
      </c>
      <c r="J266" s="1">
        <v>20</v>
      </c>
      <c r="L266" s="1" t="s">
        <v>65</v>
      </c>
      <c r="M266" s="1">
        <v>9.7349999999999994</v>
      </c>
      <c r="N266" s="1">
        <v>41</v>
      </c>
      <c r="O266" s="1">
        <v>71.869579999999999</v>
      </c>
      <c r="P266" s="1">
        <v>-164.55246</v>
      </c>
      <c r="Q266" s="1">
        <v>5.57735</v>
      </c>
      <c r="R266" s="1">
        <v>31.8628</v>
      </c>
      <c r="S266" s="1">
        <v>301.86450000000002</v>
      </c>
      <c r="T266" s="1">
        <v>71.107159530000004</v>
      </c>
      <c r="U266" s="1">
        <v>13.218941620000001</v>
      </c>
      <c r="V266" s="1">
        <v>4423.5294119999999</v>
      </c>
      <c r="W266" s="3">
        <v>0.46100000000000002</v>
      </c>
      <c r="X266" s="1" t="s">
        <v>1929</v>
      </c>
      <c r="Y266" s="1">
        <v>0.65</v>
      </c>
      <c r="AA266" s="1">
        <v>0.56000000000000005</v>
      </c>
      <c r="AB266" s="1">
        <v>2.48</v>
      </c>
      <c r="AE266" s="1">
        <v>0.56999999999999995</v>
      </c>
      <c r="AF266" s="1">
        <v>3.75</v>
      </c>
      <c r="AI266" s="1">
        <v>10</v>
      </c>
      <c r="AJ266" s="1" t="s">
        <v>1930</v>
      </c>
      <c r="AK266" s="1">
        <v>2.4</v>
      </c>
      <c r="AL266" s="1">
        <v>93.333799999999997</v>
      </c>
      <c r="AM266" s="1" t="s">
        <v>1929</v>
      </c>
      <c r="AN266" s="1">
        <v>5.3791870464437403</v>
      </c>
      <c r="AO266" s="1">
        <v>0.81195276172735698</v>
      </c>
      <c r="AP266" s="1" t="s">
        <v>1931</v>
      </c>
      <c r="AR266" s="1">
        <v>10.32</v>
      </c>
      <c r="AT266" s="1">
        <v>10</v>
      </c>
    </row>
    <row r="267" spans="1:46">
      <c r="A267" s="1" t="s">
        <v>1936</v>
      </c>
      <c r="C267" s="1" t="s">
        <v>1936</v>
      </c>
      <c r="D267" s="1" t="s">
        <v>1937</v>
      </c>
      <c r="E267" s="1" t="s">
        <v>1466</v>
      </c>
      <c r="F267" s="1" t="s">
        <v>1917</v>
      </c>
      <c r="G267" s="1" t="s">
        <v>49</v>
      </c>
      <c r="H267" s="2" t="s">
        <v>1938</v>
      </c>
      <c r="I267" s="1">
        <v>45</v>
      </c>
      <c r="J267" s="1">
        <v>0.2</v>
      </c>
      <c r="L267" s="1" t="s">
        <v>65</v>
      </c>
      <c r="M267" s="1">
        <v>19.497</v>
      </c>
      <c r="N267" s="1">
        <v>41</v>
      </c>
      <c r="O267" s="1">
        <v>71.869659999999996</v>
      </c>
      <c r="P267" s="1">
        <v>-164.55311</v>
      </c>
      <c r="Q267" s="1">
        <v>5.50725</v>
      </c>
      <c r="R267" s="1">
        <v>31.865100000000002</v>
      </c>
      <c r="S267" s="1">
        <v>304.18</v>
      </c>
      <c r="T267" s="1">
        <v>84.828555410000007</v>
      </c>
      <c r="U267" s="1">
        <v>12.84884198</v>
      </c>
      <c r="V267" s="1">
        <v>5867.9245279999996</v>
      </c>
      <c r="W267" s="3">
        <v>0.45900000000000002</v>
      </c>
      <c r="X267" s="1" t="s">
        <v>1939</v>
      </c>
      <c r="Y267" s="1">
        <v>0.57999999999999996</v>
      </c>
      <c r="AA267" s="1">
        <v>0.6</v>
      </c>
      <c r="AB267" s="1">
        <v>2.41</v>
      </c>
      <c r="AE267" s="1">
        <v>0.59</v>
      </c>
      <c r="AF267" s="1">
        <v>4.33</v>
      </c>
      <c r="AI267" s="1">
        <v>7</v>
      </c>
      <c r="AJ267" s="1" t="s">
        <v>1939</v>
      </c>
      <c r="AK267" s="1">
        <v>2.4</v>
      </c>
      <c r="AL267" s="1">
        <v>93.503399999999999</v>
      </c>
      <c r="AM267" s="1" t="s">
        <v>1939</v>
      </c>
      <c r="AN267" s="1">
        <v>6.6020389652266598</v>
      </c>
      <c r="AO267" s="1">
        <v>0.99653418343043798</v>
      </c>
      <c r="AP267" s="1" t="s">
        <v>1940</v>
      </c>
      <c r="AR267" s="1">
        <v>10.32</v>
      </c>
      <c r="AT267" s="1">
        <v>20</v>
      </c>
    </row>
    <row r="268" spans="1:46">
      <c r="A268" s="1" t="s">
        <v>1941</v>
      </c>
      <c r="C268" s="1" t="s">
        <v>1941</v>
      </c>
      <c r="D268" s="1" t="s">
        <v>1942</v>
      </c>
      <c r="E268" s="1" t="s">
        <v>1466</v>
      </c>
      <c r="F268" s="1" t="s">
        <v>1917</v>
      </c>
      <c r="G268" s="1" t="s">
        <v>49</v>
      </c>
      <c r="H268" s="2" t="s">
        <v>1938</v>
      </c>
      <c r="I268" s="1">
        <v>45</v>
      </c>
      <c r="J268" s="1">
        <v>3</v>
      </c>
      <c r="L268" s="1" t="s">
        <v>65</v>
      </c>
      <c r="M268" s="1">
        <v>19.497</v>
      </c>
      <c r="N268" s="1">
        <v>41</v>
      </c>
      <c r="O268" s="1">
        <v>71.869659999999996</v>
      </c>
      <c r="P268" s="1">
        <v>-164.55311</v>
      </c>
      <c r="Q268" s="1">
        <v>5.50725</v>
      </c>
      <c r="R268" s="1">
        <v>31.865100000000002</v>
      </c>
      <c r="S268" s="1">
        <v>304.18</v>
      </c>
      <c r="T268" s="1">
        <v>84.828555410000007</v>
      </c>
      <c r="U268" s="1">
        <v>12.84884198</v>
      </c>
      <c r="V268" s="1">
        <v>5867.9245279999996</v>
      </c>
      <c r="W268" s="3">
        <v>0.45900000000000002</v>
      </c>
      <c r="X268" s="1" t="s">
        <v>1939</v>
      </c>
      <c r="Y268" s="1">
        <v>0.57999999999999996</v>
      </c>
      <c r="AA268" s="1">
        <v>0.6</v>
      </c>
      <c r="AB268" s="1">
        <v>2.41</v>
      </c>
      <c r="AE268" s="1">
        <v>0.59</v>
      </c>
      <c r="AF268" s="1">
        <v>4.33</v>
      </c>
      <c r="AI268" s="1">
        <v>7</v>
      </c>
      <c r="AJ268" s="1" t="s">
        <v>1939</v>
      </c>
      <c r="AK268" s="1">
        <v>2.4</v>
      </c>
      <c r="AL268" s="1">
        <v>93.503399999999999</v>
      </c>
      <c r="AM268" s="1" t="s">
        <v>1939</v>
      </c>
      <c r="AN268" s="1">
        <v>6.6020389652266598</v>
      </c>
      <c r="AO268" s="1">
        <v>0.99653418343043798</v>
      </c>
      <c r="AP268" s="1" t="s">
        <v>1940</v>
      </c>
      <c r="AR268" s="1">
        <v>10.32</v>
      </c>
      <c r="AT268" s="1">
        <v>20</v>
      </c>
    </row>
    <row r="269" spans="1:46">
      <c r="A269" s="1" t="s">
        <v>1943</v>
      </c>
      <c r="C269" s="1" t="s">
        <v>1943</v>
      </c>
      <c r="D269" s="1" t="s">
        <v>1944</v>
      </c>
      <c r="E269" s="1" t="s">
        <v>1466</v>
      </c>
      <c r="F269" s="1" t="s">
        <v>1917</v>
      </c>
      <c r="G269" s="1" t="s">
        <v>49</v>
      </c>
      <c r="H269" s="2" t="s">
        <v>1938</v>
      </c>
      <c r="I269" s="1">
        <v>45</v>
      </c>
      <c r="J269" s="1">
        <v>20</v>
      </c>
      <c r="L269" s="1" t="s">
        <v>65</v>
      </c>
      <c r="M269" s="1">
        <v>19.497</v>
      </c>
      <c r="N269" s="1">
        <v>41</v>
      </c>
      <c r="O269" s="1">
        <v>71.869659999999996</v>
      </c>
      <c r="P269" s="1">
        <v>-164.55311</v>
      </c>
      <c r="Q269" s="1">
        <v>5.50725</v>
      </c>
      <c r="R269" s="1">
        <v>31.865100000000002</v>
      </c>
      <c r="S269" s="1">
        <v>304.18</v>
      </c>
      <c r="T269" s="1">
        <v>84.828555410000007</v>
      </c>
      <c r="U269" s="1">
        <v>12.84884198</v>
      </c>
      <c r="V269" s="1">
        <v>5867.9245279999996</v>
      </c>
      <c r="W269" s="3">
        <v>0.45900000000000002</v>
      </c>
      <c r="X269" s="1" t="s">
        <v>1939</v>
      </c>
      <c r="Y269" s="1">
        <v>0.57999999999999996</v>
      </c>
      <c r="AA269" s="1">
        <v>0.6</v>
      </c>
      <c r="AB269" s="1">
        <v>2.41</v>
      </c>
      <c r="AE269" s="1">
        <v>0.59</v>
      </c>
      <c r="AF269" s="1">
        <v>4.33</v>
      </c>
      <c r="AI269" s="1">
        <v>7</v>
      </c>
      <c r="AJ269" s="1" t="s">
        <v>1939</v>
      </c>
      <c r="AK269" s="1">
        <v>2.4</v>
      </c>
      <c r="AL269" s="1">
        <v>93.503399999999999</v>
      </c>
      <c r="AM269" s="1" t="s">
        <v>1939</v>
      </c>
      <c r="AN269" s="1">
        <v>6.6020389652266598</v>
      </c>
      <c r="AO269" s="1">
        <v>0.99653418343043798</v>
      </c>
      <c r="AP269" s="1" t="s">
        <v>1940</v>
      </c>
      <c r="AR269" s="1">
        <v>10.32</v>
      </c>
      <c r="AT269" s="1">
        <v>20</v>
      </c>
    </row>
    <row r="270" spans="1:46">
      <c r="A270" s="1" t="s">
        <v>1945</v>
      </c>
      <c r="C270" s="1" t="s">
        <v>1945</v>
      </c>
      <c r="D270" s="1" t="s">
        <v>1946</v>
      </c>
      <c r="E270" s="1" t="s">
        <v>1466</v>
      </c>
      <c r="F270" s="1" t="s">
        <v>1917</v>
      </c>
      <c r="G270" s="1" t="s">
        <v>49</v>
      </c>
      <c r="H270" s="2" t="s">
        <v>1947</v>
      </c>
      <c r="I270" s="1">
        <v>45</v>
      </c>
      <c r="J270" s="1">
        <v>0.2</v>
      </c>
      <c r="L270" s="1" t="s">
        <v>65</v>
      </c>
      <c r="M270" s="1">
        <v>29.657</v>
      </c>
      <c r="N270" s="1">
        <v>41</v>
      </c>
      <c r="O270" s="1">
        <v>71.869720000000001</v>
      </c>
      <c r="P270" s="1">
        <v>-164.5539</v>
      </c>
      <c r="Q270" s="1">
        <v>1.0621</v>
      </c>
      <c r="R270" s="1">
        <v>32.090400000000002</v>
      </c>
      <c r="S270" s="1">
        <v>351.291</v>
      </c>
      <c r="T270" s="1">
        <v>88.930421300000006</v>
      </c>
      <c r="U270" s="1">
        <v>14.32720696</v>
      </c>
      <c r="V270" s="1">
        <v>3268.2926830000001</v>
      </c>
      <c r="W270" s="3">
        <v>1.206</v>
      </c>
      <c r="X270" s="1" t="s">
        <v>1948</v>
      </c>
      <c r="Y270" s="1">
        <v>1.27</v>
      </c>
      <c r="AA270" s="1">
        <v>0.62</v>
      </c>
      <c r="AB270" s="1">
        <v>2.25</v>
      </c>
      <c r="AE270" s="1">
        <v>0.73</v>
      </c>
      <c r="AF270" s="1">
        <v>3.54</v>
      </c>
      <c r="AI270" s="1">
        <v>5</v>
      </c>
      <c r="AJ270" s="1" t="s">
        <v>1948</v>
      </c>
      <c r="AK270" s="1">
        <v>2.4</v>
      </c>
      <c r="AL270" s="1">
        <v>91.324200000000005</v>
      </c>
      <c r="AM270" s="1" t="s">
        <v>1948</v>
      </c>
      <c r="AN270" s="1">
        <v>6.2071010454643396</v>
      </c>
      <c r="AO270" s="1">
        <v>0.93692091252291998</v>
      </c>
      <c r="AP270" s="1" t="s">
        <v>1949</v>
      </c>
      <c r="AR270" s="1">
        <v>10.32</v>
      </c>
      <c r="AT270" s="1">
        <v>30</v>
      </c>
    </row>
    <row r="271" spans="1:46">
      <c r="A271" s="1" t="s">
        <v>1950</v>
      </c>
      <c r="C271" s="1" t="s">
        <v>1950</v>
      </c>
      <c r="D271" s="1" t="s">
        <v>1951</v>
      </c>
      <c r="E271" s="1" t="s">
        <v>1466</v>
      </c>
      <c r="F271" s="1" t="s">
        <v>1917</v>
      </c>
      <c r="G271" s="1" t="s">
        <v>49</v>
      </c>
      <c r="H271" s="2" t="s">
        <v>1947</v>
      </c>
      <c r="I271" s="1">
        <v>45</v>
      </c>
      <c r="J271" s="1">
        <v>3</v>
      </c>
      <c r="L271" s="1" t="s">
        <v>65</v>
      </c>
      <c r="M271" s="1">
        <v>29.657</v>
      </c>
      <c r="N271" s="1">
        <v>41</v>
      </c>
      <c r="O271" s="1">
        <v>71.869720000000001</v>
      </c>
      <c r="P271" s="1">
        <v>-164.5539</v>
      </c>
      <c r="Q271" s="1">
        <v>1.0621</v>
      </c>
      <c r="R271" s="1">
        <v>32.090400000000002</v>
      </c>
      <c r="S271" s="1">
        <v>351.291</v>
      </c>
      <c r="T271" s="1">
        <v>88.930421300000006</v>
      </c>
      <c r="U271" s="1">
        <v>14.32720696</v>
      </c>
      <c r="V271" s="1">
        <v>3268.2926830000001</v>
      </c>
      <c r="W271" s="3">
        <v>1.206</v>
      </c>
      <c r="X271" s="1" t="s">
        <v>1948</v>
      </c>
      <c r="Y271" s="1">
        <v>1.27</v>
      </c>
      <c r="AA271" s="1">
        <v>0.62</v>
      </c>
      <c r="AB271" s="1">
        <v>2.25</v>
      </c>
      <c r="AE271" s="1">
        <v>0.73</v>
      </c>
      <c r="AF271" s="1">
        <v>3.54</v>
      </c>
      <c r="AI271" s="1">
        <v>5</v>
      </c>
      <c r="AJ271" s="1" t="s">
        <v>1948</v>
      </c>
      <c r="AK271" s="1">
        <v>2.4</v>
      </c>
      <c r="AL271" s="1">
        <v>91.324200000000005</v>
      </c>
      <c r="AM271" s="1" t="s">
        <v>1948</v>
      </c>
      <c r="AN271" s="1">
        <v>6.2071010454643396</v>
      </c>
      <c r="AO271" s="1">
        <v>0.93692091252291998</v>
      </c>
      <c r="AP271" s="1" t="s">
        <v>1949</v>
      </c>
      <c r="AR271" s="1">
        <v>10.32</v>
      </c>
      <c r="AT271" s="1">
        <v>30</v>
      </c>
    </row>
    <row r="272" spans="1:46">
      <c r="A272" s="1" t="s">
        <v>1952</v>
      </c>
      <c r="C272" s="1" t="s">
        <v>1952</v>
      </c>
      <c r="D272" s="1" t="s">
        <v>1953</v>
      </c>
      <c r="E272" s="1" t="s">
        <v>1466</v>
      </c>
      <c r="F272" s="1" t="s">
        <v>1917</v>
      </c>
      <c r="G272" s="1" t="s">
        <v>49</v>
      </c>
      <c r="H272" s="2" t="s">
        <v>1947</v>
      </c>
      <c r="I272" s="1">
        <v>45</v>
      </c>
      <c r="J272" s="1">
        <v>20</v>
      </c>
      <c r="L272" s="1" t="s">
        <v>65</v>
      </c>
      <c r="M272" s="1">
        <v>29.657</v>
      </c>
      <c r="N272" s="1">
        <v>41</v>
      </c>
      <c r="O272" s="1">
        <v>71.869720000000001</v>
      </c>
      <c r="P272" s="1">
        <v>-164.5539</v>
      </c>
      <c r="Q272" s="1">
        <v>1.0621</v>
      </c>
      <c r="R272" s="1">
        <v>32.090400000000002</v>
      </c>
      <c r="S272" s="1">
        <v>351.291</v>
      </c>
      <c r="T272" s="1">
        <v>88.930421300000006</v>
      </c>
      <c r="U272" s="1">
        <v>14.32720696</v>
      </c>
      <c r="V272" s="1">
        <v>3268.2926830000001</v>
      </c>
      <c r="W272" s="3">
        <v>1.206</v>
      </c>
      <c r="X272" s="1" t="s">
        <v>1948</v>
      </c>
      <c r="Y272" s="1">
        <v>1.27</v>
      </c>
      <c r="AA272" s="1">
        <v>0.62</v>
      </c>
      <c r="AB272" s="1">
        <v>2.25</v>
      </c>
      <c r="AE272" s="1">
        <v>0.73</v>
      </c>
      <c r="AF272" s="1">
        <v>3.54</v>
      </c>
      <c r="AI272" s="1">
        <v>5</v>
      </c>
      <c r="AJ272" s="1" t="s">
        <v>1948</v>
      </c>
      <c r="AK272" s="1">
        <v>2.4</v>
      </c>
      <c r="AL272" s="1">
        <v>91.324200000000005</v>
      </c>
      <c r="AM272" s="1" t="s">
        <v>1948</v>
      </c>
      <c r="AN272" s="1">
        <v>6.2071010454643396</v>
      </c>
      <c r="AO272" s="1">
        <v>0.93692091252291998</v>
      </c>
      <c r="AP272" s="1" t="s">
        <v>1949</v>
      </c>
      <c r="AR272" s="1">
        <v>10.32</v>
      </c>
      <c r="AT272" s="1">
        <v>30</v>
      </c>
    </row>
    <row r="273" spans="1:46">
      <c r="A273" s="1" t="s">
        <v>1954</v>
      </c>
      <c r="C273" s="1" t="s">
        <v>1954</v>
      </c>
      <c r="D273" s="1" t="s">
        <v>1955</v>
      </c>
      <c r="E273" s="1" t="s">
        <v>1466</v>
      </c>
      <c r="F273" s="1" t="s">
        <v>1917</v>
      </c>
      <c r="G273" s="1" t="s">
        <v>49</v>
      </c>
      <c r="H273" s="2" t="s">
        <v>1956</v>
      </c>
      <c r="I273" s="1">
        <v>45</v>
      </c>
      <c r="J273" s="1">
        <v>0.2</v>
      </c>
      <c r="K273" s="1" t="s">
        <v>1488</v>
      </c>
      <c r="L273" s="1" t="s">
        <v>78</v>
      </c>
      <c r="M273" s="1">
        <v>33.323999999999998</v>
      </c>
      <c r="N273" s="1">
        <v>41</v>
      </c>
      <c r="O273" s="1">
        <v>71.869780000000006</v>
      </c>
      <c r="P273" s="1">
        <v>-164.55463</v>
      </c>
      <c r="Q273" s="1">
        <v>1.02275</v>
      </c>
      <c r="R273" s="1">
        <v>32.344349999999999</v>
      </c>
      <c r="S273" s="1">
        <v>355.70749999999998</v>
      </c>
      <c r="W273" s="3">
        <v>3.2690000000000001</v>
      </c>
      <c r="X273" s="1" t="s">
        <v>1957</v>
      </c>
      <c r="Y273" s="1">
        <v>2.1</v>
      </c>
      <c r="AA273" s="1">
        <v>1.73</v>
      </c>
      <c r="AB273" s="1">
        <v>20.56</v>
      </c>
      <c r="AE273" s="1">
        <v>4.2699999999999996</v>
      </c>
      <c r="AF273" s="1">
        <v>11.5</v>
      </c>
      <c r="AI273" s="1">
        <v>3</v>
      </c>
      <c r="AJ273" s="1" t="s">
        <v>1958</v>
      </c>
      <c r="AK273" s="1">
        <v>2.4</v>
      </c>
      <c r="AL273" s="1">
        <v>88.060699999999997</v>
      </c>
      <c r="AM273" s="1" t="s">
        <v>1957</v>
      </c>
      <c r="AP273" s="1" t="s">
        <v>1959</v>
      </c>
      <c r="AQ273" s="1">
        <v>-1.08</v>
      </c>
      <c r="AR273" s="1">
        <v>10.32</v>
      </c>
      <c r="AT273" s="1">
        <v>32</v>
      </c>
    </row>
    <row r="274" spans="1:46">
      <c r="A274" s="1" t="s">
        <v>1960</v>
      </c>
      <c r="C274" s="1" t="s">
        <v>1960</v>
      </c>
      <c r="D274" s="1" t="s">
        <v>1961</v>
      </c>
      <c r="E274" s="1" t="s">
        <v>1466</v>
      </c>
      <c r="F274" s="1" t="s">
        <v>1917</v>
      </c>
      <c r="G274" s="1" t="s">
        <v>49</v>
      </c>
      <c r="H274" s="2" t="s">
        <v>1956</v>
      </c>
      <c r="I274" s="1">
        <v>45</v>
      </c>
      <c r="J274" s="1">
        <v>3</v>
      </c>
      <c r="K274" s="1" t="s">
        <v>1488</v>
      </c>
      <c r="L274" s="1" t="s">
        <v>78</v>
      </c>
      <c r="M274" s="1">
        <v>33.323999999999998</v>
      </c>
      <c r="N274" s="1">
        <v>41</v>
      </c>
      <c r="O274" s="1">
        <v>71.869780000000006</v>
      </c>
      <c r="P274" s="1">
        <v>-164.55463</v>
      </c>
      <c r="Q274" s="1">
        <v>1.02275</v>
      </c>
      <c r="R274" s="1">
        <v>32.344349999999999</v>
      </c>
      <c r="S274" s="1">
        <v>355.70749999999998</v>
      </c>
      <c r="W274" s="3">
        <v>3.2690000000000001</v>
      </c>
      <c r="X274" s="1" t="s">
        <v>1957</v>
      </c>
      <c r="Y274" s="1">
        <v>2.1</v>
      </c>
      <c r="AA274" s="1">
        <v>1.73</v>
      </c>
      <c r="AB274" s="1">
        <v>20.56</v>
      </c>
      <c r="AE274" s="1">
        <v>4.2699999999999996</v>
      </c>
      <c r="AF274" s="1">
        <v>11.5</v>
      </c>
      <c r="AI274" s="1">
        <v>3</v>
      </c>
      <c r="AJ274" s="1" t="s">
        <v>1958</v>
      </c>
      <c r="AK274" s="1">
        <v>2.4</v>
      </c>
      <c r="AL274" s="1">
        <v>88.060699999999997</v>
      </c>
      <c r="AM274" s="1" t="s">
        <v>1957</v>
      </c>
      <c r="AP274" s="1" t="s">
        <v>1959</v>
      </c>
      <c r="AQ274" s="1">
        <v>-1.08</v>
      </c>
      <c r="AR274" s="1">
        <v>10.32</v>
      </c>
      <c r="AT274" s="1">
        <v>32</v>
      </c>
    </row>
    <row r="275" spans="1:46">
      <c r="A275" s="1" t="s">
        <v>1962</v>
      </c>
      <c r="C275" s="1" t="s">
        <v>1962</v>
      </c>
      <c r="D275" s="1" t="s">
        <v>1963</v>
      </c>
      <c r="E275" s="1" t="s">
        <v>1466</v>
      </c>
      <c r="F275" s="1" t="s">
        <v>1917</v>
      </c>
      <c r="G275" s="1" t="s">
        <v>49</v>
      </c>
      <c r="H275" s="2" t="s">
        <v>1956</v>
      </c>
      <c r="I275" s="1">
        <v>45</v>
      </c>
      <c r="J275" s="1">
        <v>20</v>
      </c>
      <c r="K275" s="1" t="s">
        <v>1488</v>
      </c>
      <c r="L275" s="1" t="s">
        <v>78</v>
      </c>
      <c r="M275" s="1">
        <v>33.323999999999998</v>
      </c>
      <c r="N275" s="1">
        <v>41</v>
      </c>
      <c r="O275" s="1">
        <v>71.869780000000006</v>
      </c>
      <c r="P275" s="1">
        <v>-164.55463</v>
      </c>
      <c r="Q275" s="1">
        <v>1.02275</v>
      </c>
      <c r="R275" s="1">
        <v>32.344349999999999</v>
      </c>
      <c r="S275" s="1">
        <v>355.70749999999998</v>
      </c>
      <c r="W275" s="3">
        <v>3.2690000000000001</v>
      </c>
      <c r="X275" s="1" t="s">
        <v>1957</v>
      </c>
      <c r="Y275" s="1">
        <v>2.1</v>
      </c>
      <c r="AA275" s="1">
        <v>1.73</v>
      </c>
      <c r="AB275" s="1">
        <v>20.56</v>
      </c>
      <c r="AE275" s="1">
        <v>4.2699999999999996</v>
      </c>
      <c r="AF275" s="1">
        <v>11.5</v>
      </c>
      <c r="AI275" s="1">
        <v>3</v>
      </c>
      <c r="AJ275" s="1" t="s">
        <v>1958</v>
      </c>
      <c r="AK275" s="1">
        <v>2.4</v>
      </c>
      <c r="AL275" s="1">
        <v>88.060699999999997</v>
      </c>
      <c r="AM275" s="1" t="s">
        <v>1957</v>
      </c>
      <c r="AP275" s="1" t="s">
        <v>1959</v>
      </c>
      <c r="AQ275" s="1">
        <v>-1.08</v>
      </c>
      <c r="AR275" s="1">
        <v>10.32</v>
      </c>
      <c r="AT275" s="1">
        <v>32</v>
      </c>
    </row>
    <row r="276" spans="1:46">
      <c r="A276" s="1" t="s">
        <v>1964</v>
      </c>
      <c r="C276" s="1" t="s">
        <v>1964</v>
      </c>
      <c r="D276" s="1" t="s">
        <v>1965</v>
      </c>
      <c r="E276" s="1" t="s">
        <v>1466</v>
      </c>
      <c r="F276" s="1" t="s">
        <v>1917</v>
      </c>
      <c r="G276" s="1" t="s">
        <v>49</v>
      </c>
      <c r="H276" s="2" t="s">
        <v>1966</v>
      </c>
      <c r="I276" s="1">
        <v>45</v>
      </c>
      <c r="J276" s="1">
        <v>0.2</v>
      </c>
      <c r="K276" s="1" t="s">
        <v>78</v>
      </c>
      <c r="L276" s="1" t="s">
        <v>78</v>
      </c>
      <c r="M276" s="1">
        <v>36.192999999999998</v>
      </c>
      <c r="N276" s="1">
        <v>41</v>
      </c>
      <c r="O276" s="1">
        <v>71.869780000000006</v>
      </c>
      <c r="P276" s="1">
        <v>-164.55542</v>
      </c>
      <c r="Q276" s="1">
        <v>1.8241000000000001</v>
      </c>
      <c r="R276" s="1">
        <v>32.636949999999999</v>
      </c>
      <c r="S276" s="1">
        <v>258.58350000000002</v>
      </c>
      <c r="W276" s="3">
        <v>0.97099999999999997</v>
      </c>
      <c r="X276" s="1" t="s">
        <v>1957</v>
      </c>
      <c r="Y276" s="1">
        <v>2.1</v>
      </c>
      <c r="AA276" s="1">
        <v>1.73</v>
      </c>
      <c r="AB276" s="1">
        <v>20.56</v>
      </c>
      <c r="AE276" s="1">
        <v>4.2699999999999996</v>
      </c>
      <c r="AF276" s="1">
        <v>11.5</v>
      </c>
      <c r="AI276" s="1">
        <v>1</v>
      </c>
      <c r="AJ276" s="1" t="s">
        <v>1957</v>
      </c>
      <c r="AK276" s="1">
        <v>2.4</v>
      </c>
      <c r="AL276" s="1">
        <v>64.431399999999996</v>
      </c>
      <c r="AM276" s="1" t="s">
        <v>1957</v>
      </c>
      <c r="AP276" s="1" t="s">
        <v>1967</v>
      </c>
      <c r="AQ276" s="1">
        <v>-1.08</v>
      </c>
      <c r="AR276" s="1">
        <v>10.32</v>
      </c>
      <c r="AT276" s="1">
        <v>36</v>
      </c>
    </row>
    <row r="277" spans="1:46">
      <c r="A277" s="1" t="s">
        <v>1968</v>
      </c>
      <c r="C277" s="1" t="s">
        <v>1968</v>
      </c>
      <c r="D277" s="1" t="s">
        <v>1969</v>
      </c>
      <c r="E277" s="1" t="s">
        <v>1466</v>
      </c>
      <c r="F277" s="1" t="s">
        <v>1917</v>
      </c>
      <c r="G277" s="1" t="s">
        <v>49</v>
      </c>
      <c r="H277" s="2" t="s">
        <v>1966</v>
      </c>
      <c r="I277" s="1">
        <v>45</v>
      </c>
      <c r="J277" s="1">
        <v>3</v>
      </c>
      <c r="K277" s="1" t="s">
        <v>78</v>
      </c>
      <c r="L277" s="1" t="s">
        <v>78</v>
      </c>
      <c r="M277" s="1">
        <v>36.192999999999998</v>
      </c>
      <c r="N277" s="1">
        <v>41</v>
      </c>
      <c r="O277" s="1">
        <v>71.869780000000006</v>
      </c>
      <c r="P277" s="1">
        <v>-164.55542</v>
      </c>
      <c r="Q277" s="1">
        <v>1.8241000000000001</v>
      </c>
      <c r="R277" s="1">
        <v>32.636949999999999</v>
      </c>
      <c r="S277" s="1">
        <v>258.58350000000002</v>
      </c>
      <c r="W277" s="3">
        <v>0.97099999999999997</v>
      </c>
      <c r="X277" s="1" t="s">
        <v>1957</v>
      </c>
      <c r="Y277" s="1">
        <v>2.1</v>
      </c>
      <c r="AA277" s="1">
        <v>1.73</v>
      </c>
      <c r="AB277" s="1">
        <v>20.56</v>
      </c>
      <c r="AE277" s="1">
        <v>4.2699999999999996</v>
      </c>
      <c r="AF277" s="1">
        <v>11.5</v>
      </c>
      <c r="AI277" s="1">
        <v>1</v>
      </c>
      <c r="AJ277" s="1" t="s">
        <v>1957</v>
      </c>
      <c r="AK277" s="1">
        <v>2.4</v>
      </c>
      <c r="AL277" s="1">
        <v>64.431399999999996</v>
      </c>
      <c r="AM277" s="1" t="s">
        <v>1957</v>
      </c>
      <c r="AP277" s="1" t="s">
        <v>1967</v>
      </c>
      <c r="AQ277" s="1">
        <v>-1.08</v>
      </c>
      <c r="AR277" s="1">
        <v>10.32</v>
      </c>
      <c r="AT277" s="1">
        <v>36</v>
      </c>
    </row>
    <row r="278" spans="1:46">
      <c r="A278" s="1" t="s">
        <v>1970</v>
      </c>
      <c r="C278" s="1" t="s">
        <v>1970</v>
      </c>
      <c r="D278" s="1" t="s">
        <v>1971</v>
      </c>
      <c r="E278" s="1" t="s">
        <v>1466</v>
      </c>
      <c r="F278" s="1" t="s">
        <v>1917</v>
      </c>
      <c r="G278" s="1" t="s">
        <v>49</v>
      </c>
      <c r="H278" s="2" t="s">
        <v>1966</v>
      </c>
      <c r="I278" s="1">
        <v>45</v>
      </c>
      <c r="J278" s="1">
        <v>20</v>
      </c>
      <c r="K278" s="1" t="s">
        <v>78</v>
      </c>
      <c r="L278" s="1" t="s">
        <v>78</v>
      </c>
      <c r="M278" s="1">
        <v>36.192999999999998</v>
      </c>
      <c r="N278" s="1">
        <v>41</v>
      </c>
      <c r="O278" s="1">
        <v>71.869780000000006</v>
      </c>
      <c r="P278" s="1">
        <v>-164.55542</v>
      </c>
      <c r="Q278" s="1">
        <v>1.8241000000000001</v>
      </c>
      <c r="R278" s="1">
        <v>32.636949999999999</v>
      </c>
      <c r="S278" s="1">
        <v>258.58350000000002</v>
      </c>
      <c r="W278" s="3">
        <v>0.97099999999999997</v>
      </c>
      <c r="X278" s="1" t="s">
        <v>1957</v>
      </c>
      <c r="Y278" s="1">
        <v>2.1</v>
      </c>
      <c r="AA278" s="1">
        <v>1.73</v>
      </c>
      <c r="AB278" s="1">
        <v>20.56</v>
      </c>
      <c r="AE278" s="1">
        <v>4.2699999999999996</v>
      </c>
      <c r="AF278" s="1">
        <v>11.5</v>
      </c>
      <c r="AI278" s="1">
        <v>1</v>
      </c>
      <c r="AJ278" s="1" t="s">
        <v>1957</v>
      </c>
      <c r="AK278" s="1">
        <v>2.4</v>
      </c>
      <c r="AL278" s="1">
        <v>64.431399999999996</v>
      </c>
      <c r="AM278" s="1" t="s">
        <v>1957</v>
      </c>
      <c r="AP278" s="1" t="s">
        <v>1967</v>
      </c>
      <c r="AQ278" s="1">
        <v>-1.08</v>
      </c>
      <c r="AR278" s="1">
        <v>10.32</v>
      </c>
      <c r="AT278" s="1">
        <v>36</v>
      </c>
    </row>
    <row r="279" spans="1:46">
      <c r="A279" s="1" t="s">
        <v>1972</v>
      </c>
      <c r="C279" s="1" t="s">
        <v>1972</v>
      </c>
      <c r="D279" s="1" t="s">
        <v>1973</v>
      </c>
      <c r="E279" s="1" t="s">
        <v>1466</v>
      </c>
      <c r="F279" s="1" t="s">
        <v>1974</v>
      </c>
      <c r="G279" s="1" t="s">
        <v>49</v>
      </c>
      <c r="H279" s="2" t="s">
        <v>1975</v>
      </c>
      <c r="I279" s="1">
        <v>59</v>
      </c>
      <c r="J279" s="1">
        <v>0.2</v>
      </c>
      <c r="K279" s="1" t="s">
        <v>52</v>
      </c>
      <c r="L279" s="1" t="s">
        <v>52</v>
      </c>
      <c r="M279" s="1">
        <v>4.8860000000000001</v>
      </c>
      <c r="N279" s="1">
        <v>48</v>
      </c>
      <c r="O279" s="1">
        <v>70.843779999999995</v>
      </c>
      <c r="P279" s="1">
        <v>-161.53734</v>
      </c>
      <c r="Q279" s="1">
        <v>2.9753500000000002</v>
      </c>
      <c r="R279" s="1">
        <v>32.26455</v>
      </c>
      <c r="S279" s="1">
        <v>270.57749999999999</v>
      </c>
      <c r="T279" s="1">
        <v>41.320742320000001</v>
      </c>
      <c r="U279" s="1">
        <v>5.4136454509999998</v>
      </c>
      <c r="V279" s="1">
        <v>4316.6666670000004</v>
      </c>
      <c r="W279" s="3">
        <v>0.42499999999999999</v>
      </c>
      <c r="X279" s="1" t="s">
        <v>1976</v>
      </c>
      <c r="Y279" s="1">
        <v>0.63</v>
      </c>
      <c r="AA279" s="1">
        <v>1.36</v>
      </c>
      <c r="AB279" s="1">
        <v>15.94</v>
      </c>
      <c r="AE279" s="1">
        <v>2.84</v>
      </c>
      <c r="AF279" s="1">
        <v>4.93</v>
      </c>
      <c r="AI279" s="1">
        <v>9</v>
      </c>
      <c r="AJ279" s="1" t="s">
        <v>1976</v>
      </c>
      <c r="AK279" s="1">
        <v>4</v>
      </c>
      <c r="AL279" s="1">
        <v>80.370099999999994</v>
      </c>
      <c r="AM279" s="1" t="s">
        <v>1976</v>
      </c>
      <c r="AN279" s="1">
        <v>7.6327019739291</v>
      </c>
      <c r="AO279" s="1">
        <v>1.1521059583289199</v>
      </c>
      <c r="AP279" s="1" t="s">
        <v>1977</v>
      </c>
      <c r="AQ279" s="1">
        <v>-1.38</v>
      </c>
      <c r="AT279" s="1">
        <v>5</v>
      </c>
    </row>
    <row r="280" spans="1:46">
      <c r="A280" s="1" t="s">
        <v>1978</v>
      </c>
      <c r="C280" s="1" t="s">
        <v>1978</v>
      </c>
      <c r="D280" s="1" t="s">
        <v>1979</v>
      </c>
      <c r="E280" s="1" t="s">
        <v>1466</v>
      </c>
      <c r="F280" s="1" t="s">
        <v>1974</v>
      </c>
      <c r="G280" s="1" t="s">
        <v>49</v>
      </c>
      <c r="H280" s="2" t="s">
        <v>1975</v>
      </c>
      <c r="I280" s="1">
        <v>59</v>
      </c>
      <c r="J280" s="1">
        <v>3</v>
      </c>
      <c r="K280" s="1" t="s">
        <v>52</v>
      </c>
      <c r="L280" s="1" t="s">
        <v>52</v>
      </c>
      <c r="M280" s="1">
        <v>4.8860000000000001</v>
      </c>
      <c r="N280" s="1">
        <v>48</v>
      </c>
      <c r="O280" s="1">
        <v>70.843779999999995</v>
      </c>
      <c r="P280" s="1">
        <v>-161.53734</v>
      </c>
      <c r="Q280" s="1">
        <v>2.9753500000000002</v>
      </c>
      <c r="R280" s="1">
        <v>32.26455</v>
      </c>
      <c r="S280" s="1">
        <v>270.57749999999999</v>
      </c>
      <c r="T280" s="1">
        <v>41.320742320000001</v>
      </c>
      <c r="U280" s="1">
        <v>5.4136454509999998</v>
      </c>
      <c r="V280" s="1">
        <v>4316.6666670000004</v>
      </c>
      <c r="W280" s="3">
        <v>0.42499999999999999</v>
      </c>
      <c r="X280" s="1" t="s">
        <v>1976</v>
      </c>
      <c r="Y280" s="1">
        <v>0.63</v>
      </c>
      <c r="AA280" s="1">
        <v>1.36</v>
      </c>
      <c r="AB280" s="1">
        <v>15.94</v>
      </c>
      <c r="AE280" s="1">
        <v>2.84</v>
      </c>
      <c r="AF280" s="1">
        <v>4.93</v>
      </c>
      <c r="AI280" s="1">
        <v>9</v>
      </c>
      <c r="AJ280" s="1" t="s">
        <v>1976</v>
      </c>
      <c r="AK280" s="1">
        <v>4</v>
      </c>
      <c r="AL280" s="1">
        <v>80.370099999999994</v>
      </c>
      <c r="AM280" s="1" t="s">
        <v>1976</v>
      </c>
      <c r="AN280" s="1">
        <v>7.6327019739291</v>
      </c>
      <c r="AO280" s="1">
        <v>1.1521059583289199</v>
      </c>
      <c r="AP280" s="1" t="s">
        <v>1977</v>
      </c>
      <c r="AQ280" s="1">
        <v>-1.38</v>
      </c>
      <c r="AT280" s="1">
        <v>5</v>
      </c>
    </row>
    <row r="281" spans="1:46">
      <c r="A281" s="1" t="s">
        <v>1980</v>
      </c>
      <c r="C281" s="1" t="s">
        <v>1980</v>
      </c>
      <c r="D281" s="1" t="s">
        <v>1981</v>
      </c>
      <c r="E281" s="1" t="s">
        <v>1466</v>
      </c>
      <c r="F281" s="1" t="s">
        <v>1974</v>
      </c>
      <c r="G281" s="1" t="s">
        <v>49</v>
      </c>
      <c r="H281" s="2" t="s">
        <v>1975</v>
      </c>
      <c r="I281" s="1">
        <v>59</v>
      </c>
      <c r="J281" s="1">
        <v>20</v>
      </c>
      <c r="K281" s="1" t="s">
        <v>52</v>
      </c>
      <c r="L281" s="1" t="s">
        <v>52</v>
      </c>
      <c r="M281" s="1">
        <v>4.8860000000000001</v>
      </c>
      <c r="N281" s="1">
        <v>48</v>
      </c>
      <c r="O281" s="1">
        <v>70.843779999999995</v>
      </c>
      <c r="P281" s="1">
        <v>-161.53734</v>
      </c>
      <c r="Q281" s="1">
        <v>2.9753500000000002</v>
      </c>
      <c r="R281" s="1">
        <v>32.26455</v>
      </c>
      <c r="S281" s="1">
        <v>270.57749999999999</v>
      </c>
      <c r="T281" s="1">
        <v>41.320742320000001</v>
      </c>
      <c r="U281" s="1">
        <v>5.4136454509999998</v>
      </c>
      <c r="V281" s="1">
        <v>4316.6666670000004</v>
      </c>
      <c r="W281" s="3">
        <v>0.42499999999999999</v>
      </c>
      <c r="X281" s="1" t="s">
        <v>1976</v>
      </c>
      <c r="Y281" s="1">
        <v>0.63</v>
      </c>
      <c r="AA281" s="1">
        <v>1.36</v>
      </c>
      <c r="AB281" s="1">
        <v>15.94</v>
      </c>
      <c r="AE281" s="1">
        <v>2.84</v>
      </c>
      <c r="AF281" s="1">
        <v>4.93</v>
      </c>
      <c r="AI281" s="1">
        <v>9</v>
      </c>
      <c r="AJ281" s="1" t="s">
        <v>1976</v>
      </c>
      <c r="AK281" s="1">
        <v>4</v>
      </c>
      <c r="AL281" s="1">
        <v>80.370099999999994</v>
      </c>
      <c r="AM281" s="1" t="s">
        <v>1976</v>
      </c>
      <c r="AN281" s="1">
        <v>7.6327019739291</v>
      </c>
      <c r="AO281" s="1">
        <v>1.1521059583289199</v>
      </c>
      <c r="AP281" s="1" t="s">
        <v>1977</v>
      </c>
      <c r="AQ281" s="1">
        <v>-1.38</v>
      </c>
      <c r="AT281" s="1">
        <v>5</v>
      </c>
    </row>
    <row r="282" spans="1:46">
      <c r="A282" s="1" t="s">
        <v>1982</v>
      </c>
      <c r="C282" s="1" t="s">
        <v>1982</v>
      </c>
      <c r="D282" s="1" t="s">
        <v>1983</v>
      </c>
      <c r="E282" s="1" t="s">
        <v>1466</v>
      </c>
      <c r="F282" s="1" t="s">
        <v>1974</v>
      </c>
      <c r="G282" s="1" t="s">
        <v>49</v>
      </c>
      <c r="H282" s="2" t="s">
        <v>1984</v>
      </c>
      <c r="I282" s="1">
        <v>59</v>
      </c>
      <c r="J282" s="1">
        <v>0.2</v>
      </c>
      <c r="L282" s="1" t="s">
        <v>65</v>
      </c>
      <c r="M282" s="1">
        <v>8.9809999999999999</v>
      </c>
      <c r="N282" s="1">
        <v>48</v>
      </c>
      <c r="O282" s="1">
        <v>70.843680000000006</v>
      </c>
      <c r="P282" s="1">
        <v>-161.53763000000001</v>
      </c>
      <c r="Q282" s="1">
        <v>2.8525999999999998</v>
      </c>
      <c r="R282" s="1">
        <v>32.260249999999999</v>
      </c>
      <c r="S282" s="1">
        <v>269.0575</v>
      </c>
      <c r="T282" s="1">
        <v>76.993746740000006</v>
      </c>
      <c r="U282" s="1">
        <v>12.215394359999999</v>
      </c>
      <c r="V282" s="1">
        <v>4262.5</v>
      </c>
      <c r="W282" s="3">
        <v>0.47799999999999998</v>
      </c>
      <c r="X282" s="1" t="s">
        <v>1985</v>
      </c>
      <c r="Y282" s="1">
        <v>0.61</v>
      </c>
      <c r="AA282" s="1">
        <v>1.36</v>
      </c>
      <c r="AB282" s="1">
        <v>15.14</v>
      </c>
      <c r="AE282" s="1">
        <v>2.9</v>
      </c>
      <c r="AF282" s="1">
        <v>3.1</v>
      </c>
      <c r="AI282" s="1">
        <v>7</v>
      </c>
      <c r="AJ282" s="1" t="s">
        <v>1985</v>
      </c>
      <c r="AK282" s="1">
        <v>4</v>
      </c>
      <c r="AL282" s="1">
        <v>77.614400000000003</v>
      </c>
      <c r="AM282" s="1" t="s">
        <v>1985</v>
      </c>
      <c r="AN282" s="1">
        <v>6.3030095034934304</v>
      </c>
      <c r="AO282" s="1">
        <v>0.95139766090466804</v>
      </c>
      <c r="AP282" s="1" t="s">
        <v>1986</v>
      </c>
      <c r="AT282" s="1">
        <v>10</v>
      </c>
    </row>
    <row r="283" spans="1:46">
      <c r="A283" s="1" t="s">
        <v>1987</v>
      </c>
      <c r="C283" s="1" t="s">
        <v>1987</v>
      </c>
      <c r="D283" s="1" t="s">
        <v>1988</v>
      </c>
      <c r="E283" s="1" t="s">
        <v>1466</v>
      </c>
      <c r="F283" s="1" t="s">
        <v>1974</v>
      </c>
      <c r="G283" s="1" t="s">
        <v>49</v>
      </c>
      <c r="H283" s="2" t="s">
        <v>1984</v>
      </c>
      <c r="I283" s="1">
        <v>59</v>
      </c>
      <c r="J283" s="1">
        <v>3</v>
      </c>
      <c r="L283" s="1" t="s">
        <v>65</v>
      </c>
      <c r="M283" s="1">
        <v>8.9809999999999999</v>
      </c>
      <c r="N283" s="1">
        <v>48</v>
      </c>
      <c r="O283" s="1">
        <v>70.843680000000006</v>
      </c>
      <c r="P283" s="1">
        <v>-161.53763000000001</v>
      </c>
      <c r="Q283" s="1">
        <v>2.8525999999999998</v>
      </c>
      <c r="R283" s="1">
        <v>32.260249999999999</v>
      </c>
      <c r="S283" s="1">
        <v>269.0575</v>
      </c>
      <c r="T283" s="1">
        <v>76.993746740000006</v>
      </c>
      <c r="U283" s="1">
        <v>12.215394359999999</v>
      </c>
      <c r="V283" s="1">
        <v>4262.5</v>
      </c>
      <c r="W283" s="3">
        <v>0.47799999999999998</v>
      </c>
      <c r="X283" s="1" t="s">
        <v>1985</v>
      </c>
      <c r="Y283" s="1">
        <v>0.61</v>
      </c>
      <c r="AA283" s="1">
        <v>1.36</v>
      </c>
      <c r="AB283" s="1">
        <v>15.14</v>
      </c>
      <c r="AE283" s="1">
        <v>2.9</v>
      </c>
      <c r="AF283" s="1">
        <v>3.1</v>
      </c>
      <c r="AI283" s="1">
        <v>7</v>
      </c>
      <c r="AJ283" s="1" t="s">
        <v>1985</v>
      </c>
      <c r="AK283" s="1">
        <v>4</v>
      </c>
      <c r="AL283" s="1">
        <v>77.614400000000003</v>
      </c>
      <c r="AM283" s="1" t="s">
        <v>1985</v>
      </c>
      <c r="AN283" s="1">
        <v>6.3030095034934304</v>
      </c>
      <c r="AO283" s="1">
        <v>0.95139766090466804</v>
      </c>
      <c r="AP283" s="1" t="s">
        <v>1986</v>
      </c>
      <c r="AT283" s="1">
        <v>10</v>
      </c>
    </row>
    <row r="284" spans="1:46">
      <c r="A284" s="1" t="s">
        <v>1989</v>
      </c>
      <c r="C284" s="1" t="s">
        <v>1989</v>
      </c>
      <c r="D284" s="1" t="s">
        <v>1990</v>
      </c>
      <c r="E284" s="1" t="s">
        <v>1466</v>
      </c>
      <c r="F284" s="1" t="s">
        <v>1974</v>
      </c>
      <c r="G284" s="1" t="s">
        <v>49</v>
      </c>
      <c r="H284" s="2" t="s">
        <v>1984</v>
      </c>
      <c r="I284" s="1">
        <v>59</v>
      </c>
      <c r="J284" s="1">
        <v>20</v>
      </c>
      <c r="L284" s="1" t="s">
        <v>65</v>
      </c>
      <c r="M284" s="1">
        <v>8.9809999999999999</v>
      </c>
      <c r="N284" s="1">
        <v>48</v>
      </c>
      <c r="O284" s="1">
        <v>70.843680000000006</v>
      </c>
      <c r="P284" s="1">
        <v>-161.53763000000001</v>
      </c>
      <c r="Q284" s="1">
        <v>2.8525999999999998</v>
      </c>
      <c r="R284" s="1">
        <v>32.260249999999999</v>
      </c>
      <c r="S284" s="1">
        <v>269.0575</v>
      </c>
      <c r="T284" s="1">
        <v>76.993746740000006</v>
      </c>
      <c r="U284" s="1">
        <v>12.215394359999999</v>
      </c>
      <c r="V284" s="1">
        <v>4262.5</v>
      </c>
      <c r="W284" s="3">
        <v>0.47799999999999998</v>
      </c>
      <c r="X284" s="1" t="s">
        <v>1985</v>
      </c>
      <c r="Y284" s="1">
        <v>0.61</v>
      </c>
      <c r="AA284" s="1">
        <v>1.36</v>
      </c>
      <c r="AB284" s="1">
        <v>15.14</v>
      </c>
      <c r="AE284" s="1">
        <v>2.9</v>
      </c>
      <c r="AF284" s="1">
        <v>3.1</v>
      </c>
      <c r="AI284" s="1">
        <v>7</v>
      </c>
      <c r="AJ284" s="1" t="s">
        <v>1985</v>
      </c>
      <c r="AK284" s="1">
        <v>4</v>
      </c>
      <c r="AL284" s="1">
        <v>77.614400000000003</v>
      </c>
      <c r="AM284" s="1" t="s">
        <v>1985</v>
      </c>
      <c r="AN284" s="1">
        <v>6.3030095034934304</v>
      </c>
      <c r="AO284" s="1">
        <v>0.95139766090466804</v>
      </c>
      <c r="AP284" s="1" t="s">
        <v>1986</v>
      </c>
      <c r="AT284" s="1">
        <v>10</v>
      </c>
    </row>
    <row r="285" spans="1:46">
      <c r="A285" s="1" t="s">
        <v>1991</v>
      </c>
      <c r="C285" s="1" t="s">
        <v>1991</v>
      </c>
      <c r="D285" s="1" t="s">
        <v>1992</v>
      </c>
      <c r="E285" s="1" t="s">
        <v>1466</v>
      </c>
      <c r="F285" s="1" t="s">
        <v>1974</v>
      </c>
      <c r="G285" s="1" t="s">
        <v>49</v>
      </c>
      <c r="H285" s="2" t="s">
        <v>1993</v>
      </c>
      <c r="I285" s="1">
        <v>59</v>
      </c>
      <c r="J285" s="1">
        <v>0.2</v>
      </c>
      <c r="L285" s="1" t="s">
        <v>65</v>
      </c>
      <c r="M285" s="1">
        <v>19.573</v>
      </c>
      <c r="N285" s="1">
        <v>48</v>
      </c>
      <c r="O285" s="1">
        <v>70.843620000000001</v>
      </c>
      <c r="P285" s="1">
        <v>-161.5378</v>
      </c>
      <c r="Q285" s="1">
        <v>2.7932999999999999</v>
      </c>
      <c r="R285" s="1">
        <v>32.257300000000001</v>
      </c>
      <c r="S285" s="1">
        <v>267.21600000000001</v>
      </c>
      <c r="T285" s="1">
        <v>116.7185795</v>
      </c>
      <c r="U285" s="1">
        <v>19.152889930000001</v>
      </c>
      <c r="V285" s="1">
        <v>13666.666670000001</v>
      </c>
      <c r="W285" s="3">
        <v>0.60699999999999998</v>
      </c>
      <c r="X285" s="1" t="s">
        <v>1994</v>
      </c>
      <c r="Y285" s="1">
        <v>0.88</v>
      </c>
      <c r="AA285" s="1">
        <v>1.38</v>
      </c>
      <c r="AB285" s="1">
        <v>15.18</v>
      </c>
      <c r="AE285" s="1">
        <v>2.92</v>
      </c>
      <c r="AF285" s="1">
        <v>3.39</v>
      </c>
      <c r="AI285" s="1">
        <v>5</v>
      </c>
      <c r="AJ285" s="1" t="s">
        <v>1994</v>
      </c>
      <c r="AK285" s="1">
        <v>4</v>
      </c>
      <c r="AL285" s="1">
        <v>70.032600000000002</v>
      </c>
      <c r="AM285" s="1" t="s">
        <v>1994</v>
      </c>
      <c r="AN285" s="1">
        <v>6.0940453334500999</v>
      </c>
      <c r="AO285" s="1">
        <v>0.91985589938869505</v>
      </c>
      <c r="AP285" s="1" t="s">
        <v>1995</v>
      </c>
      <c r="AT285" s="1">
        <v>20</v>
      </c>
    </row>
    <row r="286" spans="1:46">
      <c r="A286" s="1" t="s">
        <v>1996</v>
      </c>
      <c r="C286" s="1" t="s">
        <v>1996</v>
      </c>
      <c r="D286" s="1" t="s">
        <v>1997</v>
      </c>
      <c r="E286" s="1" t="s">
        <v>1466</v>
      </c>
      <c r="F286" s="1" t="s">
        <v>1974</v>
      </c>
      <c r="G286" s="1" t="s">
        <v>49</v>
      </c>
      <c r="H286" s="2" t="s">
        <v>1993</v>
      </c>
      <c r="I286" s="1">
        <v>59</v>
      </c>
      <c r="J286" s="1">
        <v>3</v>
      </c>
      <c r="L286" s="1" t="s">
        <v>65</v>
      </c>
      <c r="M286" s="1">
        <v>19.573</v>
      </c>
      <c r="N286" s="1">
        <v>48</v>
      </c>
      <c r="O286" s="1">
        <v>70.843620000000001</v>
      </c>
      <c r="P286" s="1">
        <v>-161.5378</v>
      </c>
      <c r="Q286" s="1">
        <v>2.7932999999999999</v>
      </c>
      <c r="R286" s="1">
        <v>32.257300000000001</v>
      </c>
      <c r="S286" s="1">
        <v>267.21600000000001</v>
      </c>
      <c r="T286" s="1">
        <v>116.7185795</v>
      </c>
      <c r="U286" s="1">
        <v>19.152889930000001</v>
      </c>
      <c r="V286" s="1">
        <v>13666.666670000001</v>
      </c>
      <c r="W286" s="3">
        <v>0.60699999999999998</v>
      </c>
      <c r="X286" s="1" t="s">
        <v>1994</v>
      </c>
      <c r="Y286" s="1">
        <v>0.88</v>
      </c>
      <c r="AA286" s="1">
        <v>1.38</v>
      </c>
      <c r="AB286" s="1">
        <v>15.18</v>
      </c>
      <c r="AE286" s="1">
        <v>2.92</v>
      </c>
      <c r="AF286" s="1">
        <v>3.39</v>
      </c>
      <c r="AI286" s="1">
        <v>5</v>
      </c>
      <c r="AJ286" s="1" t="s">
        <v>1994</v>
      </c>
      <c r="AK286" s="1">
        <v>4</v>
      </c>
      <c r="AL286" s="1">
        <v>70.032600000000002</v>
      </c>
      <c r="AM286" s="1" t="s">
        <v>1994</v>
      </c>
      <c r="AN286" s="1">
        <v>6.0940453334500999</v>
      </c>
      <c r="AO286" s="1">
        <v>0.91985589938869505</v>
      </c>
      <c r="AP286" s="1" t="s">
        <v>1995</v>
      </c>
      <c r="AT286" s="1">
        <v>20</v>
      </c>
    </row>
    <row r="287" spans="1:46">
      <c r="A287" s="1" t="s">
        <v>1998</v>
      </c>
      <c r="C287" s="1" t="s">
        <v>1998</v>
      </c>
      <c r="D287" s="1" t="s">
        <v>1999</v>
      </c>
      <c r="E287" s="1" t="s">
        <v>1466</v>
      </c>
      <c r="F287" s="1" t="s">
        <v>1974</v>
      </c>
      <c r="G287" s="1" t="s">
        <v>49</v>
      </c>
      <c r="H287" s="2" t="s">
        <v>1993</v>
      </c>
      <c r="I287" s="1">
        <v>59</v>
      </c>
      <c r="J287" s="1">
        <v>20</v>
      </c>
      <c r="L287" s="1" t="s">
        <v>65</v>
      </c>
      <c r="M287" s="1">
        <v>19.573</v>
      </c>
      <c r="N287" s="1">
        <v>48</v>
      </c>
      <c r="O287" s="1">
        <v>70.843620000000001</v>
      </c>
      <c r="P287" s="1">
        <v>-161.5378</v>
      </c>
      <c r="Q287" s="1">
        <v>2.7932999999999999</v>
      </c>
      <c r="R287" s="1">
        <v>32.257300000000001</v>
      </c>
      <c r="S287" s="1">
        <v>267.21600000000001</v>
      </c>
      <c r="T287" s="1">
        <v>116.7185795</v>
      </c>
      <c r="U287" s="1">
        <v>19.152889930000001</v>
      </c>
      <c r="V287" s="1">
        <v>13666.666670000001</v>
      </c>
      <c r="W287" s="3">
        <v>0.60699999999999998</v>
      </c>
      <c r="X287" s="1" t="s">
        <v>1994</v>
      </c>
      <c r="Y287" s="1">
        <v>0.88</v>
      </c>
      <c r="AA287" s="1">
        <v>1.38</v>
      </c>
      <c r="AB287" s="1">
        <v>15.18</v>
      </c>
      <c r="AE287" s="1">
        <v>2.92</v>
      </c>
      <c r="AF287" s="1">
        <v>3.39</v>
      </c>
      <c r="AI287" s="1">
        <v>5</v>
      </c>
      <c r="AJ287" s="1" t="s">
        <v>1994</v>
      </c>
      <c r="AK287" s="1">
        <v>4</v>
      </c>
      <c r="AL287" s="1">
        <v>70.032600000000002</v>
      </c>
      <c r="AM287" s="1" t="s">
        <v>1994</v>
      </c>
      <c r="AN287" s="1">
        <v>6.0940453334500999</v>
      </c>
      <c r="AO287" s="1">
        <v>0.91985589938869505</v>
      </c>
      <c r="AP287" s="1" t="s">
        <v>1995</v>
      </c>
      <c r="AT287" s="1">
        <v>20</v>
      </c>
    </row>
    <row r="288" spans="1:46">
      <c r="A288" s="1" t="s">
        <v>2000</v>
      </c>
      <c r="C288" s="1" t="s">
        <v>2000</v>
      </c>
      <c r="D288" s="1" t="s">
        <v>2001</v>
      </c>
      <c r="E288" s="1" t="s">
        <v>1466</v>
      </c>
      <c r="F288" s="1" t="s">
        <v>1974</v>
      </c>
      <c r="G288" s="1" t="s">
        <v>49</v>
      </c>
      <c r="H288" s="2" t="s">
        <v>2002</v>
      </c>
      <c r="I288" s="1">
        <v>59</v>
      </c>
      <c r="J288" s="1">
        <v>0.2</v>
      </c>
      <c r="L288" s="1" t="s">
        <v>65</v>
      </c>
      <c r="M288" s="1">
        <v>30.295000000000002</v>
      </c>
      <c r="N288" s="1">
        <v>48</v>
      </c>
      <c r="O288" s="1">
        <v>70.843580000000003</v>
      </c>
      <c r="P288" s="1">
        <v>-161.5378</v>
      </c>
      <c r="Q288" s="1">
        <v>2.7825000000000002</v>
      </c>
      <c r="R288" s="1">
        <v>32.257649999999998</v>
      </c>
      <c r="S288" s="1">
        <v>267.09100000000001</v>
      </c>
      <c r="T288" s="1">
        <v>104.37569999999999</v>
      </c>
      <c r="U288" s="1">
        <v>16.243895210000002</v>
      </c>
      <c r="V288" s="1">
        <v>2976</v>
      </c>
      <c r="W288" s="3">
        <v>0.748</v>
      </c>
      <c r="X288" s="1" t="s">
        <v>2003</v>
      </c>
      <c r="Y288" s="1">
        <v>0.95</v>
      </c>
      <c r="AA288" s="1">
        <v>1.3</v>
      </c>
      <c r="AB288" s="1">
        <v>15.33</v>
      </c>
      <c r="AE288" s="1">
        <v>2.81</v>
      </c>
      <c r="AF288" s="1">
        <v>6.82</v>
      </c>
      <c r="AI288" s="1">
        <v>3</v>
      </c>
      <c r="AJ288" s="1" t="s">
        <v>2003</v>
      </c>
      <c r="AK288" s="1">
        <v>4</v>
      </c>
      <c r="AL288" s="1">
        <v>70.138300000000001</v>
      </c>
      <c r="AM288" s="1" t="s">
        <v>2003</v>
      </c>
      <c r="AN288" s="1">
        <v>6.4255339406366403</v>
      </c>
      <c r="AO288" s="1">
        <v>0.96989191556779497</v>
      </c>
      <c r="AP288" s="1" t="s">
        <v>2004</v>
      </c>
      <c r="AS288" s="1" t="s">
        <v>1499</v>
      </c>
      <c r="AT288" s="1">
        <v>30</v>
      </c>
    </row>
    <row r="289" spans="1:46">
      <c r="A289" s="1" t="s">
        <v>2005</v>
      </c>
      <c r="C289" s="1" t="s">
        <v>2005</v>
      </c>
      <c r="D289" s="1" t="s">
        <v>2006</v>
      </c>
      <c r="E289" s="1" t="s">
        <v>1466</v>
      </c>
      <c r="F289" s="1" t="s">
        <v>1974</v>
      </c>
      <c r="G289" s="1" t="s">
        <v>49</v>
      </c>
      <c r="H289" s="2" t="s">
        <v>2002</v>
      </c>
      <c r="I289" s="1">
        <v>59</v>
      </c>
      <c r="J289" s="1">
        <v>3</v>
      </c>
      <c r="L289" s="1" t="s">
        <v>65</v>
      </c>
      <c r="M289" s="1">
        <v>30.295000000000002</v>
      </c>
      <c r="N289" s="1">
        <v>48</v>
      </c>
      <c r="O289" s="1">
        <v>70.843580000000003</v>
      </c>
      <c r="P289" s="1">
        <v>-161.5378</v>
      </c>
      <c r="Q289" s="1">
        <v>2.7825000000000002</v>
      </c>
      <c r="R289" s="1">
        <v>32.257649999999998</v>
      </c>
      <c r="S289" s="1">
        <v>267.09100000000001</v>
      </c>
      <c r="T289" s="1">
        <v>104.37569999999999</v>
      </c>
      <c r="U289" s="1">
        <v>16.243895210000002</v>
      </c>
      <c r="V289" s="1">
        <v>2976</v>
      </c>
      <c r="W289" s="3">
        <v>0.748</v>
      </c>
      <c r="X289" s="1" t="s">
        <v>2003</v>
      </c>
      <c r="Y289" s="1">
        <v>0.95</v>
      </c>
      <c r="AA289" s="1">
        <v>1.3</v>
      </c>
      <c r="AB289" s="1">
        <v>15.33</v>
      </c>
      <c r="AE289" s="1">
        <v>2.81</v>
      </c>
      <c r="AF289" s="1">
        <v>6.82</v>
      </c>
      <c r="AI289" s="1">
        <v>3</v>
      </c>
      <c r="AJ289" s="1" t="s">
        <v>2003</v>
      </c>
      <c r="AK289" s="1">
        <v>4</v>
      </c>
      <c r="AL289" s="1">
        <v>70.138300000000001</v>
      </c>
      <c r="AM289" s="1" t="s">
        <v>2003</v>
      </c>
      <c r="AN289" s="1">
        <v>6.4255339406366403</v>
      </c>
      <c r="AO289" s="1">
        <v>0.96989191556779497</v>
      </c>
      <c r="AP289" s="1" t="s">
        <v>2004</v>
      </c>
      <c r="AT289" s="1">
        <v>30</v>
      </c>
    </row>
    <row r="290" spans="1:46">
      <c r="A290" s="1" t="s">
        <v>2007</v>
      </c>
      <c r="C290" s="1" t="s">
        <v>2007</v>
      </c>
      <c r="D290" s="1" t="s">
        <v>2008</v>
      </c>
      <c r="E290" s="1" t="s">
        <v>1466</v>
      </c>
      <c r="F290" s="1" t="s">
        <v>1974</v>
      </c>
      <c r="G290" s="1" t="s">
        <v>49</v>
      </c>
      <c r="H290" s="2" t="s">
        <v>2002</v>
      </c>
      <c r="I290" s="1">
        <v>59</v>
      </c>
      <c r="J290" s="1">
        <v>20</v>
      </c>
      <c r="L290" s="1" t="s">
        <v>65</v>
      </c>
      <c r="M290" s="1">
        <v>30.295000000000002</v>
      </c>
      <c r="N290" s="1">
        <v>48</v>
      </c>
      <c r="O290" s="1">
        <v>70.843580000000003</v>
      </c>
      <c r="P290" s="1">
        <v>-161.5378</v>
      </c>
      <c r="Q290" s="1">
        <v>2.7825000000000002</v>
      </c>
      <c r="R290" s="1">
        <v>32.257649999999998</v>
      </c>
      <c r="S290" s="1">
        <v>267.09100000000001</v>
      </c>
      <c r="T290" s="1">
        <v>104.37569999999999</v>
      </c>
      <c r="U290" s="1">
        <v>16.243895210000002</v>
      </c>
      <c r="V290" s="1">
        <v>2976</v>
      </c>
      <c r="W290" s="3">
        <v>0.748</v>
      </c>
      <c r="X290" s="1" t="s">
        <v>2003</v>
      </c>
      <c r="Y290" s="1">
        <v>0.95</v>
      </c>
      <c r="AA290" s="1">
        <v>1.3</v>
      </c>
      <c r="AB290" s="1">
        <v>15.33</v>
      </c>
      <c r="AE290" s="1">
        <v>2.81</v>
      </c>
      <c r="AF290" s="1">
        <v>6.82</v>
      </c>
      <c r="AI290" s="1">
        <v>3</v>
      </c>
      <c r="AJ290" s="1" t="s">
        <v>2003</v>
      </c>
      <c r="AK290" s="1">
        <v>4</v>
      </c>
      <c r="AL290" s="1">
        <v>70.138300000000001</v>
      </c>
      <c r="AM290" s="1" t="s">
        <v>2003</v>
      </c>
      <c r="AN290" s="1">
        <v>6.4255339406366403</v>
      </c>
      <c r="AO290" s="1">
        <v>0.96989191556779497</v>
      </c>
      <c r="AP290" s="1" t="s">
        <v>2004</v>
      </c>
      <c r="AT290" s="1">
        <v>30</v>
      </c>
    </row>
    <row r="291" spans="1:46">
      <c r="A291" s="1" t="s">
        <v>2009</v>
      </c>
      <c r="C291" s="1" t="s">
        <v>2009</v>
      </c>
      <c r="D291" s="1" t="s">
        <v>2010</v>
      </c>
      <c r="E291" s="1" t="s">
        <v>1466</v>
      </c>
      <c r="F291" s="1" t="s">
        <v>1974</v>
      </c>
      <c r="G291" s="1" t="s">
        <v>49</v>
      </c>
      <c r="H291" s="2" t="s">
        <v>2011</v>
      </c>
      <c r="I291" s="1">
        <v>59</v>
      </c>
      <c r="J291" s="1">
        <v>0.2</v>
      </c>
      <c r="K291" s="1" t="s">
        <v>78</v>
      </c>
      <c r="L291" s="1" t="s">
        <v>78</v>
      </c>
      <c r="M291" s="1">
        <v>42.695999999999998</v>
      </c>
      <c r="N291" s="1">
        <v>48</v>
      </c>
      <c r="O291" s="1">
        <v>70.843620000000001</v>
      </c>
      <c r="P291" s="1">
        <v>-161.53762</v>
      </c>
      <c r="Q291" s="1">
        <v>2.7865500000000001</v>
      </c>
      <c r="R291" s="1">
        <v>32.257150000000003</v>
      </c>
      <c r="S291" s="1">
        <v>266.87400000000002</v>
      </c>
      <c r="T291" s="1">
        <v>148.61447580000001</v>
      </c>
      <c r="U291" s="1">
        <v>23.251519810000001</v>
      </c>
      <c r="V291" s="1">
        <v>3860.4651159999999</v>
      </c>
      <c r="W291" s="3">
        <v>0.71799999999999997</v>
      </c>
      <c r="X291" s="1" t="s">
        <v>2012</v>
      </c>
      <c r="Y291" s="1">
        <v>1.1299999999999999</v>
      </c>
      <c r="AA291" s="1">
        <v>1.34</v>
      </c>
      <c r="AB291" s="1">
        <v>14.93</v>
      </c>
      <c r="AE291" s="1">
        <v>2.65</v>
      </c>
      <c r="AF291" s="1">
        <v>2.94</v>
      </c>
      <c r="AI291" s="1">
        <v>1</v>
      </c>
      <c r="AJ291" s="1" t="s">
        <v>2012</v>
      </c>
      <c r="AK291" s="1">
        <v>4</v>
      </c>
      <c r="AL291" s="1">
        <v>65.342399999999998</v>
      </c>
      <c r="AM291" s="1" t="s">
        <v>2012</v>
      </c>
      <c r="AN291" s="1">
        <v>6.3916026571340101</v>
      </c>
      <c r="AO291" s="1">
        <v>0.96477021239758598</v>
      </c>
      <c r="AP291" s="1" t="s">
        <v>2013</v>
      </c>
      <c r="AQ291" s="1">
        <v>-1.35</v>
      </c>
      <c r="AS291" s="1" t="s">
        <v>2014</v>
      </c>
      <c r="AT291" s="1">
        <v>43</v>
      </c>
    </row>
    <row r="292" spans="1:46">
      <c r="A292" s="1" t="s">
        <v>2015</v>
      </c>
      <c r="C292" s="1" t="s">
        <v>2015</v>
      </c>
      <c r="D292" s="1" t="s">
        <v>2016</v>
      </c>
      <c r="E292" s="1" t="s">
        <v>1466</v>
      </c>
      <c r="F292" s="1" t="s">
        <v>1974</v>
      </c>
      <c r="G292" s="1" t="s">
        <v>49</v>
      </c>
      <c r="H292" s="2" t="s">
        <v>2011</v>
      </c>
      <c r="I292" s="1">
        <v>59</v>
      </c>
      <c r="J292" s="1">
        <v>3</v>
      </c>
      <c r="K292" s="1" t="s">
        <v>78</v>
      </c>
      <c r="L292" s="1" t="s">
        <v>78</v>
      </c>
      <c r="M292" s="1">
        <v>42.695999999999998</v>
      </c>
      <c r="N292" s="1">
        <v>48</v>
      </c>
      <c r="O292" s="1">
        <v>70.843620000000001</v>
      </c>
      <c r="P292" s="1">
        <v>-161.53762</v>
      </c>
      <c r="Q292" s="1">
        <v>2.7865500000000001</v>
      </c>
      <c r="R292" s="1">
        <v>32.257150000000003</v>
      </c>
      <c r="S292" s="1">
        <v>266.87400000000002</v>
      </c>
      <c r="T292" s="1">
        <v>148.61447580000001</v>
      </c>
      <c r="U292" s="1">
        <v>23.251519810000001</v>
      </c>
      <c r="V292" s="1">
        <v>3860.4651159999999</v>
      </c>
      <c r="W292" s="3">
        <v>0.71799999999999997</v>
      </c>
      <c r="X292" s="1" t="s">
        <v>2012</v>
      </c>
      <c r="Y292" s="1">
        <v>1.1299999999999999</v>
      </c>
      <c r="AA292" s="1">
        <v>1.34</v>
      </c>
      <c r="AB292" s="1">
        <v>14.93</v>
      </c>
      <c r="AE292" s="1">
        <v>2.65</v>
      </c>
      <c r="AF292" s="1">
        <v>2.94</v>
      </c>
      <c r="AI292" s="1">
        <v>1</v>
      </c>
      <c r="AJ292" s="1" t="s">
        <v>2012</v>
      </c>
      <c r="AK292" s="1">
        <v>4</v>
      </c>
      <c r="AL292" s="1">
        <v>65.342399999999998</v>
      </c>
      <c r="AM292" s="1" t="s">
        <v>2012</v>
      </c>
      <c r="AN292" s="1">
        <v>6.3916026571340101</v>
      </c>
      <c r="AO292" s="1">
        <v>0.96477021239758598</v>
      </c>
      <c r="AP292" s="1" t="s">
        <v>2013</v>
      </c>
      <c r="AQ292" s="1">
        <v>-1.35</v>
      </c>
      <c r="AT292" s="1">
        <v>43</v>
      </c>
    </row>
    <row r="293" spans="1:46">
      <c r="A293" s="1" t="s">
        <v>2017</v>
      </c>
      <c r="C293" s="1" t="s">
        <v>2017</v>
      </c>
      <c r="D293" s="1" t="s">
        <v>2018</v>
      </c>
      <c r="E293" s="1" t="s">
        <v>1466</v>
      </c>
      <c r="F293" s="1" t="s">
        <v>1974</v>
      </c>
      <c r="G293" s="1" t="s">
        <v>49</v>
      </c>
      <c r="H293" s="2" t="s">
        <v>2011</v>
      </c>
      <c r="I293" s="1">
        <v>59</v>
      </c>
      <c r="J293" s="1">
        <v>20</v>
      </c>
      <c r="K293" s="1" t="s">
        <v>78</v>
      </c>
      <c r="L293" s="1" t="s">
        <v>78</v>
      </c>
      <c r="M293" s="1">
        <v>42.695999999999998</v>
      </c>
      <c r="N293" s="1">
        <v>48</v>
      </c>
      <c r="O293" s="1">
        <v>70.843620000000001</v>
      </c>
      <c r="P293" s="1">
        <v>-161.53762</v>
      </c>
      <c r="Q293" s="1">
        <v>2.7865500000000001</v>
      </c>
      <c r="R293" s="1">
        <v>32.257150000000003</v>
      </c>
      <c r="S293" s="1">
        <v>266.87400000000002</v>
      </c>
      <c r="T293" s="1">
        <v>148.61447580000001</v>
      </c>
      <c r="U293" s="1">
        <v>23.251519810000001</v>
      </c>
      <c r="V293" s="1">
        <v>3860.4651159999999</v>
      </c>
      <c r="W293" s="3">
        <v>0.71799999999999997</v>
      </c>
      <c r="X293" s="1" t="s">
        <v>2012</v>
      </c>
      <c r="Y293" s="1">
        <v>1.1299999999999999</v>
      </c>
      <c r="AA293" s="1">
        <v>1.34</v>
      </c>
      <c r="AB293" s="1">
        <v>14.93</v>
      </c>
      <c r="AE293" s="1">
        <v>2.65</v>
      </c>
      <c r="AF293" s="1">
        <v>2.94</v>
      </c>
      <c r="AI293" s="1">
        <v>1</v>
      </c>
      <c r="AJ293" s="1" t="s">
        <v>2012</v>
      </c>
      <c r="AK293" s="1">
        <v>4</v>
      </c>
      <c r="AL293" s="1">
        <v>65.342399999999998</v>
      </c>
      <c r="AM293" s="1" t="s">
        <v>2012</v>
      </c>
      <c r="AN293" s="1">
        <v>6.3916026571340101</v>
      </c>
      <c r="AO293" s="1">
        <v>0.96477021239758598</v>
      </c>
      <c r="AP293" s="1" t="s">
        <v>2013</v>
      </c>
      <c r="AQ293" s="1">
        <v>-1.35</v>
      </c>
      <c r="AT293" s="1">
        <v>43</v>
      </c>
    </row>
    <row r="294" spans="1:46">
      <c r="A294" s="1" t="s">
        <v>2019</v>
      </c>
      <c r="C294" s="1" t="s">
        <v>2019</v>
      </c>
      <c r="D294" s="1" t="s">
        <v>2020</v>
      </c>
      <c r="E294" s="1" t="s">
        <v>1466</v>
      </c>
      <c r="F294" s="1" t="s">
        <v>2021</v>
      </c>
      <c r="G294" s="1" t="s">
        <v>49</v>
      </c>
      <c r="H294" s="2" t="s">
        <v>2022</v>
      </c>
      <c r="I294" s="1">
        <v>35</v>
      </c>
      <c r="J294" s="1">
        <v>0.2</v>
      </c>
      <c r="K294" s="1" t="s">
        <v>52</v>
      </c>
      <c r="L294" s="1" t="s">
        <v>52</v>
      </c>
      <c r="M294" s="1">
        <v>4.6079999999999997</v>
      </c>
      <c r="N294" s="1">
        <v>41</v>
      </c>
      <c r="O294" s="1">
        <v>72.109560000000002</v>
      </c>
      <c r="P294" s="1">
        <v>-162.92562000000001</v>
      </c>
      <c r="Q294" s="1">
        <v>4.7809999999999997</v>
      </c>
      <c r="R294" s="1">
        <v>31.362400000000001</v>
      </c>
      <c r="S294" s="1">
        <v>313.51900000000001</v>
      </c>
      <c r="T294" s="1">
        <v>60.441474079999999</v>
      </c>
      <c r="U294" s="1">
        <v>9.2387802899999993</v>
      </c>
      <c r="V294" s="1">
        <v>3466.666667</v>
      </c>
      <c r="W294" s="3">
        <v>0.16200000000000001</v>
      </c>
      <c r="X294" s="1" t="s">
        <v>2023</v>
      </c>
      <c r="Y294" s="1">
        <v>0.46</v>
      </c>
      <c r="AA294" s="1">
        <v>0.63</v>
      </c>
      <c r="AB294" s="1">
        <v>3.95</v>
      </c>
      <c r="AE294" s="1">
        <v>0.65</v>
      </c>
      <c r="AF294" s="1">
        <v>15.21</v>
      </c>
      <c r="AI294" s="1">
        <v>9</v>
      </c>
      <c r="AJ294" s="1" t="s">
        <v>2023</v>
      </c>
      <c r="AK294" s="1">
        <v>2</v>
      </c>
      <c r="AL294" s="1">
        <v>93.393500000000003</v>
      </c>
      <c r="AM294" s="1" t="s">
        <v>2023</v>
      </c>
      <c r="AN294" s="1">
        <v>6.5421486584567301</v>
      </c>
      <c r="AO294" s="1">
        <v>0.98749413712554401</v>
      </c>
      <c r="AP294" s="1" t="s">
        <v>2024</v>
      </c>
      <c r="AQ294" s="1">
        <v>-2.0299999999999998</v>
      </c>
      <c r="AR294" s="1">
        <v>8.15</v>
      </c>
      <c r="AS294" s="1" t="s">
        <v>2025</v>
      </c>
      <c r="AT294" s="1">
        <v>5</v>
      </c>
    </row>
    <row r="295" spans="1:46">
      <c r="A295" s="1" t="s">
        <v>2026</v>
      </c>
      <c r="C295" s="1" t="s">
        <v>2026</v>
      </c>
      <c r="D295" s="1" t="s">
        <v>2027</v>
      </c>
      <c r="E295" s="1" t="s">
        <v>1466</v>
      </c>
      <c r="F295" s="1" t="s">
        <v>2021</v>
      </c>
      <c r="G295" s="1" t="s">
        <v>49</v>
      </c>
      <c r="H295" s="2" t="s">
        <v>2022</v>
      </c>
      <c r="I295" s="1">
        <v>35</v>
      </c>
      <c r="J295" s="1">
        <v>3</v>
      </c>
      <c r="K295" s="1" t="s">
        <v>52</v>
      </c>
      <c r="L295" s="1" t="s">
        <v>52</v>
      </c>
      <c r="M295" s="1">
        <v>4.6079999999999997</v>
      </c>
      <c r="N295" s="1">
        <v>41</v>
      </c>
      <c r="O295" s="1">
        <v>72.109560000000002</v>
      </c>
      <c r="P295" s="1">
        <v>-162.92562000000001</v>
      </c>
      <c r="Q295" s="1">
        <v>4.7809999999999997</v>
      </c>
      <c r="R295" s="1">
        <v>31.362400000000001</v>
      </c>
      <c r="S295" s="1">
        <v>313.51900000000001</v>
      </c>
      <c r="T295" s="1">
        <v>60.441474079999999</v>
      </c>
      <c r="U295" s="1">
        <v>9.2387802899999993</v>
      </c>
      <c r="V295" s="1">
        <v>3466.666667</v>
      </c>
      <c r="W295" s="3">
        <v>0.16200000000000001</v>
      </c>
      <c r="X295" s="1" t="s">
        <v>2023</v>
      </c>
      <c r="Y295" s="1">
        <v>0.46</v>
      </c>
      <c r="AA295" s="1">
        <v>0.63</v>
      </c>
      <c r="AB295" s="1">
        <v>3.95</v>
      </c>
      <c r="AE295" s="1">
        <v>0.65</v>
      </c>
      <c r="AF295" s="1">
        <v>15.21</v>
      </c>
      <c r="AI295" s="1">
        <v>9</v>
      </c>
      <c r="AJ295" s="1" t="s">
        <v>2023</v>
      </c>
      <c r="AK295" s="1">
        <v>2</v>
      </c>
      <c r="AL295" s="1">
        <v>93.393500000000003</v>
      </c>
      <c r="AM295" s="1" t="s">
        <v>2023</v>
      </c>
      <c r="AN295" s="1">
        <v>6.5421486584567301</v>
      </c>
      <c r="AO295" s="1">
        <v>0.98749413712554401</v>
      </c>
      <c r="AP295" s="1" t="s">
        <v>2024</v>
      </c>
      <c r="AQ295" s="1">
        <v>-2.0299999999999998</v>
      </c>
      <c r="AR295" s="1">
        <v>8.15</v>
      </c>
      <c r="AT295" s="1">
        <v>5</v>
      </c>
    </row>
    <row r="296" spans="1:46">
      <c r="A296" s="1" t="s">
        <v>2028</v>
      </c>
      <c r="C296" s="1" t="s">
        <v>2028</v>
      </c>
      <c r="D296" s="1" t="s">
        <v>2029</v>
      </c>
      <c r="E296" s="1" t="s">
        <v>1466</v>
      </c>
      <c r="F296" s="1" t="s">
        <v>2021</v>
      </c>
      <c r="G296" s="1" t="s">
        <v>49</v>
      </c>
      <c r="H296" s="2" t="s">
        <v>2022</v>
      </c>
      <c r="I296" s="1">
        <v>35</v>
      </c>
      <c r="J296" s="1">
        <v>20</v>
      </c>
      <c r="K296" s="1" t="s">
        <v>52</v>
      </c>
      <c r="L296" s="1" t="s">
        <v>52</v>
      </c>
      <c r="M296" s="1">
        <v>4.6079999999999997</v>
      </c>
      <c r="N296" s="1">
        <v>41</v>
      </c>
      <c r="O296" s="1">
        <v>72.109560000000002</v>
      </c>
      <c r="P296" s="1">
        <v>-162.92562000000001</v>
      </c>
      <c r="Q296" s="1">
        <v>4.7809999999999997</v>
      </c>
      <c r="R296" s="1">
        <v>31.362400000000001</v>
      </c>
      <c r="S296" s="1">
        <v>313.51900000000001</v>
      </c>
      <c r="T296" s="1">
        <v>60.441474079999999</v>
      </c>
      <c r="U296" s="1">
        <v>9.2387802899999993</v>
      </c>
      <c r="V296" s="1">
        <v>3466.666667</v>
      </c>
      <c r="W296" s="3">
        <v>0.16200000000000001</v>
      </c>
      <c r="X296" s="1" t="s">
        <v>2023</v>
      </c>
      <c r="Y296" s="1">
        <v>0.46</v>
      </c>
      <c r="AA296" s="1">
        <v>0.63</v>
      </c>
      <c r="AB296" s="1">
        <v>3.95</v>
      </c>
      <c r="AE296" s="1">
        <v>0.65</v>
      </c>
      <c r="AF296" s="1">
        <v>15.21</v>
      </c>
      <c r="AI296" s="1">
        <v>9</v>
      </c>
      <c r="AJ296" s="1" t="s">
        <v>2023</v>
      </c>
      <c r="AK296" s="1">
        <v>2</v>
      </c>
      <c r="AL296" s="1">
        <v>93.393500000000003</v>
      </c>
      <c r="AM296" s="1" t="s">
        <v>2023</v>
      </c>
      <c r="AN296" s="1">
        <v>6.5421486584567301</v>
      </c>
      <c r="AO296" s="1">
        <v>0.98749413712554401</v>
      </c>
      <c r="AP296" s="1" t="s">
        <v>2024</v>
      </c>
      <c r="AQ296" s="1">
        <v>-2.0299999999999998</v>
      </c>
      <c r="AR296" s="1">
        <v>8.15</v>
      </c>
      <c r="AT296" s="1">
        <v>5</v>
      </c>
    </row>
    <row r="297" spans="1:46">
      <c r="A297" s="1" t="s">
        <v>2030</v>
      </c>
      <c r="C297" s="1" t="s">
        <v>2030</v>
      </c>
      <c r="D297" s="1" t="s">
        <v>2031</v>
      </c>
      <c r="E297" s="1" t="s">
        <v>1466</v>
      </c>
      <c r="F297" s="1" t="s">
        <v>2021</v>
      </c>
      <c r="G297" s="1" t="s">
        <v>49</v>
      </c>
      <c r="H297" s="2" t="s">
        <v>2032</v>
      </c>
      <c r="I297" s="1">
        <v>35</v>
      </c>
      <c r="J297" s="1">
        <v>0.2</v>
      </c>
      <c r="L297" s="1" t="s">
        <v>65</v>
      </c>
      <c r="M297" s="1">
        <v>11.619</v>
      </c>
      <c r="N297" s="1">
        <v>41</v>
      </c>
      <c r="O297" s="1">
        <v>72.109639999999999</v>
      </c>
      <c r="P297" s="1">
        <v>-162.92507000000001</v>
      </c>
      <c r="Q297" s="1">
        <v>4.6439500000000002</v>
      </c>
      <c r="R297" s="1">
        <v>31.440149999999999</v>
      </c>
      <c r="S297" s="1">
        <v>317.1875</v>
      </c>
      <c r="W297" s="3">
        <v>0.313</v>
      </c>
      <c r="X297" s="1" t="s">
        <v>2033</v>
      </c>
      <c r="Y297" s="1">
        <v>0.48</v>
      </c>
      <c r="AA297" s="1">
        <v>0.65</v>
      </c>
      <c r="AB297" s="1">
        <v>3.74</v>
      </c>
      <c r="AE297" s="1">
        <v>0.7</v>
      </c>
      <c r="AF297" s="1">
        <v>6.97</v>
      </c>
      <c r="AI297" s="1">
        <v>7</v>
      </c>
      <c r="AJ297" s="1" t="s">
        <v>2033</v>
      </c>
      <c r="AK297" s="1">
        <v>2</v>
      </c>
      <c r="AL297" s="1">
        <v>92.976600000000005</v>
      </c>
      <c r="AM297" s="1" t="s">
        <v>2033</v>
      </c>
      <c r="AP297" s="1" t="s">
        <v>2034</v>
      </c>
      <c r="AR297" s="1">
        <v>8.15</v>
      </c>
      <c r="AT297" s="1">
        <v>10</v>
      </c>
    </row>
    <row r="298" spans="1:46">
      <c r="A298" s="1" t="s">
        <v>2035</v>
      </c>
      <c r="C298" s="1" t="s">
        <v>2035</v>
      </c>
      <c r="D298" s="1" t="s">
        <v>2036</v>
      </c>
      <c r="E298" s="1" t="s">
        <v>1466</v>
      </c>
      <c r="F298" s="1" t="s">
        <v>2021</v>
      </c>
      <c r="G298" s="1" t="s">
        <v>49</v>
      </c>
      <c r="H298" s="2" t="s">
        <v>2032</v>
      </c>
      <c r="I298" s="1">
        <v>35</v>
      </c>
      <c r="J298" s="1">
        <v>3</v>
      </c>
      <c r="L298" s="1" t="s">
        <v>65</v>
      </c>
      <c r="M298" s="1">
        <v>11.619</v>
      </c>
      <c r="N298" s="1">
        <v>41</v>
      </c>
      <c r="O298" s="1">
        <v>72.109639999999999</v>
      </c>
      <c r="P298" s="1">
        <v>-162.92507000000001</v>
      </c>
      <c r="Q298" s="1">
        <v>4.6439500000000002</v>
      </c>
      <c r="R298" s="1">
        <v>31.440149999999999</v>
      </c>
      <c r="S298" s="1">
        <v>317.1875</v>
      </c>
      <c r="W298" s="3">
        <v>0.313</v>
      </c>
      <c r="X298" s="1" t="s">
        <v>2033</v>
      </c>
      <c r="Y298" s="1">
        <v>0.48</v>
      </c>
      <c r="AA298" s="1">
        <v>0.65</v>
      </c>
      <c r="AB298" s="1">
        <v>3.74</v>
      </c>
      <c r="AE298" s="1">
        <v>0.7</v>
      </c>
      <c r="AF298" s="1">
        <v>6.97</v>
      </c>
      <c r="AI298" s="1">
        <v>7</v>
      </c>
      <c r="AJ298" s="1" t="s">
        <v>2033</v>
      </c>
      <c r="AK298" s="1">
        <v>2</v>
      </c>
      <c r="AL298" s="1">
        <v>92.976600000000005</v>
      </c>
      <c r="AM298" s="1" t="s">
        <v>2033</v>
      </c>
      <c r="AP298" s="1" t="s">
        <v>2034</v>
      </c>
      <c r="AR298" s="1">
        <v>8.15</v>
      </c>
      <c r="AT298" s="1">
        <v>10</v>
      </c>
    </row>
    <row r="299" spans="1:46">
      <c r="A299" s="1" t="s">
        <v>2037</v>
      </c>
      <c r="C299" s="1" t="s">
        <v>2037</v>
      </c>
      <c r="D299" s="1" t="s">
        <v>2038</v>
      </c>
      <c r="E299" s="1" t="s">
        <v>1466</v>
      </c>
      <c r="F299" s="1" t="s">
        <v>2021</v>
      </c>
      <c r="G299" s="1" t="s">
        <v>49</v>
      </c>
      <c r="H299" s="2" t="s">
        <v>2032</v>
      </c>
      <c r="I299" s="1">
        <v>35</v>
      </c>
      <c r="J299" s="1">
        <v>20</v>
      </c>
      <c r="L299" s="1" t="s">
        <v>65</v>
      </c>
      <c r="M299" s="1">
        <v>11.619</v>
      </c>
      <c r="N299" s="1">
        <v>41</v>
      </c>
      <c r="O299" s="1">
        <v>72.109639999999999</v>
      </c>
      <c r="P299" s="1">
        <v>-162.92507000000001</v>
      </c>
      <c r="Q299" s="1">
        <v>4.6439500000000002</v>
      </c>
      <c r="R299" s="1">
        <v>31.440149999999999</v>
      </c>
      <c r="S299" s="1">
        <v>317.1875</v>
      </c>
      <c r="W299" s="3">
        <v>0.313</v>
      </c>
      <c r="X299" s="1" t="s">
        <v>2033</v>
      </c>
      <c r="Y299" s="1">
        <v>0.48</v>
      </c>
      <c r="AA299" s="1">
        <v>0.65</v>
      </c>
      <c r="AB299" s="1">
        <v>3.74</v>
      </c>
      <c r="AE299" s="1">
        <v>0.7</v>
      </c>
      <c r="AF299" s="1">
        <v>6.97</v>
      </c>
      <c r="AI299" s="1">
        <v>7</v>
      </c>
      <c r="AJ299" s="1" t="s">
        <v>2033</v>
      </c>
      <c r="AK299" s="1">
        <v>2</v>
      </c>
      <c r="AL299" s="1">
        <v>92.976600000000005</v>
      </c>
      <c r="AM299" s="1" t="s">
        <v>2033</v>
      </c>
      <c r="AP299" s="1" t="s">
        <v>2034</v>
      </c>
      <c r="AR299" s="1">
        <v>8.15</v>
      </c>
      <c r="AT299" s="1">
        <v>10</v>
      </c>
    </row>
    <row r="300" spans="1:46">
      <c r="A300" s="1" t="s">
        <v>2039</v>
      </c>
      <c r="C300" s="1" t="s">
        <v>2039</v>
      </c>
      <c r="D300" s="1" t="s">
        <v>2040</v>
      </c>
      <c r="E300" s="1" t="s">
        <v>1466</v>
      </c>
      <c r="F300" s="1" t="s">
        <v>2021</v>
      </c>
      <c r="G300" s="1" t="s">
        <v>49</v>
      </c>
      <c r="H300" s="2" t="s">
        <v>2041</v>
      </c>
      <c r="I300" s="1">
        <v>35</v>
      </c>
      <c r="J300" s="1">
        <v>0.2</v>
      </c>
      <c r="L300" s="1" t="s">
        <v>65</v>
      </c>
      <c r="M300" s="1">
        <v>20.87</v>
      </c>
      <c r="N300" s="1">
        <v>41</v>
      </c>
      <c r="O300" s="1">
        <v>72.109740000000002</v>
      </c>
      <c r="P300" s="1">
        <v>-162.92437000000001</v>
      </c>
      <c r="Q300" s="1">
        <v>4.74885</v>
      </c>
      <c r="R300" s="1">
        <v>31.7193</v>
      </c>
      <c r="S300" s="1">
        <v>318.33449999999999</v>
      </c>
      <c r="T300" s="1">
        <v>61.416895019999998</v>
      </c>
      <c r="U300" s="1">
        <v>9.5051325389999999</v>
      </c>
      <c r="W300" s="3">
        <v>0.83699999999999997</v>
      </c>
      <c r="X300" s="1" t="s">
        <v>2042</v>
      </c>
      <c r="Y300" s="1">
        <v>0.86</v>
      </c>
      <c r="AA300" s="1">
        <v>0.53</v>
      </c>
      <c r="AB300" s="1">
        <v>4.7699999999999996</v>
      </c>
      <c r="AE300" s="1">
        <v>0.57999999999999996</v>
      </c>
      <c r="AF300" s="1">
        <v>2.72</v>
      </c>
      <c r="AI300" s="1">
        <v>5</v>
      </c>
      <c r="AJ300" s="1" t="s">
        <v>2042</v>
      </c>
      <c r="AK300" s="1">
        <v>2.5</v>
      </c>
      <c r="AL300" s="1">
        <v>92.790599999999998</v>
      </c>
      <c r="AM300" s="1" t="s">
        <v>2042</v>
      </c>
      <c r="AN300" s="1">
        <v>6.46144541046678</v>
      </c>
      <c r="AO300" s="1">
        <v>0.97531251478743897</v>
      </c>
      <c r="AP300" s="1" t="s">
        <v>2043</v>
      </c>
      <c r="AR300" s="1">
        <v>8.15</v>
      </c>
      <c r="AT300" s="1">
        <v>20</v>
      </c>
    </row>
    <row r="301" spans="1:46">
      <c r="A301" s="1" t="s">
        <v>2044</v>
      </c>
      <c r="C301" s="1" t="s">
        <v>2044</v>
      </c>
      <c r="D301" s="1" t="s">
        <v>2045</v>
      </c>
      <c r="E301" s="1" t="s">
        <v>1466</v>
      </c>
      <c r="F301" s="1" t="s">
        <v>2021</v>
      </c>
      <c r="G301" s="1" t="s">
        <v>49</v>
      </c>
      <c r="H301" s="2" t="s">
        <v>2041</v>
      </c>
      <c r="I301" s="1">
        <v>35</v>
      </c>
      <c r="J301" s="1">
        <v>3</v>
      </c>
      <c r="L301" s="1" t="s">
        <v>65</v>
      </c>
      <c r="M301" s="1">
        <v>20.87</v>
      </c>
      <c r="N301" s="1">
        <v>41</v>
      </c>
      <c r="O301" s="1">
        <v>72.109740000000002</v>
      </c>
      <c r="P301" s="1">
        <v>-162.92437000000001</v>
      </c>
      <c r="Q301" s="1">
        <v>4.74885</v>
      </c>
      <c r="R301" s="1">
        <v>31.7193</v>
      </c>
      <c r="S301" s="1">
        <v>318.33449999999999</v>
      </c>
      <c r="T301" s="1">
        <v>61.416895019999998</v>
      </c>
      <c r="U301" s="1">
        <v>9.5051325389999999</v>
      </c>
      <c r="W301" s="3">
        <v>0.83699999999999997</v>
      </c>
      <c r="X301" s="1" t="s">
        <v>2042</v>
      </c>
      <c r="Y301" s="1">
        <v>0.86</v>
      </c>
      <c r="AA301" s="1">
        <v>0.53</v>
      </c>
      <c r="AB301" s="1">
        <v>4.7699999999999996</v>
      </c>
      <c r="AE301" s="1">
        <v>0.57999999999999996</v>
      </c>
      <c r="AF301" s="1">
        <v>2.72</v>
      </c>
      <c r="AI301" s="1">
        <v>5</v>
      </c>
      <c r="AJ301" s="1" t="s">
        <v>2042</v>
      </c>
      <c r="AK301" s="1">
        <v>2.5</v>
      </c>
      <c r="AL301" s="1">
        <v>92.790599999999998</v>
      </c>
      <c r="AM301" s="1" t="s">
        <v>2042</v>
      </c>
      <c r="AN301" s="1">
        <v>6.46144541046678</v>
      </c>
      <c r="AO301" s="1">
        <v>0.97531251478743897</v>
      </c>
      <c r="AP301" s="1" t="s">
        <v>2043</v>
      </c>
      <c r="AR301" s="1">
        <v>8.15</v>
      </c>
      <c r="AT301" s="1">
        <v>20</v>
      </c>
    </row>
    <row r="302" spans="1:46">
      <c r="A302" s="1" t="s">
        <v>2046</v>
      </c>
      <c r="C302" s="1" t="s">
        <v>2046</v>
      </c>
      <c r="D302" s="1" t="s">
        <v>2047</v>
      </c>
      <c r="E302" s="1" t="s">
        <v>1466</v>
      </c>
      <c r="F302" s="1" t="s">
        <v>2021</v>
      </c>
      <c r="G302" s="1" t="s">
        <v>49</v>
      </c>
      <c r="H302" s="2" t="s">
        <v>2041</v>
      </c>
      <c r="I302" s="1">
        <v>35</v>
      </c>
      <c r="J302" s="1">
        <v>20</v>
      </c>
      <c r="L302" s="1" t="s">
        <v>65</v>
      </c>
      <c r="M302" s="1">
        <v>20.87</v>
      </c>
      <c r="N302" s="1">
        <v>41</v>
      </c>
      <c r="O302" s="1">
        <v>72.109740000000002</v>
      </c>
      <c r="P302" s="1">
        <v>-162.92437000000001</v>
      </c>
      <c r="Q302" s="1">
        <v>4.74885</v>
      </c>
      <c r="R302" s="1">
        <v>31.7193</v>
      </c>
      <c r="S302" s="1">
        <v>318.33449999999999</v>
      </c>
      <c r="T302" s="1">
        <v>61.416895019999998</v>
      </c>
      <c r="U302" s="1">
        <v>9.5051325389999999</v>
      </c>
      <c r="W302" s="3">
        <v>0.83699999999999997</v>
      </c>
      <c r="X302" s="1" t="s">
        <v>2042</v>
      </c>
      <c r="Y302" s="1">
        <v>0.86</v>
      </c>
      <c r="AA302" s="1">
        <v>0.53</v>
      </c>
      <c r="AB302" s="1">
        <v>4.7699999999999996</v>
      </c>
      <c r="AE302" s="1">
        <v>0.57999999999999996</v>
      </c>
      <c r="AF302" s="1">
        <v>2.72</v>
      </c>
      <c r="AI302" s="1">
        <v>5</v>
      </c>
      <c r="AJ302" s="1" t="s">
        <v>2042</v>
      </c>
      <c r="AK302" s="1">
        <v>2.5</v>
      </c>
      <c r="AL302" s="1">
        <v>92.790599999999998</v>
      </c>
      <c r="AM302" s="1" t="s">
        <v>2042</v>
      </c>
      <c r="AN302" s="1">
        <v>6.46144541046678</v>
      </c>
      <c r="AO302" s="1">
        <v>0.97531251478743897</v>
      </c>
      <c r="AP302" s="1" t="s">
        <v>2043</v>
      </c>
      <c r="AR302" s="1">
        <v>8.15</v>
      </c>
      <c r="AT302" s="1">
        <v>20</v>
      </c>
    </row>
    <row r="303" spans="1:46">
      <c r="A303" s="1" t="s">
        <v>2048</v>
      </c>
      <c r="C303" s="1" t="s">
        <v>2048</v>
      </c>
      <c r="D303" s="1" t="s">
        <v>2049</v>
      </c>
      <c r="E303" s="1" t="s">
        <v>1466</v>
      </c>
      <c r="F303" s="1" t="s">
        <v>2021</v>
      </c>
      <c r="G303" s="1" t="s">
        <v>49</v>
      </c>
      <c r="H303" s="2" t="s">
        <v>2050</v>
      </c>
      <c r="I303" s="1">
        <v>35</v>
      </c>
      <c r="J303" s="1">
        <v>0.2</v>
      </c>
      <c r="K303" s="1" t="s">
        <v>1488</v>
      </c>
      <c r="L303" s="1" t="s">
        <v>65</v>
      </c>
      <c r="M303" s="1">
        <v>29.308</v>
      </c>
      <c r="N303" s="1">
        <v>41</v>
      </c>
      <c r="O303" s="1">
        <v>72.109819999999999</v>
      </c>
      <c r="P303" s="1">
        <v>-162.9238</v>
      </c>
      <c r="Q303" s="1">
        <v>0.68210000000000004</v>
      </c>
      <c r="R303" s="1">
        <v>32.008249999999997</v>
      </c>
      <c r="S303" s="1">
        <v>324.8125</v>
      </c>
      <c r="W303" s="3">
        <v>1.024</v>
      </c>
      <c r="X303" s="1" t="s">
        <v>2051</v>
      </c>
      <c r="Y303" s="1">
        <v>1.75</v>
      </c>
      <c r="AA303" s="1">
        <v>0.88</v>
      </c>
      <c r="AB303" s="1">
        <v>4.66</v>
      </c>
      <c r="AE303" s="1">
        <v>1.27</v>
      </c>
      <c r="AF303" s="1">
        <v>2.79</v>
      </c>
      <c r="AI303" s="1">
        <v>3</v>
      </c>
      <c r="AJ303" s="1" t="s">
        <v>2051</v>
      </c>
      <c r="AK303" s="1">
        <v>2</v>
      </c>
      <c r="AL303" s="1">
        <v>75.866900000000001</v>
      </c>
      <c r="AM303" s="1" t="s">
        <v>2051</v>
      </c>
      <c r="AP303" s="1" t="s">
        <v>2052</v>
      </c>
      <c r="AR303" s="1">
        <v>8.15</v>
      </c>
      <c r="AS303" s="1" t="s">
        <v>2053</v>
      </c>
      <c r="AT303" s="1">
        <v>30</v>
      </c>
    </row>
    <row r="304" spans="1:46">
      <c r="A304" s="1" t="s">
        <v>2054</v>
      </c>
      <c r="C304" s="1" t="s">
        <v>2054</v>
      </c>
      <c r="D304" s="1" t="s">
        <v>2055</v>
      </c>
      <c r="E304" s="1" t="s">
        <v>1466</v>
      </c>
      <c r="F304" s="1" t="s">
        <v>2021</v>
      </c>
      <c r="G304" s="1" t="s">
        <v>49</v>
      </c>
      <c r="H304" s="2" t="s">
        <v>2050</v>
      </c>
      <c r="I304" s="1">
        <v>35</v>
      </c>
      <c r="J304" s="1">
        <v>3</v>
      </c>
      <c r="K304" s="1" t="s">
        <v>1488</v>
      </c>
      <c r="L304" s="1" t="s">
        <v>65</v>
      </c>
      <c r="M304" s="1">
        <v>29.308</v>
      </c>
      <c r="N304" s="1">
        <v>41</v>
      </c>
      <c r="O304" s="1">
        <v>72.109819999999999</v>
      </c>
      <c r="P304" s="1">
        <v>-162.9238</v>
      </c>
      <c r="Q304" s="1">
        <v>0.68210000000000004</v>
      </c>
      <c r="R304" s="1">
        <v>32.008249999999997</v>
      </c>
      <c r="S304" s="1">
        <v>324.8125</v>
      </c>
      <c r="W304" s="3">
        <v>1.024</v>
      </c>
      <c r="X304" s="1" t="s">
        <v>2051</v>
      </c>
      <c r="Y304" s="1">
        <v>1.75</v>
      </c>
      <c r="AA304" s="1">
        <v>0.88</v>
      </c>
      <c r="AB304" s="1">
        <v>4.66</v>
      </c>
      <c r="AE304" s="1">
        <v>1.27</v>
      </c>
      <c r="AF304" s="1">
        <v>2.79</v>
      </c>
      <c r="AI304" s="1">
        <v>3</v>
      </c>
      <c r="AJ304" s="1" t="s">
        <v>2051</v>
      </c>
      <c r="AK304" s="1">
        <v>2</v>
      </c>
      <c r="AL304" s="1">
        <v>75.866900000000001</v>
      </c>
      <c r="AM304" s="1" t="s">
        <v>2051</v>
      </c>
      <c r="AP304" s="1" t="s">
        <v>2052</v>
      </c>
      <c r="AR304" s="1">
        <v>8.15</v>
      </c>
      <c r="AT304" s="1">
        <v>30</v>
      </c>
    </row>
    <row r="305" spans="1:46">
      <c r="A305" s="1" t="s">
        <v>2056</v>
      </c>
      <c r="C305" s="1" t="s">
        <v>2056</v>
      </c>
      <c r="D305" s="1" t="s">
        <v>2057</v>
      </c>
      <c r="E305" s="1" t="s">
        <v>1466</v>
      </c>
      <c r="F305" s="1" t="s">
        <v>2021</v>
      </c>
      <c r="G305" s="1" t="s">
        <v>49</v>
      </c>
      <c r="H305" s="2" t="s">
        <v>2050</v>
      </c>
      <c r="I305" s="1">
        <v>35</v>
      </c>
      <c r="J305" s="1">
        <v>20</v>
      </c>
      <c r="K305" s="1" t="s">
        <v>1488</v>
      </c>
      <c r="L305" s="1" t="s">
        <v>65</v>
      </c>
      <c r="M305" s="1">
        <v>29.308</v>
      </c>
      <c r="N305" s="1">
        <v>41</v>
      </c>
      <c r="O305" s="1">
        <v>72.109819999999999</v>
      </c>
      <c r="P305" s="1">
        <v>-162.9238</v>
      </c>
      <c r="Q305" s="1">
        <v>0.68210000000000004</v>
      </c>
      <c r="R305" s="1">
        <v>32.008249999999997</v>
      </c>
      <c r="S305" s="1">
        <v>324.8125</v>
      </c>
      <c r="W305" s="3">
        <v>1.024</v>
      </c>
      <c r="X305" s="1" t="s">
        <v>2051</v>
      </c>
      <c r="Y305" s="1">
        <v>1.75</v>
      </c>
      <c r="AA305" s="1">
        <v>0.88</v>
      </c>
      <c r="AB305" s="1">
        <v>4.66</v>
      </c>
      <c r="AE305" s="1">
        <v>1.27</v>
      </c>
      <c r="AF305" s="1">
        <v>2.79</v>
      </c>
      <c r="AI305" s="1">
        <v>3</v>
      </c>
      <c r="AJ305" s="1" t="s">
        <v>2051</v>
      </c>
      <c r="AK305" s="1">
        <v>2</v>
      </c>
      <c r="AL305" s="1">
        <v>75.866900000000001</v>
      </c>
      <c r="AM305" s="1" t="s">
        <v>2051</v>
      </c>
      <c r="AP305" s="1" t="s">
        <v>2052</v>
      </c>
      <c r="AR305" s="1">
        <v>8.15</v>
      </c>
      <c r="AT305" s="1">
        <v>30</v>
      </c>
    </row>
    <row r="306" spans="1:46">
      <c r="A306" s="1" t="s">
        <v>2058</v>
      </c>
      <c r="C306" s="1" t="s">
        <v>2058</v>
      </c>
      <c r="D306" s="1" t="s">
        <v>2059</v>
      </c>
      <c r="E306" s="1" t="s">
        <v>1466</v>
      </c>
      <c r="F306" s="1" t="s">
        <v>2021</v>
      </c>
      <c r="G306" s="1" t="s">
        <v>49</v>
      </c>
      <c r="H306" s="2" t="s">
        <v>2060</v>
      </c>
      <c r="I306" s="1">
        <v>35</v>
      </c>
      <c r="J306" s="1">
        <v>0.2</v>
      </c>
      <c r="K306" s="1" t="s">
        <v>78</v>
      </c>
      <c r="L306" s="1" t="s">
        <v>78</v>
      </c>
      <c r="M306" s="1">
        <v>34.515999999999998</v>
      </c>
      <c r="N306" s="1">
        <v>41</v>
      </c>
      <c r="O306" s="1">
        <v>72.109880000000004</v>
      </c>
      <c r="P306" s="1">
        <v>-162.92305999999999</v>
      </c>
      <c r="Q306" s="1">
        <v>9.0249999999999997E-2</v>
      </c>
      <c r="R306" s="1">
        <v>32.39705</v>
      </c>
      <c r="S306" s="1">
        <v>313.97199999999998</v>
      </c>
      <c r="T306" s="1">
        <v>128.76739989999999</v>
      </c>
      <c r="U306" s="1">
        <v>20.62719693</v>
      </c>
      <c r="V306" s="1">
        <v>2700</v>
      </c>
      <c r="W306" s="3">
        <v>0.68700000000000006</v>
      </c>
      <c r="X306" s="1" t="s">
        <v>2061</v>
      </c>
      <c r="Y306" s="1">
        <v>1.71</v>
      </c>
      <c r="AA306" s="1">
        <v>1.41</v>
      </c>
      <c r="AB306" s="1">
        <v>10.09</v>
      </c>
      <c r="AE306" s="1">
        <v>3.43</v>
      </c>
      <c r="AF306" s="1">
        <v>6.14</v>
      </c>
      <c r="AI306" s="1">
        <v>1</v>
      </c>
      <c r="AJ306" s="1" t="s">
        <v>2061</v>
      </c>
      <c r="AK306" s="1">
        <v>2</v>
      </c>
      <c r="AL306" s="1">
        <v>50.273400000000002</v>
      </c>
      <c r="AM306" s="1" t="s">
        <v>2061</v>
      </c>
      <c r="AN306" s="1">
        <v>6.2426029254959898</v>
      </c>
      <c r="AO306" s="1">
        <v>0.94227968686732</v>
      </c>
      <c r="AP306" s="1" t="s">
        <v>2062</v>
      </c>
      <c r="AQ306" s="1">
        <v>-1.36</v>
      </c>
      <c r="AR306" s="1">
        <v>8.15</v>
      </c>
      <c r="AS306" s="1" t="s">
        <v>2063</v>
      </c>
      <c r="AT306" s="1">
        <v>35</v>
      </c>
    </row>
    <row r="307" spans="1:46">
      <c r="A307" s="1" t="s">
        <v>2064</v>
      </c>
      <c r="C307" s="1" t="s">
        <v>2064</v>
      </c>
      <c r="D307" s="1" t="s">
        <v>2065</v>
      </c>
      <c r="E307" s="1" t="s">
        <v>1466</v>
      </c>
      <c r="F307" s="1" t="s">
        <v>2021</v>
      </c>
      <c r="G307" s="1" t="s">
        <v>49</v>
      </c>
      <c r="H307" s="2" t="s">
        <v>2060</v>
      </c>
      <c r="I307" s="1">
        <v>35</v>
      </c>
      <c r="J307" s="1">
        <v>3</v>
      </c>
      <c r="K307" s="1" t="s">
        <v>78</v>
      </c>
      <c r="L307" s="1" t="s">
        <v>78</v>
      </c>
      <c r="M307" s="1">
        <v>34.515999999999998</v>
      </c>
      <c r="N307" s="1">
        <v>41</v>
      </c>
      <c r="O307" s="1">
        <v>72.109880000000004</v>
      </c>
      <c r="P307" s="1">
        <v>-162.92305999999999</v>
      </c>
      <c r="Q307" s="1">
        <v>9.0249999999999997E-2</v>
      </c>
      <c r="R307" s="1">
        <v>32.39705</v>
      </c>
      <c r="S307" s="1">
        <v>313.97199999999998</v>
      </c>
      <c r="T307" s="1">
        <v>128.76739989999999</v>
      </c>
      <c r="U307" s="1">
        <v>20.62719693</v>
      </c>
      <c r="V307" s="1">
        <v>2700</v>
      </c>
      <c r="W307" s="3">
        <v>0.68700000000000006</v>
      </c>
      <c r="X307" s="1" t="s">
        <v>2061</v>
      </c>
      <c r="Y307" s="1">
        <v>1.71</v>
      </c>
      <c r="AA307" s="1">
        <v>1.41</v>
      </c>
      <c r="AB307" s="1">
        <v>10.09</v>
      </c>
      <c r="AE307" s="1">
        <v>3.43</v>
      </c>
      <c r="AF307" s="1">
        <v>6.14</v>
      </c>
      <c r="AI307" s="1">
        <v>1</v>
      </c>
      <c r="AJ307" s="1" t="s">
        <v>2061</v>
      </c>
      <c r="AK307" s="1">
        <v>2</v>
      </c>
      <c r="AL307" s="1">
        <v>50.273400000000002</v>
      </c>
      <c r="AM307" s="1" t="s">
        <v>2061</v>
      </c>
      <c r="AN307" s="1">
        <v>6.2426029254959898</v>
      </c>
      <c r="AO307" s="1">
        <v>0.94227968686732</v>
      </c>
      <c r="AP307" s="1" t="s">
        <v>2062</v>
      </c>
      <c r="AQ307" s="1">
        <v>-1.36</v>
      </c>
      <c r="AR307" s="1">
        <v>8.15</v>
      </c>
      <c r="AT307" s="1">
        <v>35</v>
      </c>
    </row>
    <row r="308" spans="1:46">
      <c r="A308" s="1" t="s">
        <v>2066</v>
      </c>
      <c r="C308" s="1" t="s">
        <v>2066</v>
      </c>
      <c r="D308" s="1" t="s">
        <v>2067</v>
      </c>
      <c r="E308" s="1" t="s">
        <v>1466</v>
      </c>
      <c r="F308" s="1" t="s">
        <v>2021</v>
      </c>
      <c r="G308" s="1" t="s">
        <v>49</v>
      </c>
      <c r="H308" s="2" t="s">
        <v>2060</v>
      </c>
      <c r="I308" s="1">
        <v>35</v>
      </c>
      <c r="J308" s="1">
        <v>20</v>
      </c>
      <c r="K308" s="1" t="s">
        <v>78</v>
      </c>
      <c r="L308" s="1" t="s">
        <v>78</v>
      </c>
      <c r="M308" s="1">
        <v>34.515999999999998</v>
      </c>
      <c r="N308" s="1">
        <v>41</v>
      </c>
      <c r="O308" s="1">
        <v>72.109880000000004</v>
      </c>
      <c r="P308" s="1">
        <v>-162.92305999999999</v>
      </c>
      <c r="Q308" s="1">
        <v>9.0249999999999997E-2</v>
      </c>
      <c r="R308" s="1">
        <v>32.39705</v>
      </c>
      <c r="S308" s="1">
        <v>313.97199999999998</v>
      </c>
      <c r="T308" s="1">
        <v>128.76739989999999</v>
      </c>
      <c r="U308" s="1">
        <v>20.62719693</v>
      </c>
      <c r="V308" s="1">
        <v>2700</v>
      </c>
      <c r="W308" s="3">
        <v>0.68700000000000006</v>
      </c>
      <c r="X308" s="1" t="s">
        <v>2061</v>
      </c>
      <c r="Y308" s="1">
        <v>1.71</v>
      </c>
      <c r="AA308" s="1">
        <v>1.41</v>
      </c>
      <c r="AB308" s="1">
        <v>10.09</v>
      </c>
      <c r="AE308" s="1">
        <v>3.43</v>
      </c>
      <c r="AF308" s="1">
        <v>6.14</v>
      </c>
      <c r="AI308" s="1">
        <v>1</v>
      </c>
      <c r="AJ308" s="1" t="s">
        <v>2061</v>
      </c>
      <c r="AK308" s="1">
        <v>2</v>
      </c>
      <c r="AL308" s="1">
        <v>50.273400000000002</v>
      </c>
      <c r="AM308" s="1" t="s">
        <v>2061</v>
      </c>
      <c r="AN308" s="1">
        <v>6.2426029254959898</v>
      </c>
      <c r="AO308" s="1">
        <v>0.94227968686732</v>
      </c>
      <c r="AP308" s="1" t="s">
        <v>2062</v>
      </c>
      <c r="AQ308" s="1">
        <v>-1.36</v>
      </c>
      <c r="AR308" s="1">
        <v>8.15</v>
      </c>
      <c r="AT308" s="1">
        <v>35</v>
      </c>
    </row>
    <row r="309" spans="1:46">
      <c r="A309" s="1" t="s">
        <v>2068</v>
      </c>
      <c r="C309" s="1" t="s">
        <v>2068</v>
      </c>
      <c r="D309" s="1" t="s">
        <v>2069</v>
      </c>
      <c r="E309" s="1" t="s">
        <v>1466</v>
      </c>
      <c r="F309" s="1" t="s">
        <v>2070</v>
      </c>
      <c r="G309" s="1" t="s">
        <v>49</v>
      </c>
      <c r="H309" s="2" t="s">
        <v>2071</v>
      </c>
      <c r="I309" s="1">
        <v>36</v>
      </c>
      <c r="J309" s="1">
        <v>0.2</v>
      </c>
      <c r="K309" s="1" t="s">
        <v>52</v>
      </c>
      <c r="L309" s="1" t="s">
        <v>52</v>
      </c>
      <c r="M309" s="1">
        <v>5.1980000000000004</v>
      </c>
      <c r="N309" s="1">
        <v>41</v>
      </c>
      <c r="O309" s="1">
        <v>72.238020000000006</v>
      </c>
      <c r="P309" s="1">
        <v>-163.32378</v>
      </c>
      <c r="Q309" s="1">
        <v>5.0945499999999999</v>
      </c>
      <c r="R309" s="1">
        <v>31.45795</v>
      </c>
      <c r="S309" s="1">
        <v>310.791</v>
      </c>
      <c r="T309" s="1">
        <v>73.056776400000004</v>
      </c>
      <c r="U309" s="1">
        <v>9.9591146889999997</v>
      </c>
      <c r="V309" s="1">
        <v>8900</v>
      </c>
      <c r="W309" s="3">
        <v>0.17499999999999999</v>
      </c>
      <c r="X309" s="1" t="s">
        <v>2072</v>
      </c>
      <c r="Y309" s="1">
        <v>0.38</v>
      </c>
      <c r="AA309" s="1">
        <v>0.55000000000000004</v>
      </c>
      <c r="AB309" s="1">
        <v>3.57</v>
      </c>
      <c r="AE309" s="1">
        <v>0.38</v>
      </c>
      <c r="AF309" s="1">
        <v>9.3699999999999992</v>
      </c>
      <c r="AI309" s="1">
        <v>11</v>
      </c>
      <c r="AJ309" s="1" t="s">
        <v>2072</v>
      </c>
      <c r="AK309" s="1">
        <v>3</v>
      </c>
      <c r="AL309" s="1">
        <v>93.771299999999997</v>
      </c>
      <c r="AM309" s="1" t="s">
        <v>2072</v>
      </c>
      <c r="AN309" s="1">
        <v>7.3356697539282703</v>
      </c>
      <c r="AO309" s="1">
        <v>1.1072709062533199</v>
      </c>
      <c r="AP309" s="1" t="s">
        <v>2073</v>
      </c>
      <c r="AQ309" s="1">
        <v>-1.73</v>
      </c>
      <c r="AR309" s="1">
        <v>8.3800000000000008</v>
      </c>
      <c r="AT309" s="1">
        <v>5</v>
      </c>
    </row>
    <row r="310" spans="1:46">
      <c r="A310" s="1" t="s">
        <v>2074</v>
      </c>
      <c r="C310" s="1" t="s">
        <v>2074</v>
      </c>
      <c r="D310" s="1" t="s">
        <v>2075</v>
      </c>
      <c r="E310" s="1" t="s">
        <v>1466</v>
      </c>
      <c r="F310" s="1" t="s">
        <v>2070</v>
      </c>
      <c r="G310" s="1" t="s">
        <v>49</v>
      </c>
      <c r="H310" s="2" t="s">
        <v>2071</v>
      </c>
      <c r="I310" s="1">
        <v>36</v>
      </c>
      <c r="J310" s="1">
        <v>3</v>
      </c>
      <c r="K310" s="1" t="s">
        <v>52</v>
      </c>
      <c r="L310" s="1" t="s">
        <v>52</v>
      </c>
      <c r="M310" s="1">
        <v>5.1980000000000004</v>
      </c>
      <c r="N310" s="1">
        <v>41</v>
      </c>
      <c r="O310" s="1">
        <v>72.238020000000006</v>
      </c>
      <c r="P310" s="1">
        <v>-163.32378</v>
      </c>
      <c r="Q310" s="1">
        <v>5.0945499999999999</v>
      </c>
      <c r="R310" s="1">
        <v>31.45795</v>
      </c>
      <c r="S310" s="1">
        <v>310.791</v>
      </c>
      <c r="T310" s="1">
        <v>73.056776400000004</v>
      </c>
      <c r="U310" s="1">
        <v>9.9591146889999997</v>
      </c>
      <c r="V310" s="1">
        <v>8900</v>
      </c>
      <c r="W310" s="3">
        <v>0.17499999999999999</v>
      </c>
      <c r="X310" s="1" t="s">
        <v>2072</v>
      </c>
      <c r="Y310" s="1">
        <v>0.38</v>
      </c>
      <c r="AA310" s="1">
        <v>0.55000000000000004</v>
      </c>
      <c r="AB310" s="1">
        <v>3.57</v>
      </c>
      <c r="AE310" s="1">
        <v>0.38</v>
      </c>
      <c r="AF310" s="1">
        <v>9.3699999999999992</v>
      </c>
      <c r="AI310" s="1">
        <v>11</v>
      </c>
      <c r="AJ310" s="1" t="s">
        <v>2072</v>
      </c>
      <c r="AK310" s="1">
        <v>3</v>
      </c>
      <c r="AL310" s="1">
        <v>93.771299999999997</v>
      </c>
      <c r="AM310" s="1" t="s">
        <v>2072</v>
      </c>
      <c r="AN310" s="1">
        <v>7.3356697539282703</v>
      </c>
      <c r="AO310" s="1">
        <v>1.1072709062533199</v>
      </c>
      <c r="AP310" s="1" t="s">
        <v>2073</v>
      </c>
      <c r="AQ310" s="1">
        <v>-1.73</v>
      </c>
      <c r="AR310" s="1">
        <v>8.3800000000000008</v>
      </c>
      <c r="AT310" s="1">
        <v>5</v>
      </c>
    </row>
    <row r="311" spans="1:46">
      <c r="A311" s="1" t="s">
        <v>2076</v>
      </c>
      <c r="C311" s="1" t="s">
        <v>2076</v>
      </c>
      <c r="D311" s="1" t="s">
        <v>2077</v>
      </c>
      <c r="E311" s="1" t="s">
        <v>1466</v>
      </c>
      <c r="F311" s="1" t="s">
        <v>2070</v>
      </c>
      <c r="G311" s="1" t="s">
        <v>49</v>
      </c>
      <c r="H311" s="2" t="s">
        <v>2071</v>
      </c>
      <c r="I311" s="1">
        <v>36</v>
      </c>
      <c r="J311" s="1">
        <v>20</v>
      </c>
      <c r="K311" s="1" t="s">
        <v>52</v>
      </c>
      <c r="L311" s="1" t="s">
        <v>52</v>
      </c>
      <c r="M311" s="1">
        <v>5.1980000000000004</v>
      </c>
      <c r="N311" s="1">
        <v>41</v>
      </c>
      <c r="O311" s="1">
        <v>72.238020000000006</v>
      </c>
      <c r="P311" s="1">
        <v>-163.32378</v>
      </c>
      <c r="Q311" s="1">
        <v>5.0945499999999999</v>
      </c>
      <c r="R311" s="1">
        <v>31.45795</v>
      </c>
      <c r="S311" s="1">
        <v>310.791</v>
      </c>
      <c r="T311" s="1">
        <v>73.056776400000004</v>
      </c>
      <c r="U311" s="1">
        <v>9.9591146889999997</v>
      </c>
      <c r="V311" s="1">
        <v>8900</v>
      </c>
      <c r="W311" s="3">
        <v>0.17499999999999999</v>
      </c>
      <c r="X311" s="1" t="s">
        <v>2072</v>
      </c>
      <c r="Y311" s="1">
        <v>0.38</v>
      </c>
      <c r="AA311" s="1">
        <v>0.55000000000000004</v>
      </c>
      <c r="AB311" s="1">
        <v>3.57</v>
      </c>
      <c r="AE311" s="1">
        <v>0.38</v>
      </c>
      <c r="AF311" s="1">
        <v>9.3699999999999992</v>
      </c>
      <c r="AI311" s="1">
        <v>11</v>
      </c>
      <c r="AJ311" s="1" t="s">
        <v>2072</v>
      </c>
      <c r="AK311" s="1">
        <v>3</v>
      </c>
      <c r="AL311" s="1">
        <v>93.771299999999997</v>
      </c>
      <c r="AM311" s="1" t="s">
        <v>2072</v>
      </c>
      <c r="AN311" s="1">
        <v>7.3356697539282703</v>
      </c>
      <c r="AO311" s="1">
        <v>1.1072709062533199</v>
      </c>
      <c r="AP311" s="1" t="s">
        <v>2073</v>
      </c>
      <c r="AQ311" s="1">
        <v>-1.73</v>
      </c>
      <c r="AR311" s="1">
        <v>8.3800000000000008</v>
      </c>
      <c r="AT311" s="1">
        <v>5</v>
      </c>
    </row>
    <row r="312" spans="1:46">
      <c r="A312" s="1" t="s">
        <v>2078</v>
      </c>
      <c r="C312" s="1" t="s">
        <v>2078</v>
      </c>
      <c r="D312" s="1" t="s">
        <v>2079</v>
      </c>
      <c r="E312" s="1" t="s">
        <v>1466</v>
      </c>
      <c r="F312" s="1" t="s">
        <v>2070</v>
      </c>
      <c r="G312" s="1" t="s">
        <v>49</v>
      </c>
      <c r="H312" s="2" t="s">
        <v>2080</v>
      </c>
      <c r="I312" s="1">
        <v>36</v>
      </c>
      <c r="J312" s="1">
        <v>0.2</v>
      </c>
      <c r="L312" s="1" t="s">
        <v>65</v>
      </c>
      <c r="M312" s="1">
        <v>20.198</v>
      </c>
      <c r="N312" s="1">
        <v>41</v>
      </c>
      <c r="O312" s="1">
        <v>72.238439999999997</v>
      </c>
      <c r="P312" s="1">
        <v>-163.32189</v>
      </c>
      <c r="Q312" s="1">
        <v>5.5505000000000004</v>
      </c>
      <c r="R312" s="1">
        <v>31.75705</v>
      </c>
      <c r="S312" s="1">
        <v>308.08850000000001</v>
      </c>
      <c r="T312" s="1">
        <v>232.7754415</v>
      </c>
      <c r="U312" s="1">
        <v>37.694659420000001</v>
      </c>
      <c r="V312" s="1">
        <v>4147.0588239999997</v>
      </c>
      <c r="W312" s="3">
        <v>0.41</v>
      </c>
      <c r="X312" s="1" t="s">
        <v>2081</v>
      </c>
      <c r="Y312" s="1">
        <v>0.38</v>
      </c>
      <c r="AA312" s="1">
        <v>0.43</v>
      </c>
      <c r="AB312" s="1">
        <v>1.78</v>
      </c>
      <c r="AE312" s="1">
        <v>0.75</v>
      </c>
      <c r="AF312" s="1">
        <v>6.94</v>
      </c>
      <c r="AI312" s="1">
        <v>7</v>
      </c>
      <c r="AJ312" s="1" t="s">
        <v>2081</v>
      </c>
      <c r="AK312" s="1">
        <v>3</v>
      </c>
      <c r="AL312" s="1">
        <v>93.918800000000005</v>
      </c>
      <c r="AM312" s="1" t="s">
        <v>2081</v>
      </c>
      <c r="AN312" s="1">
        <v>6.1752896851083996</v>
      </c>
      <c r="AO312" s="1">
        <v>0.93211919775221097</v>
      </c>
      <c r="AP312" s="1" t="s">
        <v>2082</v>
      </c>
      <c r="AR312" s="1">
        <v>8.3800000000000008</v>
      </c>
      <c r="AT312" s="1">
        <v>20</v>
      </c>
    </row>
    <row r="313" spans="1:46">
      <c r="A313" s="1" t="s">
        <v>2083</v>
      </c>
      <c r="C313" s="1" t="s">
        <v>2083</v>
      </c>
      <c r="D313" s="1" t="s">
        <v>2084</v>
      </c>
      <c r="E313" s="1" t="s">
        <v>1466</v>
      </c>
      <c r="F313" s="1" t="s">
        <v>2070</v>
      </c>
      <c r="G313" s="1" t="s">
        <v>49</v>
      </c>
      <c r="H313" s="2" t="s">
        <v>2080</v>
      </c>
      <c r="I313" s="1">
        <v>36</v>
      </c>
      <c r="J313" s="1">
        <v>3</v>
      </c>
      <c r="L313" s="1" t="s">
        <v>65</v>
      </c>
      <c r="M313" s="1">
        <v>20.198</v>
      </c>
      <c r="N313" s="1">
        <v>41</v>
      </c>
      <c r="O313" s="1">
        <v>72.238439999999997</v>
      </c>
      <c r="P313" s="1">
        <v>-163.32189</v>
      </c>
      <c r="Q313" s="1">
        <v>5.5505000000000004</v>
      </c>
      <c r="R313" s="1">
        <v>31.75705</v>
      </c>
      <c r="S313" s="1">
        <v>308.08850000000001</v>
      </c>
      <c r="T313" s="1">
        <v>232.7754415</v>
      </c>
      <c r="U313" s="1">
        <v>37.694659420000001</v>
      </c>
      <c r="V313" s="1">
        <v>4147.0588239999997</v>
      </c>
      <c r="W313" s="3">
        <v>0.41</v>
      </c>
      <c r="X313" s="1" t="s">
        <v>2081</v>
      </c>
      <c r="Y313" s="1">
        <v>0.38</v>
      </c>
      <c r="AA313" s="1">
        <v>0.43</v>
      </c>
      <c r="AB313" s="1">
        <v>1.78</v>
      </c>
      <c r="AE313" s="1">
        <v>0.75</v>
      </c>
      <c r="AF313" s="1">
        <v>6.94</v>
      </c>
      <c r="AI313" s="1">
        <v>7</v>
      </c>
      <c r="AJ313" s="1" t="s">
        <v>2081</v>
      </c>
      <c r="AK313" s="1">
        <v>3</v>
      </c>
      <c r="AL313" s="1">
        <v>93.918800000000005</v>
      </c>
      <c r="AM313" s="1" t="s">
        <v>2081</v>
      </c>
      <c r="AN313" s="1">
        <v>6.1752896851083996</v>
      </c>
      <c r="AO313" s="1">
        <v>0.93211919775221097</v>
      </c>
      <c r="AP313" s="1" t="s">
        <v>2082</v>
      </c>
      <c r="AR313" s="1">
        <v>8.3800000000000008</v>
      </c>
      <c r="AT313" s="1">
        <v>20</v>
      </c>
    </row>
    <row r="314" spans="1:46">
      <c r="A314" s="1" t="s">
        <v>2085</v>
      </c>
      <c r="C314" s="1" t="s">
        <v>2085</v>
      </c>
      <c r="D314" s="1" t="s">
        <v>2086</v>
      </c>
      <c r="E314" s="1" t="s">
        <v>1466</v>
      </c>
      <c r="F314" s="1" t="s">
        <v>2070</v>
      </c>
      <c r="G314" s="1" t="s">
        <v>49</v>
      </c>
      <c r="H314" s="2" t="s">
        <v>2080</v>
      </c>
      <c r="I314" s="1">
        <v>36</v>
      </c>
      <c r="J314" s="1">
        <v>20</v>
      </c>
      <c r="L314" s="1" t="s">
        <v>65</v>
      </c>
      <c r="M314" s="1">
        <v>20.198</v>
      </c>
      <c r="N314" s="1">
        <v>41</v>
      </c>
      <c r="O314" s="1">
        <v>72.238439999999997</v>
      </c>
      <c r="P314" s="1">
        <v>-163.32189</v>
      </c>
      <c r="Q314" s="1">
        <v>5.5505000000000004</v>
      </c>
      <c r="R314" s="1">
        <v>31.75705</v>
      </c>
      <c r="S314" s="1">
        <v>308.08850000000001</v>
      </c>
      <c r="T314" s="1">
        <v>232.7754415</v>
      </c>
      <c r="U314" s="1">
        <v>37.694659420000001</v>
      </c>
      <c r="V314" s="1">
        <v>4147.0588239999997</v>
      </c>
      <c r="W314" s="3">
        <v>0.41</v>
      </c>
      <c r="X314" s="1" t="s">
        <v>2081</v>
      </c>
      <c r="Y314" s="1">
        <v>0.38</v>
      </c>
      <c r="AA314" s="1">
        <v>0.43</v>
      </c>
      <c r="AB314" s="1">
        <v>1.78</v>
      </c>
      <c r="AE314" s="1">
        <v>0.75</v>
      </c>
      <c r="AF314" s="1">
        <v>6.94</v>
      </c>
      <c r="AI314" s="1">
        <v>7</v>
      </c>
      <c r="AJ314" s="1" t="s">
        <v>2081</v>
      </c>
      <c r="AK314" s="1">
        <v>3</v>
      </c>
      <c r="AL314" s="1">
        <v>93.918800000000005</v>
      </c>
      <c r="AM314" s="1" t="s">
        <v>2081</v>
      </c>
      <c r="AN314" s="1">
        <v>6.1752896851083996</v>
      </c>
      <c r="AO314" s="1">
        <v>0.93211919775221097</v>
      </c>
      <c r="AP314" s="1" t="s">
        <v>2082</v>
      </c>
      <c r="AR314" s="1">
        <v>8.3800000000000008</v>
      </c>
      <c r="AT314" s="1">
        <v>20</v>
      </c>
    </row>
    <row r="315" spans="1:46">
      <c r="A315" s="1" t="s">
        <v>2087</v>
      </c>
      <c r="C315" s="1" t="s">
        <v>2087</v>
      </c>
      <c r="D315" s="1" t="s">
        <v>2088</v>
      </c>
      <c r="E315" s="1" t="s">
        <v>1466</v>
      </c>
      <c r="F315" s="1" t="s">
        <v>2070</v>
      </c>
      <c r="G315" s="1" t="s">
        <v>49</v>
      </c>
      <c r="H315" s="2" t="s">
        <v>2089</v>
      </c>
      <c r="I315" s="1">
        <v>36</v>
      </c>
      <c r="J315" s="1">
        <v>0.2</v>
      </c>
      <c r="K315" s="1" t="s">
        <v>1488</v>
      </c>
      <c r="L315" s="1" t="s">
        <v>78</v>
      </c>
      <c r="M315" s="1">
        <v>32.003</v>
      </c>
      <c r="N315" s="1">
        <v>41</v>
      </c>
      <c r="O315" s="1">
        <v>72.238740000000007</v>
      </c>
      <c r="P315" s="1">
        <v>-163.31988999999999</v>
      </c>
      <c r="Q315" s="1">
        <v>1.5096499999999999</v>
      </c>
      <c r="R315" s="1">
        <v>32.454149999999998</v>
      </c>
      <c r="S315" s="1">
        <v>332.9205</v>
      </c>
      <c r="T315" s="1">
        <v>148.20556110000001</v>
      </c>
      <c r="U315" s="1">
        <v>22.695896170000001</v>
      </c>
      <c r="V315" s="1">
        <v>5828.5714289999996</v>
      </c>
      <c r="W315" s="3">
        <v>4.2720000000000002</v>
      </c>
      <c r="X315" s="1" t="s">
        <v>2090</v>
      </c>
      <c r="Y315" s="1">
        <v>6.12</v>
      </c>
      <c r="AA315" s="1">
        <v>0.71</v>
      </c>
      <c r="AB315" s="1">
        <v>4.8099999999999996</v>
      </c>
      <c r="AE315" s="1">
        <v>0.89</v>
      </c>
      <c r="AF315" s="1">
        <v>0.79</v>
      </c>
      <c r="AI315" s="1">
        <v>3</v>
      </c>
      <c r="AJ315" s="1" t="s">
        <v>369</v>
      </c>
      <c r="AK315" s="1">
        <v>3</v>
      </c>
      <c r="AL315" s="1">
        <v>82.808199999999999</v>
      </c>
      <c r="AM315" s="1" t="s">
        <v>2090</v>
      </c>
      <c r="AN315" s="1">
        <v>6.5300598835088897</v>
      </c>
      <c r="AO315" s="1">
        <v>0.98566941637869998</v>
      </c>
      <c r="AP315" s="1" t="s">
        <v>2091</v>
      </c>
      <c r="AR315" s="1">
        <v>8.3800000000000008</v>
      </c>
      <c r="AT315" s="1">
        <v>32</v>
      </c>
    </row>
    <row r="316" spans="1:46">
      <c r="A316" s="1" t="s">
        <v>2092</v>
      </c>
      <c r="C316" s="1" t="s">
        <v>2092</v>
      </c>
      <c r="D316" s="1" t="s">
        <v>2093</v>
      </c>
      <c r="E316" s="1" t="s">
        <v>1466</v>
      </c>
      <c r="F316" s="1" t="s">
        <v>2070</v>
      </c>
      <c r="G316" s="1" t="s">
        <v>49</v>
      </c>
      <c r="H316" s="2" t="s">
        <v>2089</v>
      </c>
      <c r="I316" s="1">
        <v>36</v>
      </c>
      <c r="J316" s="1">
        <v>3</v>
      </c>
      <c r="K316" s="1" t="s">
        <v>1488</v>
      </c>
      <c r="L316" s="1" t="s">
        <v>78</v>
      </c>
      <c r="M316" s="1">
        <v>32.003</v>
      </c>
      <c r="N316" s="1">
        <v>41</v>
      </c>
      <c r="O316" s="1">
        <v>72.238740000000007</v>
      </c>
      <c r="P316" s="1">
        <v>-163.31988999999999</v>
      </c>
      <c r="Q316" s="1">
        <v>1.5096499999999999</v>
      </c>
      <c r="R316" s="1">
        <v>32.454149999999998</v>
      </c>
      <c r="S316" s="1">
        <v>332.9205</v>
      </c>
      <c r="T316" s="1">
        <v>148.20556110000001</v>
      </c>
      <c r="U316" s="1">
        <v>22.695896170000001</v>
      </c>
      <c r="V316" s="1">
        <v>5828.5714289999996</v>
      </c>
      <c r="W316" s="3">
        <v>4.2720000000000002</v>
      </c>
      <c r="X316" s="1" t="s">
        <v>2090</v>
      </c>
      <c r="Y316" s="1">
        <v>6.12</v>
      </c>
      <c r="AA316" s="1">
        <v>0.71</v>
      </c>
      <c r="AB316" s="1">
        <v>4.8099999999999996</v>
      </c>
      <c r="AE316" s="1">
        <v>0.89</v>
      </c>
      <c r="AF316" s="1">
        <v>0.79</v>
      </c>
      <c r="AI316" s="1">
        <v>3</v>
      </c>
      <c r="AJ316" s="1" t="s">
        <v>369</v>
      </c>
      <c r="AK316" s="1">
        <v>3</v>
      </c>
      <c r="AL316" s="1">
        <v>82.808199999999999</v>
      </c>
      <c r="AM316" s="1" t="s">
        <v>2090</v>
      </c>
      <c r="AN316" s="1">
        <v>6.5300598835088897</v>
      </c>
      <c r="AO316" s="1">
        <v>0.98566941637869998</v>
      </c>
      <c r="AP316" s="1" t="s">
        <v>2091</v>
      </c>
      <c r="AR316" s="1">
        <v>8.3800000000000008</v>
      </c>
      <c r="AT316" s="1">
        <v>32</v>
      </c>
    </row>
    <row r="317" spans="1:46">
      <c r="A317" s="1" t="s">
        <v>2094</v>
      </c>
      <c r="C317" s="1" t="s">
        <v>2094</v>
      </c>
      <c r="D317" s="1" t="s">
        <v>2095</v>
      </c>
      <c r="E317" s="1" t="s">
        <v>1466</v>
      </c>
      <c r="F317" s="1" t="s">
        <v>2070</v>
      </c>
      <c r="G317" s="1" t="s">
        <v>49</v>
      </c>
      <c r="H317" s="2" t="s">
        <v>2096</v>
      </c>
      <c r="I317" s="1">
        <v>36</v>
      </c>
      <c r="J317" s="1">
        <v>0.2</v>
      </c>
      <c r="K317" s="1" t="s">
        <v>78</v>
      </c>
      <c r="L317" s="1" t="s">
        <v>78</v>
      </c>
      <c r="M317" s="1">
        <v>34.636000000000003</v>
      </c>
      <c r="N317" s="1">
        <v>41</v>
      </c>
      <c r="O317" s="1">
        <v>72.238879999999995</v>
      </c>
      <c r="P317" s="1">
        <v>-163.31897000000001</v>
      </c>
      <c r="Q317" s="1">
        <v>2.3295499999999998</v>
      </c>
      <c r="R317" s="1">
        <v>32.65025</v>
      </c>
      <c r="S317" s="1">
        <v>273.2835</v>
      </c>
      <c r="W317" s="3">
        <v>1.2989999999999999</v>
      </c>
      <c r="X317" s="1" t="s">
        <v>367</v>
      </c>
      <c r="Y317" s="1">
        <v>2.42</v>
      </c>
      <c r="AA317" s="1">
        <v>1.51</v>
      </c>
      <c r="AB317" s="1">
        <v>14.42</v>
      </c>
      <c r="AE317" s="1">
        <v>4.04</v>
      </c>
      <c r="AF317" s="1">
        <v>5.96</v>
      </c>
      <c r="AI317" s="1">
        <v>2</v>
      </c>
      <c r="AJ317" s="1" t="s">
        <v>2097</v>
      </c>
      <c r="AK317" s="1">
        <v>3</v>
      </c>
      <c r="AL317" s="1">
        <v>61.145600000000002</v>
      </c>
      <c r="AM317" s="1" t="s">
        <v>367</v>
      </c>
      <c r="AP317" s="1" t="s">
        <v>2098</v>
      </c>
      <c r="AQ317" s="1">
        <v>-1.07</v>
      </c>
      <c r="AR317" s="1">
        <v>8.3800000000000008</v>
      </c>
      <c r="AT317" s="1">
        <v>35</v>
      </c>
    </row>
    <row r="318" spans="1:46">
      <c r="A318" s="1" t="s">
        <v>2099</v>
      </c>
      <c r="C318" s="1" t="s">
        <v>2099</v>
      </c>
      <c r="D318" s="1" t="s">
        <v>2100</v>
      </c>
      <c r="E318" s="1" t="s">
        <v>1466</v>
      </c>
      <c r="F318" s="1" t="s">
        <v>2070</v>
      </c>
      <c r="G318" s="1" t="s">
        <v>49</v>
      </c>
      <c r="H318" s="2" t="s">
        <v>2096</v>
      </c>
      <c r="I318" s="1">
        <v>36</v>
      </c>
      <c r="J318" s="1">
        <v>3</v>
      </c>
      <c r="K318" s="1" t="s">
        <v>78</v>
      </c>
      <c r="L318" s="1" t="s">
        <v>78</v>
      </c>
      <c r="M318" s="1">
        <v>34.636000000000003</v>
      </c>
      <c r="N318" s="1">
        <v>41</v>
      </c>
      <c r="O318" s="1">
        <v>72.238879999999995</v>
      </c>
      <c r="P318" s="1">
        <v>-163.31897000000001</v>
      </c>
      <c r="Q318" s="1">
        <v>2.3295499999999998</v>
      </c>
      <c r="R318" s="1">
        <v>32.65025</v>
      </c>
      <c r="S318" s="1">
        <v>273.2835</v>
      </c>
      <c r="W318" s="3">
        <v>1.2989999999999999</v>
      </c>
      <c r="X318" s="1" t="s">
        <v>367</v>
      </c>
      <c r="Y318" s="1">
        <v>2.42</v>
      </c>
      <c r="AA318" s="1">
        <v>1.51</v>
      </c>
      <c r="AB318" s="1">
        <v>14.42</v>
      </c>
      <c r="AE318" s="1">
        <v>4.04</v>
      </c>
      <c r="AF318" s="1">
        <v>5.96</v>
      </c>
      <c r="AI318" s="1">
        <v>2</v>
      </c>
      <c r="AJ318" s="1" t="s">
        <v>2097</v>
      </c>
      <c r="AK318" s="1">
        <v>3</v>
      </c>
      <c r="AL318" s="1">
        <v>61.145600000000002</v>
      </c>
      <c r="AM318" s="1" t="s">
        <v>367</v>
      </c>
      <c r="AP318" s="1" t="s">
        <v>2098</v>
      </c>
      <c r="AQ318" s="1">
        <v>-1.07</v>
      </c>
      <c r="AR318" s="1">
        <v>8.3800000000000008</v>
      </c>
      <c r="AT318" s="1">
        <v>35</v>
      </c>
    </row>
    <row r="319" spans="1:46">
      <c r="A319" s="1" t="s">
        <v>2101</v>
      </c>
      <c r="C319" s="1" t="s">
        <v>2101</v>
      </c>
      <c r="D319" s="1" t="s">
        <v>2102</v>
      </c>
      <c r="E319" s="1" t="s">
        <v>1466</v>
      </c>
      <c r="F319" s="1" t="s">
        <v>2070</v>
      </c>
      <c r="G319" s="1" t="s">
        <v>49</v>
      </c>
      <c r="H319" s="2" t="s">
        <v>2096</v>
      </c>
      <c r="I319" s="1">
        <v>36</v>
      </c>
      <c r="J319" s="1">
        <v>20</v>
      </c>
      <c r="K319" s="1" t="s">
        <v>78</v>
      </c>
      <c r="L319" s="1" t="s">
        <v>78</v>
      </c>
      <c r="M319" s="1">
        <v>34.636000000000003</v>
      </c>
      <c r="N319" s="1">
        <v>41</v>
      </c>
      <c r="O319" s="1">
        <v>72.238879999999995</v>
      </c>
      <c r="P319" s="1">
        <v>-163.31897000000001</v>
      </c>
      <c r="Q319" s="1">
        <v>2.3295499999999998</v>
      </c>
      <c r="R319" s="1">
        <v>32.65025</v>
      </c>
      <c r="S319" s="1">
        <v>273.2835</v>
      </c>
      <c r="W319" s="3">
        <v>1.2989999999999999</v>
      </c>
      <c r="X319" s="1" t="s">
        <v>367</v>
      </c>
      <c r="Y319" s="1">
        <v>2.42</v>
      </c>
      <c r="AA319" s="1">
        <v>1.51</v>
      </c>
      <c r="AB319" s="1">
        <v>14.42</v>
      </c>
      <c r="AE319" s="1">
        <v>4.04</v>
      </c>
      <c r="AF319" s="1">
        <v>5.96</v>
      </c>
      <c r="AI319" s="1">
        <v>2</v>
      </c>
      <c r="AJ319" s="1" t="s">
        <v>2097</v>
      </c>
      <c r="AK319" s="1">
        <v>3</v>
      </c>
      <c r="AL319" s="1">
        <v>61.145600000000002</v>
      </c>
      <c r="AM319" s="1" t="s">
        <v>367</v>
      </c>
      <c r="AP319" s="1" t="s">
        <v>2098</v>
      </c>
      <c r="AQ319" s="1">
        <v>-1.07</v>
      </c>
      <c r="AR319" s="1">
        <v>8.3800000000000008</v>
      </c>
      <c r="AS319" s="1" t="s">
        <v>2103</v>
      </c>
      <c r="AT319" s="1">
        <v>35</v>
      </c>
    </row>
    <row r="320" spans="1:46">
      <c r="A320" s="1" t="s">
        <v>2104</v>
      </c>
      <c r="C320" s="1" t="s">
        <v>2104</v>
      </c>
      <c r="D320" s="1" t="s">
        <v>2105</v>
      </c>
      <c r="E320" s="1" t="s">
        <v>1466</v>
      </c>
      <c r="F320" s="1" t="s">
        <v>2106</v>
      </c>
      <c r="G320" s="1" t="s">
        <v>49</v>
      </c>
      <c r="H320" s="2" t="s">
        <v>2107</v>
      </c>
      <c r="I320" s="1">
        <v>82</v>
      </c>
      <c r="J320" s="1">
        <v>0.2</v>
      </c>
      <c r="K320" s="1" t="s">
        <v>52</v>
      </c>
      <c r="L320" s="1" t="s">
        <v>52</v>
      </c>
      <c r="M320" s="1">
        <v>4.1120000000000001</v>
      </c>
      <c r="N320" s="1">
        <v>43</v>
      </c>
      <c r="O320" s="1">
        <v>70.647779999999997</v>
      </c>
      <c r="P320" s="1">
        <v>-165.99524</v>
      </c>
      <c r="Q320" s="1">
        <v>7.7307499999999996</v>
      </c>
      <c r="R320" s="1">
        <v>31.825700000000001</v>
      </c>
      <c r="S320" s="1">
        <v>291.63049999999998</v>
      </c>
      <c r="T320" s="1">
        <v>68.458372879999999</v>
      </c>
      <c r="U320" s="1">
        <v>12.32287004</v>
      </c>
      <c r="V320" s="1">
        <v>7283.3333329999996</v>
      </c>
      <c r="W320" s="3">
        <v>0.98199999999999998</v>
      </c>
      <c r="X320" s="1" t="s">
        <v>2108</v>
      </c>
      <c r="Y320" s="1">
        <v>1.5</v>
      </c>
      <c r="AA320" s="1">
        <v>0.47</v>
      </c>
      <c r="AB320" s="1">
        <v>1.78</v>
      </c>
      <c r="AE320" s="1">
        <v>0.61</v>
      </c>
      <c r="AF320" s="1">
        <v>0.14000000000000001</v>
      </c>
      <c r="AI320" s="1">
        <v>9</v>
      </c>
      <c r="AJ320" s="1" t="s">
        <v>2108</v>
      </c>
      <c r="AK320" s="1">
        <v>3.1</v>
      </c>
      <c r="AL320" s="1">
        <v>90.630399999999995</v>
      </c>
      <c r="AM320" s="1" t="s">
        <v>2108</v>
      </c>
      <c r="AN320" s="1">
        <v>5.5553919385487598</v>
      </c>
      <c r="AO320" s="1">
        <v>0.83854972657339699</v>
      </c>
      <c r="AP320" s="1" t="s">
        <v>2109</v>
      </c>
      <c r="AQ320" s="1">
        <v>-1.5</v>
      </c>
      <c r="AR320" s="1">
        <v>16.82</v>
      </c>
      <c r="AT320" s="1">
        <v>5</v>
      </c>
    </row>
    <row r="321" spans="1:46">
      <c r="A321" s="1" t="s">
        <v>2110</v>
      </c>
      <c r="C321" s="1" t="s">
        <v>2110</v>
      </c>
      <c r="D321" s="1" t="s">
        <v>2111</v>
      </c>
      <c r="E321" s="1" t="s">
        <v>1466</v>
      </c>
      <c r="F321" s="1" t="s">
        <v>2106</v>
      </c>
      <c r="G321" s="1" t="s">
        <v>49</v>
      </c>
      <c r="H321" s="2" t="s">
        <v>2107</v>
      </c>
      <c r="I321" s="1">
        <v>82</v>
      </c>
      <c r="J321" s="1">
        <v>3</v>
      </c>
      <c r="K321" s="1" t="s">
        <v>52</v>
      </c>
      <c r="L321" s="1" t="s">
        <v>52</v>
      </c>
      <c r="M321" s="1">
        <v>4.1120000000000001</v>
      </c>
      <c r="N321" s="1">
        <v>43</v>
      </c>
      <c r="O321" s="1">
        <v>70.647779999999997</v>
      </c>
      <c r="P321" s="1">
        <v>-165.99524</v>
      </c>
      <c r="Q321" s="1">
        <v>7.7307499999999996</v>
      </c>
      <c r="R321" s="1">
        <v>31.825700000000001</v>
      </c>
      <c r="S321" s="1">
        <v>291.63049999999998</v>
      </c>
      <c r="T321" s="1">
        <v>68.458372879999999</v>
      </c>
      <c r="U321" s="1">
        <v>12.32287004</v>
      </c>
      <c r="V321" s="1">
        <v>7283.3333329999996</v>
      </c>
      <c r="W321" s="3">
        <v>0.98199999999999998</v>
      </c>
      <c r="X321" s="1" t="s">
        <v>2108</v>
      </c>
      <c r="Y321" s="1">
        <v>1.5</v>
      </c>
      <c r="AA321" s="1">
        <v>0.47</v>
      </c>
      <c r="AB321" s="1">
        <v>1.78</v>
      </c>
      <c r="AE321" s="1">
        <v>0.61</v>
      </c>
      <c r="AF321" s="1">
        <v>0.14000000000000001</v>
      </c>
      <c r="AI321" s="1">
        <v>9</v>
      </c>
      <c r="AJ321" s="1" t="s">
        <v>2108</v>
      </c>
      <c r="AK321" s="1">
        <v>3.1</v>
      </c>
      <c r="AL321" s="1">
        <v>90.630399999999995</v>
      </c>
      <c r="AM321" s="1" t="s">
        <v>2108</v>
      </c>
      <c r="AN321" s="1">
        <v>5.5553919385487598</v>
      </c>
      <c r="AO321" s="1">
        <v>0.83854972657339699</v>
      </c>
      <c r="AP321" s="1" t="s">
        <v>2109</v>
      </c>
      <c r="AQ321" s="1">
        <v>-1.5</v>
      </c>
      <c r="AR321" s="1">
        <v>16.82</v>
      </c>
      <c r="AT321" s="1">
        <v>5</v>
      </c>
    </row>
    <row r="322" spans="1:46">
      <c r="A322" s="1" t="s">
        <v>2112</v>
      </c>
      <c r="C322" s="1" t="s">
        <v>2112</v>
      </c>
      <c r="D322" s="1" t="s">
        <v>2113</v>
      </c>
      <c r="E322" s="1" t="s">
        <v>1466</v>
      </c>
      <c r="F322" s="1" t="s">
        <v>2106</v>
      </c>
      <c r="G322" s="1" t="s">
        <v>49</v>
      </c>
      <c r="H322" s="2" t="s">
        <v>2107</v>
      </c>
      <c r="I322" s="1">
        <v>82</v>
      </c>
      <c r="J322" s="1">
        <v>20</v>
      </c>
      <c r="K322" s="1" t="s">
        <v>52</v>
      </c>
      <c r="L322" s="1" t="s">
        <v>52</v>
      </c>
      <c r="M322" s="1">
        <v>4.1120000000000001</v>
      </c>
      <c r="N322" s="1">
        <v>43</v>
      </c>
      <c r="O322" s="1">
        <v>70.647779999999997</v>
      </c>
      <c r="P322" s="1">
        <v>-165.99524</v>
      </c>
      <c r="Q322" s="1">
        <v>7.7307499999999996</v>
      </c>
      <c r="R322" s="1">
        <v>31.825700000000001</v>
      </c>
      <c r="S322" s="1">
        <v>291.63049999999998</v>
      </c>
      <c r="T322" s="1">
        <v>68.458372879999999</v>
      </c>
      <c r="U322" s="1">
        <v>12.32287004</v>
      </c>
      <c r="V322" s="1">
        <v>7283.3333329999996</v>
      </c>
      <c r="W322" s="3">
        <v>0.98199999999999998</v>
      </c>
      <c r="X322" s="1" t="s">
        <v>2108</v>
      </c>
      <c r="Y322" s="1">
        <v>1.5</v>
      </c>
      <c r="AA322" s="1">
        <v>0.47</v>
      </c>
      <c r="AB322" s="1">
        <v>1.78</v>
      </c>
      <c r="AE322" s="1">
        <v>0.61</v>
      </c>
      <c r="AF322" s="1">
        <v>0.14000000000000001</v>
      </c>
      <c r="AI322" s="1">
        <v>9</v>
      </c>
      <c r="AJ322" s="1" t="s">
        <v>2108</v>
      </c>
      <c r="AK322" s="1">
        <v>3.1</v>
      </c>
      <c r="AL322" s="1">
        <v>90.630399999999995</v>
      </c>
      <c r="AM322" s="1" t="s">
        <v>2108</v>
      </c>
      <c r="AN322" s="1">
        <v>5.5553919385487598</v>
      </c>
      <c r="AO322" s="1">
        <v>0.83854972657339699</v>
      </c>
      <c r="AP322" s="1" t="s">
        <v>2109</v>
      </c>
      <c r="AQ322" s="1">
        <v>-1.5</v>
      </c>
      <c r="AR322" s="1">
        <v>16.82</v>
      </c>
      <c r="AT322" s="1">
        <v>5</v>
      </c>
    </row>
    <row r="323" spans="1:46">
      <c r="A323" s="1" t="s">
        <v>2114</v>
      </c>
      <c r="C323" s="1" t="s">
        <v>2114</v>
      </c>
      <c r="D323" s="1" t="s">
        <v>2115</v>
      </c>
      <c r="E323" s="1" t="s">
        <v>1466</v>
      </c>
      <c r="F323" s="1" t="s">
        <v>2106</v>
      </c>
      <c r="G323" s="1" t="s">
        <v>49</v>
      </c>
      <c r="H323" s="2" t="s">
        <v>2116</v>
      </c>
      <c r="I323" s="1">
        <v>82</v>
      </c>
      <c r="J323" s="1">
        <v>0.2</v>
      </c>
      <c r="L323" s="1" t="s">
        <v>65</v>
      </c>
      <c r="M323" s="1">
        <v>10.862</v>
      </c>
      <c r="N323" s="1">
        <v>43</v>
      </c>
      <c r="O323" s="1">
        <v>70.647779999999997</v>
      </c>
      <c r="P323" s="1">
        <v>-165.99520000000001</v>
      </c>
      <c r="Q323" s="1">
        <v>7.7287499999999998</v>
      </c>
      <c r="R323" s="1">
        <v>31.822150000000001</v>
      </c>
      <c r="S323" s="1">
        <v>290.98149999999998</v>
      </c>
      <c r="T323" s="1">
        <v>105.1063101</v>
      </c>
      <c r="U323" s="1">
        <v>14.818287679999999</v>
      </c>
      <c r="V323" s="1">
        <v>2676.9230769999999</v>
      </c>
      <c r="W323" s="3">
        <v>1.089</v>
      </c>
      <c r="X323" s="1" t="s">
        <v>2117</v>
      </c>
      <c r="Y323" s="1">
        <v>1.32</v>
      </c>
      <c r="AA323" s="1">
        <v>0.46</v>
      </c>
      <c r="AB323" s="1">
        <v>1.78</v>
      </c>
      <c r="AE323" s="1">
        <v>0.56999999999999995</v>
      </c>
      <c r="AF323" s="1">
        <v>0.24</v>
      </c>
      <c r="AI323" s="1">
        <v>7</v>
      </c>
      <c r="AJ323" s="1" t="s">
        <v>2117</v>
      </c>
      <c r="AK323" s="1">
        <v>3.4</v>
      </c>
      <c r="AL323" s="1">
        <v>90.665300000000002</v>
      </c>
      <c r="AM323" s="1" t="s">
        <v>2117</v>
      </c>
      <c r="AN323" s="1">
        <v>7.09301319894473</v>
      </c>
      <c r="AO323" s="1">
        <v>1.07064350172751</v>
      </c>
      <c r="AP323" s="1" t="s">
        <v>2118</v>
      </c>
      <c r="AR323" s="1">
        <v>16.82</v>
      </c>
      <c r="AT323" s="1">
        <v>10</v>
      </c>
    </row>
    <row r="324" spans="1:46">
      <c r="A324" s="1" t="s">
        <v>2119</v>
      </c>
      <c r="C324" s="1" t="s">
        <v>2119</v>
      </c>
      <c r="D324" s="1" t="s">
        <v>2120</v>
      </c>
      <c r="E324" s="1" t="s">
        <v>1466</v>
      </c>
      <c r="F324" s="1" t="s">
        <v>2106</v>
      </c>
      <c r="G324" s="1" t="s">
        <v>49</v>
      </c>
      <c r="H324" s="2" t="s">
        <v>2116</v>
      </c>
      <c r="I324" s="1">
        <v>82</v>
      </c>
      <c r="J324" s="1">
        <v>3</v>
      </c>
      <c r="L324" s="1" t="s">
        <v>65</v>
      </c>
      <c r="M324" s="1">
        <v>10.862</v>
      </c>
      <c r="N324" s="1">
        <v>43</v>
      </c>
      <c r="O324" s="1">
        <v>70.647779999999997</v>
      </c>
      <c r="P324" s="1">
        <v>-165.99520000000001</v>
      </c>
      <c r="Q324" s="1">
        <v>7.7287499999999998</v>
      </c>
      <c r="R324" s="1">
        <v>31.822150000000001</v>
      </c>
      <c r="S324" s="1">
        <v>290.98149999999998</v>
      </c>
      <c r="T324" s="1">
        <v>105.1063101</v>
      </c>
      <c r="U324" s="1">
        <v>14.818287679999999</v>
      </c>
      <c r="V324" s="1">
        <v>2676.9230769999999</v>
      </c>
      <c r="W324" s="3">
        <v>1.089</v>
      </c>
      <c r="X324" s="1" t="s">
        <v>2117</v>
      </c>
      <c r="Y324" s="1">
        <v>1.32</v>
      </c>
      <c r="AA324" s="1">
        <v>0.46</v>
      </c>
      <c r="AB324" s="1">
        <v>1.78</v>
      </c>
      <c r="AE324" s="1">
        <v>0.56999999999999995</v>
      </c>
      <c r="AF324" s="1">
        <v>0.24</v>
      </c>
      <c r="AI324" s="1">
        <v>7</v>
      </c>
      <c r="AJ324" s="1" t="s">
        <v>2117</v>
      </c>
      <c r="AK324" s="1">
        <v>3.4</v>
      </c>
      <c r="AL324" s="1">
        <v>90.665300000000002</v>
      </c>
      <c r="AM324" s="1" t="s">
        <v>2117</v>
      </c>
      <c r="AN324" s="1">
        <v>7.09301319894473</v>
      </c>
      <c r="AO324" s="1">
        <v>1.07064350172751</v>
      </c>
      <c r="AP324" s="1" t="s">
        <v>2118</v>
      </c>
      <c r="AR324" s="1">
        <v>16.82</v>
      </c>
      <c r="AT324" s="1">
        <v>10</v>
      </c>
    </row>
    <row r="325" spans="1:46">
      <c r="A325" s="1" t="s">
        <v>2121</v>
      </c>
      <c r="C325" s="1" t="s">
        <v>2121</v>
      </c>
      <c r="D325" s="1" t="s">
        <v>2122</v>
      </c>
      <c r="E325" s="1" t="s">
        <v>1466</v>
      </c>
      <c r="F325" s="1" t="s">
        <v>2106</v>
      </c>
      <c r="G325" s="1" t="s">
        <v>49</v>
      </c>
      <c r="H325" s="2" t="s">
        <v>2116</v>
      </c>
      <c r="I325" s="1">
        <v>82</v>
      </c>
      <c r="J325" s="1">
        <v>20</v>
      </c>
      <c r="L325" s="1" t="s">
        <v>65</v>
      </c>
      <c r="M325" s="1">
        <v>10.862</v>
      </c>
      <c r="N325" s="1">
        <v>43</v>
      </c>
      <c r="O325" s="1">
        <v>70.647779999999997</v>
      </c>
      <c r="P325" s="1">
        <v>-165.99520000000001</v>
      </c>
      <c r="Q325" s="1">
        <v>7.7287499999999998</v>
      </c>
      <c r="R325" s="1">
        <v>31.822150000000001</v>
      </c>
      <c r="S325" s="1">
        <v>290.98149999999998</v>
      </c>
      <c r="T325" s="1">
        <v>105.1063101</v>
      </c>
      <c r="U325" s="1">
        <v>14.818287679999999</v>
      </c>
      <c r="V325" s="1">
        <v>2676.9230769999999</v>
      </c>
      <c r="W325" s="3">
        <v>1.089</v>
      </c>
      <c r="X325" s="1" t="s">
        <v>2117</v>
      </c>
      <c r="Y325" s="1">
        <v>1.32</v>
      </c>
      <c r="AA325" s="1">
        <v>0.46</v>
      </c>
      <c r="AB325" s="1">
        <v>1.78</v>
      </c>
      <c r="AE325" s="1">
        <v>0.56999999999999995</v>
      </c>
      <c r="AF325" s="1">
        <v>0.24</v>
      </c>
      <c r="AI325" s="1">
        <v>7</v>
      </c>
      <c r="AJ325" s="1" t="s">
        <v>2117</v>
      </c>
      <c r="AK325" s="1">
        <v>3.4</v>
      </c>
      <c r="AL325" s="1">
        <v>90.665300000000002</v>
      </c>
      <c r="AM325" s="1" t="s">
        <v>2117</v>
      </c>
      <c r="AN325" s="1">
        <v>7.09301319894473</v>
      </c>
      <c r="AO325" s="1">
        <v>1.07064350172751</v>
      </c>
      <c r="AP325" s="1" t="s">
        <v>2118</v>
      </c>
      <c r="AR325" s="1">
        <v>16.82</v>
      </c>
      <c r="AT325" s="1">
        <v>10</v>
      </c>
    </row>
    <row r="326" spans="1:46">
      <c r="A326" s="1" t="s">
        <v>2123</v>
      </c>
      <c r="C326" s="1" t="s">
        <v>2123</v>
      </c>
      <c r="D326" s="1" t="s">
        <v>2124</v>
      </c>
      <c r="E326" s="1" t="s">
        <v>1466</v>
      </c>
      <c r="F326" s="1" t="s">
        <v>2106</v>
      </c>
      <c r="G326" s="1" t="s">
        <v>49</v>
      </c>
      <c r="H326" s="2" t="s">
        <v>2125</v>
      </c>
      <c r="I326" s="1">
        <v>82</v>
      </c>
      <c r="J326" s="1">
        <v>0.2</v>
      </c>
      <c r="K326" s="1" t="s">
        <v>1488</v>
      </c>
      <c r="L326" s="1" t="s">
        <v>65</v>
      </c>
      <c r="M326" s="1">
        <v>20.143000000000001</v>
      </c>
      <c r="N326" s="1">
        <v>43</v>
      </c>
      <c r="O326" s="1">
        <v>70.647800000000004</v>
      </c>
      <c r="P326" s="1">
        <v>-165.99518</v>
      </c>
      <c r="Q326" s="1">
        <v>7.6677499999999998</v>
      </c>
      <c r="R326" s="1">
        <v>31.870750000000001</v>
      </c>
      <c r="S326" s="1">
        <v>289.233</v>
      </c>
      <c r="T326" s="1">
        <v>113.6592338</v>
      </c>
      <c r="U326" s="1">
        <v>21.023578990000001</v>
      </c>
      <c r="V326" s="1">
        <v>7683.3333329999996</v>
      </c>
      <c r="W326" s="3">
        <v>1.2290000000000001</v>
      </c>
      <c r="X326" s="1" t="s">
        <v>2126</v>
      </c>
      <c r="Y326" s="1">
        <v>1.36</v>
      </c>
      <c r="AA326" s="1">
        <v>0.47</v>
      </c>
      <c r="AB326" s="1">
        <v>1.78</v>
      </c>
      <c r="AE326" s="1">
        <v>0.25</v>
      </c>
      <c r="AF326" s="1">
        <v>0.63</v>
      </c>
      <c r="AI326" s="1">
        <v>5</v>
      </c>
      <c r="AJ326" s="1" t="s">
        <v>2126</v>
      </c>
      <c r="AK326" s="1">
        <v>3.4</v>
      </c>
      <c r="AL326" s="1">
        <v>90.757800000000003</v>
      </c>
      <c r="AM326" s="1" t="s">
        <v>2126</v>
      </c>
      <c r="AN326" s="1">
        <v>5.4062742530214596</v>
      </c>
      <c r="AO326" s="1">
        <v>0.81604139668248499</v>
      </c>
      <c r="AP326" s="1" t="s">
        <v>2127</v>
      </c>
      <c r="AR326" s="1">
        <v>16.82</v>
      </c>
      <c r="AT326" s="1">
        <v>20</v>
      </c>
    </row>
    <row r="327" spans="1:46">
      <c r="A327" s="1" t="s">
        <v>2128</v>
      </c>
      <c r="C327" s="1" t="s">
        <v>2128</v>
      </c>
      <c r="D327" s="1" t="s">
        <v>2129</v>
      </c>
      <c r="E327" s="1" t="s">
        <v>1466</v>
      </c>
      <c r="F327" s="1" t="s">
        <v>2106</v>
      </c>
      <c r="G327" s="1" t="s">
        <v>49</v>
      </c>
      <c r="H327" s="2" t="s">
        <v>2125</v>
      </c>
      <c r="I327" s="1">
        <v>82</v>
      </c>
      <c r="J327" s="1">
        <v>3</v>
      </c>
      <c r="K327" s="1" t="s">
        <v>1488</v>
      </c>
      <c r="L327" s="1" t="s">
        <v>65</v>
      </c>
      <c r="M327" s="1">
        <v>20.143000000000001</v>
      </c>
      <c r="N327" s="1">
        <v>43</v>
      </c>
      <c r="O327" s="1">
        <v>70.647800000000004</v>
      </c>
      <c r="P327" s="1">
        <v>-165.99518</v>
      </c>
      <c r="Q327" s="1">
        <v>7.6677499999999998</v>
      </c>
      <c r="R327" s="1">
        <v>31.870750000000001</v>
      </c>
      <c r="S327" s="1">
        <v>289.233</v>
      </c>
      <c r="T327" s="1">
        <v>113.6592338</v>
      </c>
      <c r="U327" s="1">
        <v>21.023578990000001</v>
      </c>
      <c r="V327" s="1">
        <v>7683.3333329999996</v>
      </c>
      <c r="W327" s="3">
        <v>1.2290000000000001</v>
      </c>
      <c r="X327" s="1" t="s">
        <v>2126</v>
      </c>
      <c r="Y327" s="1">
        <v>1.36</v>
      </c>
      <c r="AA327" s="1">
        <v>0.47</v>
      </c>
      <c r="AB327" s="1">
        <v>1.78</v>
      </c>
      <c r="AE327" s="1">
        <v>0.25</v>
      </c>
      <c r="AF327" s="1">
        <v>0.63</v>
      </c>
      <c r="AI327" s="1">
        <v>5</v>
      </c>
      <c r="AJ327" s="1" t="s">
        <v>2126</v>
      </c>
      <c r="AK327" s="1">
        <v>3.4</v>
      </c>
      <c r="AL327" s="1">
        <v>90.757800000000003</v>
      </c>
      <c r="AM327" s="1" t="s">
        <v>2126</v>
      </c>
      <c r="AN327" s="1">
        <v>5.4062742530214596</v>
      </c>
      <c r="AO327" s="1">
        <v>0.81604139668248499</v>
      </c>
      <c r="AP327" s="1" t="s">
        <v>2127</v>
      </c>
      <c r="AR327" s="1">
        <v>16.82</v>
      </c>
      <c r="AT327" s="1">
        <v>20</v>
      </c>
    </row>
    <row r="328" spans="1:46">
      <c r="A328" s="1" t="s">
        <v>2130</v>
      </c>
      <c r="C328" s="1" t="s">
        <v>2130</v>
      </c>
      <c r="D328" s="1" t="s">
        <v>2131</v>
      </c>
      <c r="E328" s="1" t="s">
        <v>1466</v>
      </c>
      <c r="F328" s="1" t="s">
        <v>2106</v>
      </c>
      <c r="G328" s="1" t="s">
        <v>49</v>
      </c>
      <c r="H328" s="2" t="s">
        <v>2125</v>
      </c>
      <c r="I328" s="1">
        <v>82</v>
      </c>
      <c r="J328" s="1">
        <v>20</v>
      </c>
      <c r="K328" s="1" t="s">
        <v>1488</v>
      </c>
      <c r="L328" s="1" t="s">
        <v>65</v>
      </c>
      <c r="M328" s="1">
        <v>20.143000000000001</v>
      </c>
      <c r="N328" s="1">
        <v>43</v>
      </c>
      <c r="O328" s="1">
        <v>70.647800000000004</v>
      </c>
      <c r="P328" s="1">
        <v>-165.99518</v>
      </c>
      <c r="Q328" s="1">
        <v>7.6677499999999998</v>
      </c>
      <c r="R328" s="1">
        <v>31.870750000000001</v>
      </c>
      <c r="S328" s="1">
        <v>289.233</v>
      </c>
      <c r="T328" s="1">
        <v>113.6592338</v>
      </c>
      <c r="U328" s="1">
        <v>21.023578990000001</v>
      </c>
      <c r="V328" s="1">
        <v>7683.3333329999996</v>
      </c>
      <c r="W328" s="3">
        <v>1.2290000000000001</v>
      </c>
      <c r="X328" s="1" t="s">
        <v>2126</v>
      </c>
      <c r="Y328" s="1">
        <v>1.36</v>
      </c>
      <c r="AA328" s="1">
        <v>0.47</v>
      </c>
      <c r="AB328" s="1">
        <v>1.78</v>
      </c>
      <c r="AE328" s="1">
        <v>0.25</v>
      </c>
      <c r="AF328" s="1">
        <v>0.63</v>
      </c>
      <c r="AI328" s="1">
        <v>5</v>
      </c>
      <c r="AJ328" s="1" t="s">
        <v>2126</v>
      </c>
      <c r="AK328" s="1">
        <v>3.4</v>
      </c>
      <c r="AL328" s="1">
        <v>90.757800000000003</v>
      </c>
      <c r="AM328" s="1" t="s">
        <v>2126</v>
      </c>
      <c r="AN328" s="1">
        <v>5.4062742530214596</v>
      </c>
      <c r="AO328" s="1">
        <v>0.81604139668248499</v>
      </c>
      <c r="AP328" s="1" t="s">
        <v>2127</v>
      </c>
      <c r="AR328" s="1">
        <v>16.82</v>
      </c>
      <c r="AT328" s="1">
        <v>20</v>
      </c>
    </row>
    <row r="329" spans="1:46">
      <c r="A329" s="1" t="s">
        <v>2132</v>
      </c>
      <c r="C329" s="1" t="s">
        <v>2132</v>
      </c>
      <c r="D329" s="1" t="s">
        <v>2133</v>
      </c>
      <c r="E329" s="1" t="s">
        <v>1466</v>
      </c>
      <c r="F329" s="1" t="s">
        <v>2106</v>
      </c>
      <c r="G329" s="1" t="s">
        <v>49</v>
      </c>
      <c r="H329" s="2" t="s">
        <v>2134</v>
      </c>
      <c r="I329" s="1">
        <v>82</v>
      </c>
      <c r="J329" s="1">
        <v>0.2</v>
      </c>
      <c r="L329" s="1" t="s">
        <v>65</v>
      </c>
      <c r="M329" s="1">
        <v>30.805</v>
      </c>
      <c r="N329" s="1">
        <v>43</v>
      </c>
      <c r="O329" s="1">
        <v>70.647880000000001</v>
      </c>
      <c r="P329" s="1">
        <v>-165.99506</v>
      </c>
      <c r="Q329" s="1">
        <v>5.1933999999999996</v>
      </c>
      <c r="R329" s="1">
        <v>32.161799999999999</v>
      </c>
      <c r="S329" s="1">
        <v>266.75650000000002</v>
      </c>
      <c r="T329" s="1">
        <v>80.050710230000007</v>
      </c>
      <c r="U329" s="1">
        <v>12.17421588</v>
      </c>
      <c r="V329" s="1">
        <v>87705.88235</v>
      </c>
      <c r="W329" s="3">
        <v>0.25700000000000001</v>
      </c>
      <c r="X329" s="1" t="s">
        <v>2135</v>
      </c>
      <c r="Y329" s="1">
        <v>0.49</v>
      </c>
      <c r="AA329" s="1">
        <v>1.05</v>
      </c>
      <c r="AB329" s="1">
        <v>11.87</v>
      </c>
      <c r="AE329" s="1">
        <v>3.12</v>
      </c>
      <c r="AF329" s="1">
        <v>1.1399999999999999</v>
      </c>
      <c r="AI329" s="1">
        <v>3</v>
      </c>
      <c r="AJ329" s="1" t="s">
        <v>2135</v>
      </c>
      <c r="AK329" s="1">
        <v>3.5</v>
      </c>
      <c r="AL329" s="1">
        <v>92.295000000000002</v>
      </c>
      <c r="AM329" s="1" t="s">
        <v>2135</v>
      </c>
      <c r="AN329" s="1">
        <v>6.5754304851377396</v>
      </c>
      <c r="AO329" s="1">
        <v>0.99251780907739495</v>
      </c>
      <c r="AP329" s="1" t="s">
        <v>2136</v>
      </c>
      <c r="AR329" s="1">
        <v>16.82</v>
      </c>
      <c r="AT329" s="1">
        <v>30</v>
      </c>
    </row>
    <row r="330" spans="1:46">
      <c r="A330" s="1" t="s">
        <v>2137</v>
      </c>
      <c r="C330" s="1" t="s">
        <v>2137</v>
      </c>
      <c r="D330" s="1" t="s">
        <v>2138</v>
      </c>
      <c r="E330" s="1" t="s">
        <v>1466</v>
      </c>
      <c r="F330" s="1" t="s">
        <v>2106</v>
      </c>
      <c r="G330" s="1" t="s">
        <v>49</v>
      </c>
      <c r="H330" s="2" t="s">
        <v>2134</v>
      </c>
      <c r="I330" s="1">
        <v>82</v>
      </c>
      <c r="J330" s="1">
        <v>3</v>
      </c>
      <c r="L330" s="1" t="s">
        <v>65</v>
      </c>
      <c r="M330" s="1">
        <v>30.805</v>
      </c>
      <c r="N330" s="1">
        <v>43</v>
      </c>
      <c r="O330" s="1">
        <v>70.647880000000001</v>
      </c>
      <c r="P330" s="1">
        <v>-165.99506</v>
      </c>
      <c r="Q330" s="1">
        <v>5.1933999999999996</v>
      </c>
      <c r="R330" s="1">
        <v>32.161799999999999</v>
      </c>
      <c r="S330" s="1">
        <v>266.75650000000002</v>
      </c>
      <c r="T330" s="1">
        <v>80.050710230000007</v>
      </c>
      <c r="U330" s="1">
        <v>12.17421588</v>
      </c>
      <c r="V330" s="1">
        <v>87705.88235</v>
      </c>
      <c r="W330" s="3">
        <v>0.25700000000000001</v>
      </c>
      <c r="X330" s="1" t="s">
        <v>2135</v>
      </c>
      <c r="Y330" s="1">
        <v>0.49</v>
      </c>
      <c r="AA330" s="1">
        <v>1.05</v>
      </c>
      <c r="AB330" s="1">
        <v>11.87</v>
      </c>
      <c r="AE330" s="1">
        <v>3.12</v>
      </c>
      <c r="AF330" s="1">
        <v>1.1399999999999999</v>
      </c>
      <c r="AI330" s="1">
        <v>3</v>
      </c>
      <c r="AJ330" s="1" t="s">
        <v>2135</v>
      </c>
      <c r="AK330" s="1">
        <v>3.5</v>
      </c>
      <c r="AL330" s="1">
        <v>92.295000000000002</v>
      </c>
      <c r="AM330" s="1" t="s">
        <v>2135</v>
      </c>
      <c r="AN330" s="1">
        <v>6.5754304851377396</v>
      </c>
      <c r="AO330" s="1">
        <v>0.99251780907739495</v>
      </c>
      <c r="AP330" s="1" t="s">
        <v>2136</v>
      </c>
      <c r="AR330" s="1">
        <v>16.82</v>
      </c>
      <c r="AT330" s="1">
        <v>30</v>
      </c>
    </row>
    <row r="331" spans="1:46">
      <c r="A331" s="1" t="s">
        <v>2139</v>
      </c>
      <c r="C331" s="1" t="s">
        <v>2139</v>
      </c>
      <c r="D331" s="1" t="s">
        <v>2140</v>
      </c>
      <c r="E331" s="1" t="s">
        <v>1466</v>
      </c>
      <c r="F331" s="1" t="s">
        <v>2106</v>
      </c>
      <c r="G331" s="1" t="s">
        <v>49</v>
      </c>
      <c r="H331" s="2" t="s">
        <v>2134</v>
      </c>
      <c r="I331" s="1">
        <v>82</v>
      </c>
      <c r="J331" s="1">
        <v>20</v>
      </c>
      <c r="L331" s="1" t="s">
        <v>65</v>
      </c>
      <c r="M331" s="1">
        <v>30.805</v>
      </c>
      <c r="N331" s="1">
        <v>43</v>
      </c>
      <c r="O331" s="1">
        <v>70.647880000000001</v>
      </c>
      <c r="P331" s="1">
        <v>-165.99506</v>
      </c>
      <c r="Q331" s="1">
        <v>5.1933999999999996</v>
      </c>
      <c r="R331" s="1">
        <v>32.161799999999999</v>
      </c>
      <c r="S331" s="1">
        <v>266.75650000000002</v>
      </c>
      <c r="T331" s="1">
        <v>80.050710230000007</v>
      </c>
      <c r="U331" s="1">
        <v>12.17421588</v>
      </c>
      <c r="V331" s="1">
        <v>87705.88235</v>
      </c>
      <c r="W331" s="3">
        <v>0.25700000000000001</v>
      </c>
      <c r="X331" s="1" t="s">
        <v>2135</v>
      </c>
      <c r="Y331" s="1">
        <v>0.49</v>
      </c>
      <c r="AA331" s="1">
        <v>1.05</v>
      </c>
      <c r="AB331" s="1">
        <v>11.87</v>
      </c>
      <c r="AE331" s="1">
        <v>3.12</v>
      </c>
      <c r="AF331" s="1">
        <v>1.1399999999999999</v>
      </c>
      <c r="AI331" s="1">
        <v>3</v>
      </c>
      <c r="AJ331" s="1" t="s">
        <v>2135</v>
      </c>
      <c r="AK331" s="1">
        <v>3.5</v>
      </c>
      <c r="AL331" s="1">
        <v>92.295000000000002</v>
      </c>
      <c r="AM331" s="1" t="s">
        <v>2135</v>
      </c>
      <c r="AN331" s="1">
        <v>6.5754304851377396</v>
      </c>
      <c r="AO331" s="1">
        <v>0.99251780907739495</v>
      </c>
      <c r="AP331" s="1" t="s">
        <v>2136</v>
      </c>
      <c r="AR331" s="1">
        <v>16.82</v>
      </c>
      <c r="AT331" s="1">
        <v>30</v>
      </c>
    </row>
    <row r="332" spans="1:46">
      <c r="A332" s="1" t="s">
        <v>2141</v>
      </c>
      <c r="C332" s="1" t="s">
        <v>2141</v>
      </c>
      <c r="D332" s="1" t="s">
        <v>2142</v>
      </c>
      <c r="E332" s="1" t="s">
        <v>1466</v>
      </c>
      <c r="F332" s="1" t="s">
        <v>2106</v>
      </c>
      <c r="G332" s="1" t="s">
        <v>49</v>
      </c>
      <c r="H332" s="2" t="s">
        <v>2143</v>
      </c>
      <c r="I332" s="1">
        <v>82</v>
      </c>
      <c r="J332" s="1">
        <v>0.2</v>
      </c>
      <c r="K332" s="1" t="s">
        <v>78</v>
      </c>
      <c r="L332" s="1" t="s">
        <v>78</v>
      </c>
      <c r="M332" s="1">
        <v>39.642000000000003</v>
      </c>
      <c r="N332" s="1">
        <v>43</v>
      </c>
      <c r="O332" s="1">
        <v>70.647940000000006</v>
      </c>
      <c r="P332" s="1">
        <v>-165.99511999999999</v>
      </c>
      <c r="Q332" s="1">
        <v>4.3885500000000004</v>
      </c>
      <c r="R332" s="1">
        <v>32.242600000000003</v>
      </c>
      <c r="S332" s="1">
        <v>256.67250000000001</v>
      </c>
      <c r="T332" s="1">
        <v>97.751502130000006</v>
      </c>
      <c r="U332" s="1">
        <v>14.24895319</v>
      </c>
      <c r="V332" s="1">
        <v>10390.625</v>
      </c>
      <c r="W332" s="3">
        <v>0.309</v>
      </c>
      <c r="X332" s="1" t="s">
        <v>1108</v>
      </c>
      <c r="Y332" s="1">
        <v>0.4</v>
      </c>
      <c r="AA332" s="1">
        <v>1.37</v>
      </c>
      <c r="AB332" s="1">
        <v>18.97</v>
      </c>
      <c r="AE332" s="1">
        <v>3.64</v>
      </c>
      <c r="AF332" s="1">
        <v>1.77</v>
      </c>
      <c r="AI332" s="1">
        <v>1</v>
      </c>
      <c r="AJ332" s="1" t="s">
        <v>1108</v>
      </c>
      <c r="AK332" s="1">
        <v>3.5</v>
      </c>
      <c r="AL332" s="1">
        <v>65.312299999999993</v>
      </c>
      <c r="AM332" s="1" t="s">
        <v>1108</v>
      </c>
      <c r="AN332" s="1">
        <v>6.8602584924345598</v>
      </c>
      <c r="AO332" s="1">
        <v>1.0355107158391801</v>
      </c>
      <c r="AP332" s="1" t="s">
        <v>2144</v>
      </c>
      <c r="AQ332" s="1">
        <v>-1.18</v>
      </c>
      <c r="AR332" s="1">
        <v>16.82</v>
      </c>
      <c r="AT332" s="1">
        <v>40</v>
      </c>
    </row>
    <row r="333" spans="1:46">
      <c r="A333" s="1" t="s">
        <v>2145</v>
      </c>
      <c r="C333" s="1" t="s">
        <v>2145</v>
      </c>
      <c r="D333" s="1" t="s">
        <v>2146</v>
      </c>
      <c r="E333" s="1" t="s">
        <v>1466</v>
      </c>
      <c r="F333" s="1" t="s">
        <v>2106</v>
      </c>
      <c r="G333" s="1" t="s">
        <v>49</v>
      </c>
      <c r="H333" s="2" t="s">
        <v>2143</v>
      </c>
      <c r="I333" s="1">
        <v>82</v>
      </c>
      <c r="J333" s="1">
        <v>3</v>
      </c>
      <c r="K333" s="1" t="s">
        <v>78</v>
      </c>
      <c r="L333" s="1" t="s">
        <v>78</v>
      </c>
      <c r="M333" s="1">
        <v>39.642000000000003</v>
      </c>
      <c r="N333" s="1">
        <v>43</v>
      </c>
      <c r="O333" s="1">
        <v>70.647940000000006</v>
      </c>
      <c r="P333" s="1">
        <v>-165.99511999999999</v>
      </c>
      <c r="Q333" s="1">
        <v>4.3885500000000004</v>
      </c>
      <c r="R333" s="1">
        <v>32.242600000000003</v>
      </c>
      <c r="S333" s="1">
        <v>256.67250000000001</v>
      </c>
      <c r="T333" s="1">
        <v>97.751502130000006</v>
      </c>
      <c r="U333" s="1">
        <v>14.24895319</v>
      </c>
      <c r="V333" s="1">
        <v>10390.625</v>
      </c>
      <c r="W333" s="3">
        <v>0.309</v>
      </c>
      <c r="X333" s="1" t="s">
        <v>1108</v>
      </c>
      <c r="Y333" s="1">
        <v>0.4</v>
      </c>
      <c r="AA333" s="1">
        <v>1.37</v>
      </c>
      <c r="AB333" s="1">
        <v>18.97</v>
      </c>
      <c r="AE333" s="1">
        <v>3.64</v>
      </c>
      <c r="AF333" s="1">
        <v>1.77</v>
      </c>
      <c r="AI333" s="1">
        <v>1</v>
      </c>
      <c r="AJ333" s="1" t="s">
        <v>1108</v>
      </c>
      <c r="AK333" s="1">
        <v>3.5</v>
      </c>
      <c r="AL333" s="1">
        <v>65.312299999999993</v>
      </c>
      <c r="AM333" s="1" t="s">
        <v>1108</v>
      </c>
      <c r="AN333" s="1">
        <v>6.8602584924345598</v>
      </c>
      <c r="AO333" s="1">
        <v>1.0355107158391801</v>
      </c>
      <c r="AP333" s="1" t="s">
        <v>2144</v>
      </c>
      <c r="AQ333" s="1">
        <v>-1.18</v>
      </c>
      <c r="AR333" s="1">
        <v>16.82</v>
      </c>
      <c r="AT333" s="1">
        <v>40</v>
      </c>
    </row>
    <row r="334" spans="1:46">
      <c r="A334" s="1" t="s">
        <v>2147</v>
      </c>
      <c r="C334" s="1" t="s">
        <v>2147</v>
      </c>
      <c r="D334" s="1" t="s">
        <v>2148</v>
      </c>
      <c r="E334" s="1" t="s">
        <v>1466</v>
      </c>
      <c r="F334" s="1" t="s">
        <v>2106</v>
      </c>
      <c r="G334" s="1" t="s">
        <v>49</v>
      </c>
      <c r="H334" s="2" t="s">
        <v>2143</v>
      </c>
      <c r="I334" s="1">
        <v>82</v>
      </c>
      <c r="J334" s="1">
        <v>20</v>
      </c>
      <c r="K334" s="1" t="s">
        <v>78</v>
      </c>
      <c r="L334" s="1" t="s">
        <v>78</v>
      </c>
      <c r="M334" s="1">
        <v>39.642000000000003</v>
      </c>
      <c r="N334" s="1">
        <v>43</v>
      </c>
      <c r="O334" s="1">
        <v>70.647940000000006</v>
      </c>
      <c r="P334" s="1">
        <v>-165.99511999999999</v>
      </c>
      <c r="Q334" s="1">
        <v>4.3885500000000004</v>
      </c>
      <c r="R334" s="1">
        <v>32.242600000000003</v>
      </c>
      <c r="S334" s="1">
        <v>256.67250000000001</v>
      </c>
      <c r="T334" s="1">
        <v>97.751502130000006</v>
      </c>
      <c r="U334" s="1">
        <v>14.24895319</v>
      </c>
      <c r="V334" s="1">
        <v>10390.625</v>
      </c>
      <c r="W334" s="3">
        <v>0.309</v>
      </c>
      <c r="X334" s="1" t="s">
        <v>1108</v>
      </c>
      <c r="Y334" s="1">
        <v>0.4</v>
      </c>
      <c r="AA334" s="1">
        <v>1.37</v>
      </c>
      <c r="AB334" s="1">
        <v>18.97</v>
      </c>
      <c r="AE334" s="1">
        <v>3.64</v>
      </c>
      <c r="AF334" s="1">
        <v>1.77</v>
      </c>
      <c r="AI334" s="1">
        <v>1</v>
      </c>
      <c r="AJ334" s="1" t="s">
        <v>1108</v>
      </c>
      <c r="AK334" s="1">
        <v>3.5</v>
      </c>
      <c r="AL334" s="1">
        <v>65.312299999999993</v>
      </c>
      <c r="AM334" s="1" t="s">
        <v>1108</v>
      </c>
      <c r="AN334" s="1">
        <v>6.8602584924345598</v>
      </c>
      <c r="AO334" s="1">
        <v>1.0355107158391801</v>
      </c>
      <c r="AP334" s="1" t="s">
        <v>2144</v>
      </c>
      <c r="AQ334" s="1">
        <v>-1.18</v>
      </c>
      <c r="AR334" s="1">
        <v>16.82</v>
      </c>
      <c r="AT334" s="1">
        <v>40</v>
      </c>
    </row>
    <row r="335" spans="1:46">
      <c r="A335" s="1" t="s">
        <v>2149</v>
      </c>
      <c r="C335" s="1" t="s">
        <v>2149</v>
      </c>
      <c r="D335" s="1" t="s">
        <v>2150</v>
      </c>
      <c r="E335" s="1" t="s">
        <v>1466</v>
      </c>
      <c r="F335" s="1" t="s">
        <v>2151</v>
      </c>
      <c r="G335" s="1" t="s">
        <v>49</v>
      </c>
      <c r="H335" s="2" t="s">
        <v>2152</v>
      </c>
      <c r="I335" s="1">
        <v>15</v>
      </c>
      <c r="J335" s="1">
        <v>0.2</v>
      </c>
      <c r="K335" s="1" t="s">
        <v>52</v>
      </c>
      <c r="L335" s="1" t="s">
        <v>52</v>
      </c>
      <c r="M335" s="1">
        <v>5.0620000000000003</v>
      </c>
      <c r="N335" s="1">
        <v>33</v>
      </c>
      <c r="O335" s="1">
        <v>70.086969999999994</v>
      </c>
      <c r="P335" s="1">
        <v>-163.95998</v>
      </c>
      <c r="Q335" s="1">
        <v>9.8908000000000005</v>
      </c>
      <c r="R335" s="1">
        <v>30.55875</v>
      </c>
      <c r="S335" s="1">
        <v>282.95549999999997</v>
      </c>
      <c r="T335" s="1">
        <v>142.98687509999999</v>
      </c>
      <c r="U335" s="1">
        <v>19.947612320000001</v>
      </c>
      <c r="V335" s="1">
        <v>14466.666670000001</v>
      </c>
      <c r="W335" s="3">
        <v>1.024</v>
      </c>
      <c r="X335" s="1" t="s">
        <v>2153</v>
      </c>
      <c r="Y335" s="1">
        <v>1.1399999999999999</v>
      </c>
      <c r="AA335" s="1">
        <v>0.41</v>
      </c>
      <c r="AB335" s="1">
        <v>4.82</v>
      </c>
      <c r="AE335" s="1">
        <v>1.25</v>
      </c>
      <c r="AF335" s="1">
        <v>0.48</v>
      </c>
      <c r="AI335" s="1">
        <v>9</v>
      </c>
      <c r="AJ335" s="1" t="s">
        <v>2153</v>
      </c>
      <c r="AK335" s="1">
        <v>3</v>
      </c>
      <c r="AL335" s="1">
        <v>91.298299999999998</v>
      </c>
      <c r="AM335" s="1" t="s">
        <v>2153</v>
      </c>
      <c r="AN335" s="1">
        <v>7.1681198133491701</v>
      </c>
      <c r="AO335" s="1">
        <v>1.0819803491847799</v>
      </c>
      <c r="AP335" s="1" t="s">
        <v>2154</v>
      </c>
      <c r="AQ335" s="1">
        <v>-2.2400000000000002</v>
      </c>
      <c r="AR335" s="1">
        <v>3.16</v>
      </c>
      <c r="AT335" s="1">
        <v>5</v>
      </c>
    </row>
    <row r="336" spans="1:46">
      <c r="A336" s="1" t="s">
        <v>2155</v>
      </c>
      <c r="C336" s="1" t="s">
        <v>2155</v>
      </c>
      <c r="D336" s="1" t="s">
        <v>2156</v>
      </c>
      <c r="E336" s="1" t="s">
        <v>1466</v>
      </c>
      <c r="F336" s="1" t="s">
        <v>2151</v>
      </c>
      <c r="G336" s="1" t="s">
        <v>49</v>
      </c>
      <c r="H336" s="2" t="s">
        <v>2152</v>
      </c>
      <c r="I336" s="1">
        <v>15</v>
      </c>
      <c r="J336" s="1">
        <v>3</v>
      </c>
      <c r="K336" s="1" t="s">
        <v>52</v>
      </c>
      <c r="L336" s="1" t="s">
        <v>52</v>
      </c>
      <c r="M336" s="1">
        <v>5.0620000000000003</v>
      </c>
      <c r="N336" s="1">
        <v>33</v>
      </c>
      <c r="O336" s="1">
        <v>70.086969999999994</v>
      </c>
      <c r="P336" s="1">
        <v>-163.95998</v>
      </c>
      <c r="Q336" s="1">
        <v>9.8908000000000005</v>
      </c>
      <c r="R336" s="1">
        <v>30.55875</v>
      </c>
      <c r="S336" s="1">
        <v>282.95549999999997</v>
      </c>
      <c r="T336" s="1">
        <v>142.98687509999999</v>
      </c>
      <c r="U336" s="1">
        <v>19.947612320000001</v>
      </c>
      <c r="V336" s="1">
        <v>14466.666670000001</v>
      </c>
      <c r="W336" s="3">
        <v>1.024</v>
      </c>
      <c r="X336" s="1" t="s">
        <v>2153</v>
      </c>
      <c r="Y336" s="1">
        <v>1.1399999999999999</v>
      </c>
      <c r="AA336" s="1">
        <v>0.41</v>
      </c>
      <c r="AB336" s="1">
        <v>4.82</v>
      </c>
      <c r="AE336" s="1">
        <v>1.25</v>
      </c>
      <c r="AF336" s="1">
        <v>0.48</v>
      </c>
      <c r="AI336" s="1">
        <v>9</v>
      </c>
      <c r="AJ336" s="1" t="s">
        <v>2153</v>
      </c>
      <c r="AK336" s="1">
        <v>3</v>
      </c>
      <c r="AL336" s="1">
        <v>91.298299999999998</v>
      </c>
      <c r="AM336" s="1" t="s">
        <v>2153</v>
      </c>
      <c r="AN336" s="1">
        <v>7.1681198133491701</v>
      </c>
      <c r="AO336" s="1">
        <v>1.0819803491847799</v>
      </c>
      <c r="AP336" s="1" t="s">
        <v>2154</v>
      </c>
      <c r="AQ336" s="1">
        <v>-2.2400000000000002</v>
      </c>
      <c r="AR336" s="1">
        <v>3.16</v>
      </c>
      <c r="AT336" s="1">
        <v>5</v>
      </c>
    </row>
    <row r="337" spans="1:46">
      <c r="A337" s="1" t="s">
        <v>2157</v>
      </c>
      <c r="C337" s="1" t="s">
        <v>2157</v>
      </c>
      <c r="D337" s="1" t="s">
        <v>2158</v>
      </c>
      <c r="E337" s="1" t="s">
        <v>1466</v>
      </c>
      <c r="F337" s="1" t="s">
        <v>2151</v>
      </c>
      <c r="G337" s="1" t="s">
        <v>49</v>
      </c>
      <c r="H337" s="2" t="s">
        <v>2152</v>
      </c>
      <c r="I337" s="1">
        <v>15</v>
      </c>
      <c r="J337" s="1">
        <v>20</v>
      </c>
      <c r="K337" s="1" t="s">
        <v>52</v>
      </c>
      <c r="L337" s="1" t="s">
        <v>52</v>
      </c>
      <c r="M337" s="1">
        <v>5.0620000000000003</v>
      </c>
      <c r="N337" s="1">
        <v>33</v>
      </c>
      <c r="O337" s="1">
        <v>70.086969999999994</v>
      </c>
      <c r="P337" s="1">
        <v>-163.95998</v>
      </c>
      <c r="Q337" s="1">
        <v>9.8908000000000005</v>
      </c>
      <c r="R337" s="1">
        <v>30.55875</v>
      </c>
      <c r="S337" s="1">
        <v>282.95549999999997</v>
      </c>
      <c r="T337" s="1">
        <v>142.98687509999999</v>
      </c>
      <c r="U337" s="1">
        <v>19.947612320000001</v>
      </c>
      <c r="V337" s="1">
        <v>14466.666670000001</v>
      </c>
      <c r="W337" s="3">
        <v>1.024</v>
      </c>
      <c r="X337" s="1" t="s">
        <v>2153</v>
      </c>
      <c r="Y337" s="1">
        <v>1.1399999999999999</v>
      </c>
      <c r="AA337" s="1">
        <v>0.41</v>
      </c>
      <c r="AB337" s="1">
        <v>4.82</v>
      </c>
      <c r="AE337" s="1">
        <v>1.25</v>
      </c>
      <c r="AF337" s="1">
        <v>0.48</v>
      </c>
      <c r="AI337" s="1">
        <v>9</v>
      </c>
      <c r="AJ337" s="1" t="s">
        <v>2153</v>
      </c>
      <c r="AK337" s="1">
        <v>3</v>
      </c>
      <c r="AL337" s="1">
        <v>91.298299999999998</v>
      </c>
      <c r="AM337" s="1" t="s">
        <v>2153</v>
      </c>
      <c r="AN337" s="1">
        <v>7.1681198133491701</v>
      </c>
      <c r="AO337" s="1">
        <v>1.0819803491847799</v>
      </c>
      <c r="AP337" s="1" t="s">
        <v>2154</v>
      </c>
      <c r="AQ337" s="1">
        <v>-2.2400000000000002</v>
      </c>
      <c r="AR337" s="1">
        <v>3.16</v>
      </c>
      <c r="AT337" s="1">
        <v>5</v>
      </c>
    </row>
    <row r="338" spans="1:46">
      <c r="A338" s="1" t="s">
        <v>2159</v>
      </c>
      <c r="C338" s="1" t="s">
        <v>2159</v>
      </c>
      <c r="D338" s="1" t="s">
        <v>2160</v>
      </c>
      <c r="E338" s="1" t="s">
        <v>1466</v>
      </c>
      <c r="F338" s="1" t="s">
        <v>2151</v>
      </c>
      <c r="G338" s="1" t="s">
        <v>49</v>
      </c>
      <c r="H338" s="2" t="s">
        <v>2161</v>
      </c>
      <c r="I338" s="1">
        <v>15</v>
      </c>
      <c r="J338" s="1">
        <v>3</v>
      </c>
      <c r="K338" s="1" t="s">
        <v>1488</v>
      </c>
      <c r="L338" s="1" t="s">
        <v>65</v>
      </c>
      <c r="M338" s="1">
        <v>21.516999999999999</v>
      </c>
      <c r="N338" s="1">
        <v>33</v>
      </c>
      <c r="O338" s="1">
        <v>70.087180000000004</v>
      </c>
      <c r="P338" s="1">
        <v>-163.96036000000001</v>
      </c>
      <c r="Q338" s="1">
        <v>6.1161500000000002</v>
      </c>
      <c r="R338" s="1">
        <v>31.366599999999998</v>
      </c>
      <c r="S338" s="1">
        <v>259.74250000000001</v>
      </c>
      <c r="T338" s="1">
        <v>112.8425541</v>
      </c>
      <c r="U338" s="1">
        <v>15.76537506</v>
      </c>
      <c r="V338" s="1">
        <v>2783.333333</v>
      </c>
      <c r="W338" s="3">
        <v>1.9570000000000001</v>
      </c>
      <c r="X338" s="1" t="s">
        <v>2162</v>
      </c>
      <c r="Y338" s="1">
        <v>2</v>
      </c>
      <c r="AA338" s="1">
        <v>0.51</v>
      </c>
      <c r="AB338" s="1">
        <v>4.5999999999999996</v>
      </c>
      <c r="AE338" s="1">
        <v>0.56000000000000005</v>
      </c>
      <c r="AF338" s="1">
        <v>0.1</v>
      </c>
      <c r="AI338" s="1">
        <v>4</v>
      </c>
      <c r="AJ338" s="1" t="s">
        <v>2163</v>
      </c>
      <c r="AK338" s="1">
        <v>1.8</v>
      </c>
      <c r="AL338" s="1">
        <v>89.455699999999993</v>
      </c>
      <c r="AM338" s="1" t="s">
        <v>2162</v>
      </c>
      <c r="AN338" s="1">
        <v>7.1576193823834098</v>
      </c>
      <c r="AO338" s="1">
        <v>1.0803953784729701</v>
      </c>
      <c r="AP338" s="1" t="s">
        <v>2164</v>
      </c>
      <c r="AR338" s="1">
        <v>3.16</v>
      </c>
      <c r="AT338" s="1">
        <v>22</v>
      </c>
    </row>
    <row r="339" spans="1:46">
      <c r="A339" s="1" t="s">
        <v>2165</v>
      </c>
      <c r="C339" s="1" t="s">
        <v>2165</v>
      </c>
      <c r="D339" s="1" t="s">
        <v>2166</v>
      </c>
      <c r="E339" s="1" t="s">
        <v>1466</v>
      </c>
      <c r="F339" s="1" t="s">
        <v>2151</v>
      </c>
      <c r="G339" s="1" t="s">
        <v>49</v>
      </c>
      <c r="H339" s="2" t="s">
        <v>2161</v>
      </c>
      <c r="I339" s="1">
        <v>15</v>
      </c>
      <c r="J339" s="1">
        <v>20</v>
      </c>
      <c r="K339" s="1" t="s">
        <v>1488</v>
      </c>
      <c r="L339" s="1" t="s">
        <v>65</v>
      </c>
      <c r="M339" s="1">
        <v>21.516999999999999</v>
      </c>
      <c r="N339" s="1">
        <v>33</v>
      </c>
      <c r="O339" s="1">
        <v>70.087180000000004</v>
      </c>
      <c r="P339" s="1">
        <v>-163.96036000000001</v>
      </c>
      <c r="Q339" s="1">
        <v>6.1161500000000002</v>
      </c>
      <c r="R339" s="1">
        <v>31.366599999999998</v>
      </c>
      <c r="S339" s="1">
        <v>259.74250000000001</v>
      </c>
      <c r="T339" s="1">
        <v>112.8425541</v>
      </c>
      <c r="U339" s="1">
        <v>15.76537506</v>
      </c>
      <c r="V339" s="1">
        <v>2783.333333</v>
      </c>
      <c r="W339" s="3">
        <v>1.9570000000000001</v>
      </c>
      <c r="X339" s="1" t="s">
        <v>2162</v>
      </c>
      <c r="Y339" s="1">
        <v>2</v>
      </c>
      <c r="AA339" s="1">
        <v>0.51</v>
      </c>
      <c r="AB339" s="1">
        <v>4.5999999999999996</v>
      </c>
      <c r="AE339" s="1">
        <v>0.56000000000000005</v>
      </c>
      <c r="AF339" s="1">
        <v>0.1</v>
      </c>
      <c r="AI339" s="1">
        <v>4</v>
      </c>
      <c r="AJ339" s="1" t="s">
        <v>2163</v>
      </c>
      <c r="AK339" s="1">
        <v>1.8</v>
      </c>
      <c r="AL339" s="1">
        <v>89.455699999999993</v>
      </c>
      <c r="AM339" s="1" t="s">
        <v>2162</v>
      </c>
      <c r="AN339" s="1">
        <v>7.1576193823834098</v>
      </c>
      <c r="AO339" s="1">
        <v>1.0803953784729701</v>
      </c>
      <c r="AP339" s="1" t="s">
        <v>2164</v>
      </c>
      <c r="AR339" s="1">
        <v>3.16</v>
      </c>
      <c r="AT339" s="1">
        <v>22</v>
      </c>
    </row>
    <row r="340" spans="1:46">
      <c r="A340" s="1" t="s">
        <v>2167</v>
      </c>
      <c r="C340" s="1" t="s">
        <v>2167</v>
      </c>
      <c r="D340" s="1" t="s">
        <v>2168</v>
      </c>
      <c r="E340" s="1" t="s">
        <v>1466</v>
      </c>
      <c r="F340" s="1" t="s">
        <v>2151</v>
      </c>
      <c r="G340" s="1" t="s">
        <v>49</v>
      </c>
      <c r="H340" s="2" t="s">
        <v>2169</v>
      </c>
      <c r="I340" s="1">
        <v>15</v>
      </c>
      <c r="J340" s="1">
        <v>0.2</v>
      </c>
      <c r="K340" s="1" t="s">
        <v>78</v>
      </c>
      <c r="L340" s="1" t="s">
        <v>78</v>
      </c>
      <c r="M340" s="1">
        <v>28.457999999999998</v>
      </c>
      <c r="N340" s="1">
        <v>33</v>
      </c>
      <c r="O340" s="1">
        <v>70.087180000000004</v>
      </c>
      <c r="P340" s="1">
        <v>-163.96024</v>
      </c>
      <c r="Q340" s="1">
        <v>4.4612999999999996</v>
      </c>
      <c r="R340" s="1">
        <v>31.269950000000001</v>
      </c>
      <c r="S340" s="1">
        <v>209.46600000000001</v>
      </c>
      <c r="T340" s="1">
        <v>114.7649632</v>
      </c>
      <c r="U340" s="1">
        <v>12.00651989</v>
      </c>
      <c r="V340" s="1">
        <v>4833.3333329999996</v>
      </c>
      <c r="W340" s="3">
        <v>0.41199999999999998</v>
      </c>
      <c r="X340" s="1" t="s">
        <v>2170</v>
      </c>
      <c r="Y340" s="1">
        <v>0.81</v>
      </c>
      <c r="AA340" s="1">
        <v>1.1000000000000001</v>
      </c>
      <c r="AB340" s="1">
        <v>26.45</v>
      </c>
      <c r="AE340" s="1">
        <v>3.76</v>
      </c>
      <c r="AF340" s="1">
        <v>1.22</v>
      </c>
      <c r="AI340" s="1">
        <v>1</v>
      </c>
      <c r="AJ340" s="1" t="s">
        <v>2170</v>
      </c>
      <c r="AK340" s="1">
        <v>1.5</v>
      </c>
      <c r="AL340" s="1">
        <v>82.918099999999995</v>
      </c>
      <c r="AM340" s="1" t="s">
        <v>2170</v>
      </c>
      <c r="AN340" s="1">
        <v>9.55855354019657</v>
      </c>
      <c r="AO340" s="1">
        <v>1.44280053436929</v>
      </c>
      <c r="AP340" s="1" t="s">
        <v>2171</v>
      </c>
      <c r="AQ340" s="1">
        <v>-1.76</v>
      </c>
      <c r="AR340" s="1">
        <v>3.16</v>
      </c>
      <c r="AS340" s="1" t="s">
        <v>2172</v>
      </c>
      <c r="AT340" s="1">
        <v>28</v>
      </c>
    </row>
    <row r="341" spans="1:46">
      <c r="A341" s="1" t="s">
        <v>2173</v>
      </c>
      <c r="C341" s="1" t="s">
        <v>2173</v>
      </c>
      <c r="D341" s="1" t="s">
        <v>2174</v>
      </c>
      <c r="E341" s="1" t="s">
        <v>1466</v>
      </c>
      <c r="F341" s="1" t="s">
        <v>2151</v>
      </c>
      <c r="G341" s="1" t="s">
        <v>49</v>
      </c>
      <c r="H341" s="2" t="s">
        <v>2169</v>
      </c>
      <c r="I341" s="1">
        <v>15</v>
      </c>
      <c r="J341" s="1">
        <v>3</v>
      </c>
      <c r="K341" s="1" t="s">
        <v>78</v>
      </c>
      <c r="L341" s="1" t="s">
        <v>78</v>
      </c>
      <c r="M341" s="1">
        <v>28.457999999999998</v>
      </c>
      <c r="N341" s="1">
        <v>33</v>
      </c>
      <c r="O341" s="1">
        <v>70.087180000000004</v>
      </c>
      <c r="P341" s="1">
        <v>-163.96024</v>
      </c>
      <c r="Q341" s="1">
        <v>4.4612999999999996</v>
      </c>
      <c r="R341" s="1">
        <v>31.269950000000001</v>
      </c>
      <c r="S341" s="1">
        <v>209.46600000000001</v>
      </c>
      <c r="T341" s="1">
        <v>114.7649632</v>
      </c>
      <c r="U341" s="1">
        <v>12.00651989</v>
      </c>
      <c r="V341" s="1">
        <v>4833.3333329999996</v>
      </c>
      <c r="W341" s="3">
        <v>0.41199999999999998</v>
      </c>
      <c r="X341" s="1" t="s">
        <v>2170</v>
      </c>
      <c r="Y341" s="1">
        <v>0.81</v>
      </c>
      <c r="AA341" s="1">
        <v>1.1000000000000001</v>
      </c>
      <c r="AB341" s="1">
        <v>26.45</v>
      </c>
      <c r="AE341" s="1">
        <v>3.76</v>
      </c>
      <c r="AF341" s="1">
        <v>1.22</v>
      </c>
      <c r="AI341" s="1">
        <v>1</v>
      </c>
      <c r="AJ341" s="1" t="s">
        <v>2170</v>
      </c>
      <c r="AK341" s="1">
        <v>1.5</v>
      </c>
      <c r="AL341" s="1">
        <v>82.918099999999995</v>
      </c>
      <c r="AM341" s="1" t="s">
        <v>2170</v>
      </c>
      <c r="AN341" s="1">
        <v>9.55855354019657</v>
      </c>
      <c r="AO341" s="1">
        <v>1.44280053436929</v>
      </c>
      <c r="AP341" s="1" t="s">
        <v>2171</v>
      </c>
      <c r="AQ341" s="1">
        <v>-1.76</v>
      </c>
      <c r="AR341" s="1">
        <v>3.16</v>
      </c>
      <c r="AT341" s="1">
        <v>28</v>
      </c>
    </row>
    <row r="342" spans="1:46">
      <c r="A342" s="1" t="s">
        <v>2175</v>
      </c>
      <c r="C342" s="1" t="s">
        <v>2175</v>
      </c>
      <c r="D342" s="1" t="s">
        <v>2176</v>
      </c>
      <c r="E342" s="1" t="s">
        <v>1466</v>
      </c>
      <c r="F342" s="1" t="s">
        <v>2151</v>
      </c>
      <c r="G342" s="1" t="s">
        <v>49</v>
      </c>
      <c r="H342" s="2" t="s">
        <v>2169</v>
      </c>
      <c r="I342" s="1">
        <v>15</v>
      </c>
      <c r="J342" s="1">
        <v>20</v>
      </c>
      <c r="K342" s="1" t="s">
        <v>78</v>
      </c>
      <c r="L342" s="1" t="s">
        <v>78</v>
      </c>
      <c r="M342" s="1">
        <v>28.457999999999998</v>
      </c>
      <c r="N342" s="1">
        <v>33</v>
      </c>
      <c r="O342" s="1">
        <v>70.087180000000004</v>
      </c>
      <c r="P342" s="1">
        <v>-163.96024</v>
      </c>
      <c r="Q342" s="1">
        <v>4.4612999999999996</v>
      </c>
      <c r="R342" s="1">
        <v>31.269950000000001</v>
      </c>
      <c r="S342" s="1">
        <v>209.46600000000001</v>
      </c>
      <c r="T342" s="1">
        <v>114.7649632</v>
      </c>
      <c r="U342" s="1">
        <v>12.00651989</v>
      </c>
      <c r="V342" s="1">
        <v>4833.3333329999996</v>
      </c>
      <c r="W342" s="3">
        <v>0.41199999999999998</v>
      </c>
      <c r="X342" s="1" t="s">
        <v>2170</v>
      </c>
      <c r="Y342" s="1">
        <v>0.81</v>
      </c>
      <c r="AA342" s="1">
        <v>1.1000000000000001</v>
      </c>
      <c r="AB342" s="1">
        <v>26.45</v>
      </c>
      <c r="AE342" s="1">
        <v>3.76</v>
      </c>
      <c r="AF342" s="1">
        <v>1.22</v>
      </c>
      <c r="AI342" s="1">
        <v>1</v>
      </c>
      <c r="AJ342" s="1" t="s">
        <v>2170</v>
      </c>
      <c r="AK342" s="1">
        <v>1.5</v>
      </c>
      <c r="AL342" s="1">
        <v>82.918099999999995</v>
      </c>
      <c r="AM342" s="1" t="s">
        <v>2170</v>
      </c>
      <c r="AN342" s="1">
        <v>9.55855354019657</v>
      </c>
      <c r="AO342" s="1">
        <v>1.44280053436929</v>
      </c>
      <c r="AP342" s="1" t="s">
        <v>2171</v>
      </c>
      <c r="AQ342" s="1">
        <v>-1.76</v>
      </c>
      <c r="AR342" s="1">
        <v>3.16</v>
      </c>
      <c r="AT342" s="1">
        <v>28</v>
      </c>
    </row>
    <row r="343" spans="1:46">
      <c r="A343" s="1" t="s">
        <v>2177</v>
      </c>
      <c r="C343" s="1" t="s">
        <v>2177</v>
      </c>
      <c r="D343" s="1" t="s">
        <v>2178</v>
      </c>
      <c r="E343" s="1" t="s">
        <v>1466</v>
      </c>
      <c r="F343" s="1" t="s">
        <v>2179</v>
      </c>
      <c r="G343" s="1" t="s">
        <v>49</v>
      </c>
      <c r="H343" s="2" t="s">
        <v>2180</v>
      </c>
      <c r="I343" s="1">
        <v>21</v>
      </c>
      <c r="J343" s="1">
        <v>0.2</v>
      </c>
      <c r="K343" s="1" t="s">
        <v>52</v>
      </c>
      <c r="L343" s="1" t="s">
        <v>52</v>
      </c>
      <c r="M343" s="1">
        <v>5.234</v>
      </c>
      <c r="N343" s="1">
        <v>46</v>
      </c>
      <c r="O343" s="1">
        <v>70.843519999999998</v>
      </c>
      <c r="P343" s="1">
        <v>-161.53832</v>
      </c>
      <c r="Q343" s="1">
        <v>7.7843499999999999</v>
      </c>
      <c r="R343" s="1">
        <v>32.21</v>
      </c>
      <c r="S343" s="1">
        <v>293.517</v>
      </c>
      <c r="T343" s="1">
        <v>123.11680269999999</v>
      </c>
      <c r="U343" s="1">
        <v>18.52076138</v>
      </c>
      <c r="V343" s="1">
        <v>7280</v>
      </c>
      <c r="W343" s="3">
        <v>0.67900000000000005</v>
      </c>
      <c r="X343" s="1" t="s">
        <v>2181</v>
      </c>
      <c r="Y343" s="1">
        <v>0.78</v>
      </c>
      <c r="AA343" s="1">
        <v>0.39</v>
      </c>
      <c r="AB343" s="1">
        <v>1.78</v>
      </c>
      <c r="AE343" s="1">
        <v>0.3</v>
      </c>
      <c r="AF343" s="1">
        <v>0.35</v>
      </c>
      <c r="AI343" s="1">
        <v>9</v>
      </c>
      <c r="AJ343" s="1" t="s">
        <v>2181</v>
      </c>
      <c r="AK343" s="1">
        <v>4</v>
      </c>
      <c r="AL343" s="1">
        <v>92.745099999999994</v>
      </c>
      <c r="AM343" s="1" t="s">
        <v>2181</v>
      </c>
      <c r="AN343" s="1">
        <v>6.6475022367573997</v>
      </c>
      <c r="AO343" s="1">
        <v>1.00339656403885</v>
      </c>
      <c r="AP343" s="1" t="s">
        <v>2182</v>
      </c>
      <c r="AQ343" s="1">
        <v>-1.29</v>
      </c>
      <c r="AR343" s="1">
        <v>33.83</v>
      </c>
      <c r="AT343" s="1">
        <v>5</v>
      </c>
    </row>
    <row r="344" spans="1:46">
      <c r="A344" s="1" t="s">
        <v>2183</v>
      </c>
      <c r="C344" s="1" t="s">
        <v>2183</v>
      </c>
      <c r="D344" s="1" t="s">
        <v>2184</v>
      </c>
      <c r="E344" s="1" t="s">
        <v>1466</v>
      </c>
      <c r="F344" s="1" t="s">
        <v>2179</v>
      </c>
      <c r="G344" s="1" t="s">
        <v>49</v>
      </c>
      <c r="H344" s="2" t="s">
        <v>2180</v>
      </c>
      <c r="I344" s="1">
        <v>21</v>
      </c>
      <c r="J344" s="1">
        <v>3</v>
      </c>
      <c r="K344" s="1" t="s">
        <v>52</v>
      </c>
      <c r="L344" s="1" t="s">
        <v>52</v>
      </c>
      <c r="M344" s="1">
        <v>5.234</v>
      </c>
      <c r="N344" s="1">
        <v>46</v>
      </c>
      <c r="O344" s="1">
        <v>70.843519999999998</v>
      </c>
      <c r="P344" s="1">
        <v>-161.53832</v>
      </c>
      <c r="Q344" s="1">
        <v>7.7843499999999999</v>
      </c>
      <c r="R344" s="1">
        <v>32.21</v>
      </c>
      <c r="S344" s="1">
        <v>293.517</v>
      </c>
      <c r="T344" s="1">
        <v>123.11680269999999</v>
      </c>
      <c r="U344" s="1">
        <v>18.52076138</v>
      </c>
      <c r="V344" s="1">
        <v>7280</v>
      </c>
      <c r="W344" s="3">
        <v>0.67900000000000005</v>
      </c>
      <c r="X344" s="1" t="s">
        <v>2181</v>
      </c>
      <c r="Y344" s="1">
        <v>0.78</v>
      </c>
      <c r="AA344" s="1">
        <v>0.39</v>
      </c>
      <c r="AB344" s="1">
        <v>1.78</v>
      </c>
      <c r="AE344" s="1">
        <v>0.3</v>
      </c>
      <c r="AF344" s="1">
        <v>0.35</v>
      </c>
      <c r="AI344" s="1">
        <v>9</v>
      </c>
      <c r="AJ344" s="1" t="s">
        <v>2181</v>
      </c>
      <c r="AK344" s="1">
        <v>4</v>
      </c>
      <c r="AL344" s="1">
        <v>92.745099999999994</v>
      </c>
      <c r="AM344" s="1" t="s">
        <v>2181</v>
      </c>
      <c r="AN344" s="1">
        <v>6.6475022367573997</v>
      </c>
      <c r="AO344" s="1">
        <v>1.00339656403885</v>
      </c>
      <c r="AP344" s="1" t="s">
        <v>2182</v>
      </c>
      <c r="AQ344" s="1">
        <v>-1.29</v>
      </c>
      <c r="AR344" s="1">
        <v>33.83</v>
      </c>
      <c r="AT344" s="1">
        <v>5</v>
      </c>
    </row>
    <row r="345" spans="1:46">
      <c r="A345" s="1" t="s">
        <v>2185</v>
      </c>
      <c r="C345" s="1" t="s">
        <v>2185</v>
      </c>
      <c r="D345" s="1" t="s">
        <v>2186</v>
      </c>
      <c r="E345" s="1" t="s">
        <v>1466</v>
      </c>
      <c r="F345" s="1" t="s">
        <v>2179</v>
      </c>
      <c r="G345" s="1" t="s">
        <v>49</v>
      </c>
      <c r="H345" s="2" t="s">
        <v>2180</v>
      </c>
      <c r="I345" s="1">
        <v>21</v>
      </c>
      <c r="J345" s="1">
        <v>20</v>
      </c>
      <c r="K345" s="1" t="s">
        <v>52</v>
      </c>
      <c r="L345" s="1" t="s">
        <v>52</v>
      </c>
      <c r="M345" s="1">
        <v>5.234</v>
      </c>
      <c r="N345" s="1">
        <v>46</v>
      </c>
      <c r="O345" s="1">
        <v>70.843519999999998</v>
      </c>
      <c r="P345" s="1">
        <v>-161.53832</v>
      </c>
      <c r="Q345" s="1">
        <v>7.7843499999999999</v>
      </c>
      <c r="R345" s="1">
        <v>32.21</v>
      </c>
      <c r="S345" s="1">
        <v>293.517</v>
      </c>
      <c r="T345" s="1">
        <v>123.11680269999999</v>
      </c>
      <c r="U345" s="1">
        <v>18.52076138</v>
      </c>
      <c r="V345" s="1">
        <v>7280</v>
      </c>
      <c r="W345" s="3">
        <v>0.67900000000000005</v>
      </c>
      <c r="X345" s="1" t="s">
        <v>2181</v>
      </c>
      <c r="Y345" s="1">
        <v>0.78</v>
      </c>
      <c r="AA345" s="1">
        <v>0.39</v>
      </c>
      <c r="AB345" s="1">
        <v>1.78</v>
      </c>
      <c r="AE345" s="1">
        <v>0.3</v>
      </c>
      <c r="AF345" s="1">
        <v>0.35</v>
      </c>
      <c r="AI345" s="1">
        <v>9</v>
      </c>
      <c r="AJ345" s="1" t="s">
        <v>2181</v>
      </c>
      <c r="AK345" s="1">
        <v>4</v>
      </c>
      <c r="AL345" s="1">
        <v>92.745099999999994</v>
      </c>
      <c r="AM345" s="1" t="s">
        <v>2181</v>
      </c>
      <c r="AN345" s="1">
        <v>6.6475022367573997</v>
      </c>
      <c r="AO345" s="1">
        <v>1.00339656403885</v>
      </c>
      <c r="AP345" s="1" t="s">
        <v>2182</v>
      </c>
      <c r="AQ345" s="1">
        <v>-1.29</v>
      </c>
      <c r="AR345" s="1">
        <v>33.83</v>
      </c>
      <c r="AT345" s="1">
        <v>5</v>
      </c>
    </row>
    <row r="346" spans="1:46">
      <c r="A346" s="1" t="s">
        <v>2187</v>
      </c>
      <c r="C346" s="1" t="s">
        <v>2187</v>
      </c>
      <c r="D346" s="1" t="s">
        <v>2188</v>
      </c>
      <c r="E346" s="1" t="s">
        <v>1466</v>
      </c>
      <c r="F346" s="1" t="s">
        <v>2179</v>
      </c>
      <c r="G346" s="1" t="s">
        <v>49</v>
      </c>
      <c r="H346" s="2" t="s">
        <v>2189</v>
      </c>
      <c r="I346" s="1">
        <v>21</v>
      </c>
      <c r="J346" s="1">
        <v>0.2</v>
      </c>
      <c r="L346" s="1" t="s">
        <v>65</v>
      </c>
      <c r="M346" s="1">
        <v>11.303000000000001</v>
      </c>
      <c r="N346" s="1">
        <v>46</v>
      </c>
      <c r="O346" s="1">
        <v>70.843599999999995</v>
      </c>
      <c r="P346" s="1">
        <v>-161.53838999999999</v>
      </c>
      <c r="Q346" s="1">
        <v>7.7905499999999996</v>
      </c>
      <c r="R346" s="1">
        <v>32.209949999999999</v>
      </c>
      <c r="S346" s="1">
        <v>293.80450000000002</v>
      </c>
      <c r="T346" s="1">
        <v>119.30933400000001</v>
      </c>
      <c r="U346" s="1">
        <v>19.349520600000002</v>
      </c>
      <c r="V346" s="1">
        <v>3492.7536230000001</v>
      </c>
      <c r="W346" s="3">
        <v>0.70299999999999996</v>
      </c>
      <c r="X346" s="1" t="s">
        <v>2190</v>
      </c>
      <c r="Y346" s="1">
        <v>0.74</v>
      </c>
      <c r="AA346" s="1">
        <v>0.42</v>
      </c>
      <c r="AB346" s="1">
        <v>1.78</v>
      </c>
      <c r="AE346" s="1">
        <v>0.87</v>
      </c>
      <c r="AF346" s="1">
        <v>0.45</v>
      </c>
      <c r="AI346" s="1">
        <v>7</v>
      </c>
      <c r="AJ346" s="1" t="s">
        <v>2190</v>
      </c>
      <c r="AK346" s="1">
        <v>4</v>
      </c>
      <c r="AL346" s="1">
        <v>92.737200000000001</v>
      </c>
      <c r="AM346" s="1" t="s">
        <v>2190</v>
      </c>
      <c r="AN346" s="1">
        <v>6.16600981835178</v>
      </c>
      <c r="AO346" s="1">
        <v>0.930718463147438</v>
      </c>
      <c r="AP346" s="1" t="s">
        <v>2191</v>
      </c>
      <c r="AR346" s="1">
        <v>33.83</v>
      </c>
      <c r="AT346" s="1">
        <v>10</v>
      </c>
    </row>
    <row r="347" spans="1:46">
      <c r="A347" s="1" t="s">
        <v>2192</v>
      </c>
      <c r="C347" s="1" t="s">
        <v>2192</v>
      </c>
      <c r="D347" s="1" t="s">
        <v>2193</v>
      </c>
      <c r="E347" s="1" t="s">
        <v>1466</v>
      </c>
      <c r="F347" s="1" t="s">
        <v>2179</v>
      </c>
      <c r="G347" s="1" t="s">
        <v>49</v>
      </c>
      <c r="H347" s="2" t="s">
        <v>2189</v>
      </c>
      <c r="I347" s="1">
        <v>21</v>
      </c>
      <c r="J347" s="1">
        <v>3</v>
      </c>
      <c r="L347" s="1" t="s">
        <v>65</v>
      </c>
      <c r="M347" s="1">
        <v>11.303000000000001</v>
      </c>
      <c r="N347" s="1">
        <v>46</v>
      </c>
      <c r="O347" s="1">
        <v>70.843599999999995</v>
      </c>
      <c r="P347" s="1">
        <v>-161.53838999999999</v>
      </c>
      <c r="Q347" s="1">
        <v>7.7905499999999996</v>
      </c>
      <c r="R347" s="1">
        <v>32.209949999999999</v>
      </c>
      <c r="S347" s="1">
        <v>293.80450000000002</v>
      </c>
      <c r="T347" s="1">
        <v>119.30933400000001</v>
      </c>
      <c r="U347" s="1">
        <v>19.349520600000002</v>
      </c>
      <c r="V347" s="1">
        <v>3492.7536230000001</v>
      </c>
      <c r="W347" s="3">
        <v>0.70299999999999996</v>
      </c>
      <c r="X347" s="1" t="s">
        <v>2190</v>
      </c>
      <c r="Y347" s="1">
        <v>0.74</v>
      </c>
      <c r="AA347" s="1">
        <v>0.42</v>
      </c>
      <c r="AB347" s="1">
        <v>1.78</v>
      </c>
      <c r="AE347" s="1">
        <v>0.87</v>
      </c>
      <c r="AF347" s="1">
        <v>0.45</v>
      </c>
      <c r="AI347" s="1">
        <v>7</v>
      </c>
      <c r="AJ347" s="1" t="s">
        <v>2190</v>
      </c>
      <c r="AK347" s="1">
        <v>4</v>
      </c>
      <c r="AL347" s="1">
        <v>92.737200000000001</v>
      </c>
      <c r="AM347" s="1" t="s">
        <v>2190</v>
      </c>
      <c r="AN347" s="1">
        <v>6.16600981835178</v>
      </c>
      <c r="AO347" s="1">
        <v>0.930718463147438</v>
      </c>
      <c r="AP347" s="1" t="s">
        <v>2191</v>
      </c>
      <c r="AR347" s="1">
        <v>33.83</v>
      </c>
      <c r="AT347" s="1">
        <v>10</v>
      </c>
    </row>
    <row r="348" spans="1:46">
      <c r="A348" s="1" t="s">
        <v>2194</v>
      </c>
      <c r="C348" s="1" t="s">
        <v>2194</v>
      </c>
      <c r="D348" s="1" t="s">
        <v>2195</v>
      </c>
      <c r="E348" s="1" t="s">
        <v>1466</v>
      </c>
      <c r="F348" s="1" t="s">
        <v>2179</v>
      </c>
      <c r="G348" s="1" t="s">
        <v>49</v>
      </c>
      <c r="H348" s="2" t="s">
        <v>2189</v>
      </c>
      <c r="I348" s="1">
        <v>21</v>
      </c>
      <c r="J348" s="1">
        <v>20</v>
      </c>
      <c r="L348" s="1" t="s">
        <v>65</v>
      </c>
      <c r="M348" s="1">
        <v>11.303000000000001</v>
      </c>
      <c r="N348" s="1">
        <v>46</v>
      </c>
      <c r="O348" s="1">
        <v>70.843599999999995</v>
      </c>
      <c r="P348" s="1">
        <v>-161.53838999999999</v>
      </c>
      <c r="Q348" s="1">
        <v>7.7905499999999996</v>
      </c>
      <c r="R348" s="1">
        <v>32.209949999999999</v>
      </c>
      <c r="S348" s="1">
        <v>293.80450000000002</v>
      </c>
      <c r="T348" s="1">
        <v>119.30933400000001</v>
      </c>
      <c r="U348" s="1">
        <v>19.349520600000002</v>
      </c>
      <c r="V348" s="1">
        <v>3492.7536230000001</v>
      </c>
      <c r="W348" s="3">
        <v>0.70299999999999996</v>
      </c>
      <c r="X348" s="1" t="s">
        <v>2190</v>
      </c>
      <c r="Y348" s="1">
        <v>0.74</v>
      </c>
      <c r="AA348" s="1">
        <v>0.42</v>
      </c>
      <c r="AB348" s="1">
        <v>1.78</v>
      </c>
      <c r="AE348" s="1">
        <v>0.87</v>
      </c>
      <c r="AF348" s="1">
        <v>0.45</v>
      </c>
      <c r="AI348" s="1">
        <v>7</v>
      </c>
      <c r="AJ348" s="1" t="s">
        <v>2190</v>
      </c>
      <c r="AK348" s="1">
        <v>4</v>
      </c>
      <c r="AL348" s="1">
        <v>92.737200000000001</v>
      </c>
      <c r="AM348" s="1" t="s">
        <v>2190</v>
      </c>
      <c r="AN348" s="1">
        <v>6.16600981835178</v>
      </c>
      <c r="AO348" s="1">
        <v>0.930718463147438</v>
      </c>
      <c r="AP348" s="1" t="s">
        <v>2191</v>
      </c>
      <c r="AR348" s="1">
        <v>33.83</v>
      </c>
      <c r="AT348" s="1">
        <v>10</v>
      </c>
    </row>
    <row r="349" spans="1:46">
      <c r="A349" s="1" t="s">
        <v>2196</v>
      </c>
      <c r="C349" s="1" t="s">
        <v>2196</v>
      </c>
      <c r="D349" s="1" t="s">
        <v>2197</v>
      </c>
      <c r="E349" s="1" t="s">
        <v>1466</v>
      </c>
      <c r="F349" s="1" t="s">
        <v>2179</v>
      </c>
      <c r="G349" s="1" t="s">
        <v>49</v>
      </c>
      <c r="H349" s="2" t="s">
        <v>2198</v>
      </c>
      <c r="I349" s="1">
        <v>21</v>
      </c>
      <c r="J349" s="1">
        <v>0.2</v>
      </c>
      <c r="K349" s="1" t="s">
        <v>2199</v>
      </c>
      <c r="L349" s="1" t="s">
        <v>65</v>
      </c>
      <c r="M349" s="1">
        <v>21.395</v>
      </c>
      <c r="N349" s="1">
        <v>46</v>
      </c>
      <c r="O349" s="1">
        <v>70.843549999999993</v>
      </c>
      <c r="P349" s="1">
        <v>-161.53816</v>
      </c>
      <c r="Q349" s="1">
        <v>5.2021499999999996</v>
      </c>
      <c r="R349" s="1">
        <v>32.232700000000001</v>
      </c>
      <c r="S349" s="1">
        <v>290.07249999999999</v>
      </c>
      <c r="T349" s="1">
        <v>161.9657526</v>
      </c>
      <c r="U349" s="1">
        <v>28.208117779999998</v>
      </c>
      <c r="V349" s="1">
        <v>3273.6842109999998</v>
      </c>
      <c r="W349" s="3">
        <v>0.67400000000000004</v>
      </c>
      <c r="X349" s="1" t="s">
        <v>2200</v>
      </c>
      <c r="Y349" s="1">
        <v>1.33</v>
      </c>
      <c r="AA349" s="1">
        <v>0.46</v>
      </c>
      <c r="AB349" s="1">
        <v>1.81</v>
      </c>
      <c r="AE349" s="1">
        <v>0.31</v>
      </c>
      <c r="AF349" s="1">
        <v>0.48</v>
      </c>
      <c r="AI349" s="1">
        <v>5</v>
      </c>
      <c r="AJ349" s="1" t="s">
        <v>2200</v>
      </c>
      <c r="AK349" s="1">
        <v>4</v>
      </c>
      <c r="AL349" s="1">
        <v>88.921999999999997</v>
      </c>
      <c r="AM349" s="1" t="s">
        <v>2200</v>
      </c>
      <c r="AN349" s="1">
        <v>5.74181353974764</v>
      </c>
      <c r="AO349" s="1">
        <v>0.86668883618832204</v>
      </c>
      <c r="AP349" s="1" t="s">
        <v>2201</v>
      </c>
      <c r="AR349" s="1">
        <v>33.83</v>
      </c>
      <c r="AT349" s="1">
        <v>20</v>
      </c>
    </row>
    <row r="350" spans="1:46">
      <c r="A350" s="1" t="s">
        <v>2202</v>
      </c>
      <c r="C350" s="1" t="s">
        <v>2202</v>
      </c>
      <c r="D350" s="1" t="s">
        <v>2203</v>
      </c>
      <c r="E350" s="1" t="s">
        <v>1466</v>
      </c>
      <c r="F350" s="1" t="s">
        <v>2179</v>
      </c>
      <c r="G350" s="1" t="s">
        <v>49</v>
      </c>
      <c r="H350" s="2" t="s">
        <v>2198</v>
      </c>
      <c r="I350" s="1">
        <v>21</v>
      </c>
      <c r="J350" s="1">
        <v>3</v>
      </c>
      <c r="K350" s="1" t="s">
        <v>2199</v>
      </c>
      <c r="L350" s="1" t="s">
        <v>65</v>
      </c>
      <c r="M350" s="1">
        <v>21.395</v>
      </c>
      <c r="N350" s="1">
        <v>46</v>
      </c>
      <c r="O350" s="1">
        <v>70.843549999999993</v>
      </c>
      <c r="P350" s="1">
        <v>-161.53816</v>
      </c>
      <c r="Q350" s="1">
        <v>5.2021499999999996</v>
      </c>
      <c r="R350" s="1">
        <v>32.232700000000001</v>
      </c>
      <c r="S350" s="1">
        <v>290.07249999999999</v>
      </c>
      <c r="T350" s="1">
        <v>161.9657526</v>
      </c>
      <c r="U350" s="1">
        <v>28.208117779999998</v>
      </c>
      <c r="V350" s="1">
        <v>3273.6842109999998</v>
      </c>
      <c r="W350" s="3">
        <v>0.67400000000000004</v>
      </c>
      <c r="X350" s="1" t="s">
        <v>2200</v>
      </c>
      <c r="Y350" s="1">
        <v>1.33</v>
      </c>
      <c r="AA350" s="1">
        <v>0.46</v>
      </c>
      <c r="AB350" s="1">
        <v>1.81</v>
      </c>
      <c r="AE350" s="1">
        <v>0.31</v>
      </c>
      <c r="AF350" s="1">
        <v>0.48</v>
      </c>
      <c r="AI350" s="1">
        <v>5</v>
      </c>
      <c r="AJ350" s="1" t="s">
        <v>2200</v>
      </c>
      <c r="AK350" s="1">
        <v>4</v>
      </c>
      <c r="AL350" s="1">
        <v>88.921999999999997</v>
      </c>
      <c r="AM350" s="1" t="s">
        <v>2200</v>
      </c>
      <c r="AN350" s="1">
        <v>5.74181353974764</v>
      </c>
      <c r="AO350" s="1">
        <v>0.86668883618832204</v>
      </c>
      <c r="AP350" s="1" t="s">
        <v>2201</v>
      </c>
      <c r="AR350" s="1">
        <v>33.83</v>
      </c>
      <c r="AT350" s="1">
        <v>20</v>
      </c>
    </row>
    <row r="351" spans="1:46">
      <c r="A351" s="1" t="s">
        <v>2204</v>
      </c>
      <c r="C351" s="1" t="s">
        <v>2204</v>
      </c>
      <c r="D351" s="1" t="s">
        <v>2205</v>
      </c>
      <c r="E351" s="1" t="s">
        <v>1466</v>
      </c>
      <c r="F351" s="1" t="s">
        <v>2179</v>
      </c>
      <c r="G351" s="1" t="s">
        <v>49</v>
      </c>
      <c r="H351" s="2" t="s">
        <v>2198</v>
      </c>
      <c r="I351" s="1">
        <v>21</v>
      </c>
      <c r="J351" s="1">
        <v>20</v>
      </c>
      <c r="K351" s="1" t="s">
        <v>2199</v>
      </c>
      <c r="L351" s="1" t="s">
        <v>65</v>
      </c>
      <c r="M351" s="1">
        <v>21.395</v>
      </c>
      <c r="N351" s="1">
        <v>46</v>
      </c>
      <c r="O351" s="1">
        <v>70.843549999999993</v>
      </c>
      <c r="P351" s="1">
        <v>-161.53816</v>
      </c>
      <c r="Q351" s="1">
        <v>5.2021499999999996</v>
      </c>
      <c r="R351" s="1">
        <v>32.232700000000001</v>
      </c>
      <c r="S351" s="1">
        <v>290.07249999999999</v>
      </c>
      <c r="T351" s="1">
        <v>161.9657526</v>
      </c>
      <c r="U351" s="1">
        <v>28.208117779999998</v>
      </c>
      <c r="V351" s="1">
        <v>3273.6842109999998</v>
      </c>
      <c r="W351" s="3">
        <v>0.67400000000000004</v>
      </c>
      <c r="X351" s="1" t="s">
        <v>2200</v>
      </c>
      <c r="Y351" s="1">
        <v>1.33</v>
      </c>
      <c r="AA351" s="1">
        <v>0.46</v>
      </c>
      <c r="AB351" s="1">
        <v>1.81</v>
      </c>
      <c r="AE351" s="1">
        <v>0.31</v>
      </c>
      <c r="AF351" s="1">
        <v>0.48</v>
      </c>
      <c r="AI351" s="1">
        <v>5</v>
      </c>
      <c r="AJ351" s="1" t="s">
        <v>2200</v>
      </c>
      <c r="AK351" s="1">
        <v>4</v>
      </c>
      <c r="AL351" s="1">
        <v>88.921999999999997</v>
      </c>
      <c r="AM351" s="1" t="s">
        <v>2200</v>
      </c>
      <c r="AN351" s="1">
        <v>5.74181353974764</v>
      </c>
      <c r="AO351" s="1">
        <v>0.86668883618832204</v>
      </c>
      <c r="AP351" s="1" t="s">
        <v>2201</v>
      </c>
      <c r="AR351" s="1">
        <v>33.83</v>
      </c>
      <c r="AT351" s="1">
        <v>20</v>
      </c>
    </row>
    <row r="352" spans="1:46">
      <c r="A352" s="1" t="s">
        <v>2206</v>
      </c>
      <c r="C352" s="1" t="s">
        <v>2206</v>
      </c>
      <c r="D352" s="1" t="s">
        <v>2207</v>
      </c>
      <c r="E352" s="1" t="s">
        <v>1466</v>
      </c>
      <c r="F352" s="1" t="s">
        <v>2179</v>
      </c>
      <c r="G352" s="1" t="s">
        <v>49</v>
      </c>
      <c r="H352" s="2" t="s">
        <v>2208</v>
      </c>
      <c r="I352" s="1">
        <v>21</v>
      </c>
      <c r="J352" s="1">
        <v>0.2</v>
      </c>
      <c r="L352" s="1" t="s">
        <v>65</v>
      </c>
      <c r="M352" s="1">
        <v>30.084</v>
      </c>
      <c r="N352" s="1">
        <v>46</v>
      </c>
      <c r="O352" s="1">
        <v>70.84348</v>
      </c>
      <c r="P352" s="1">
        <v>-161.53782000000001</v>
      </c>
      <c r="Q352" s="1">
        <v>4.7978500000000004</v>
      </c>
      <c r="R352" s="1">
        <v>32.162300000000002</v>
      </c>
      <c r="S352" s="1">
        <v>278.01150000000001</v>
      </c>
      <c r="T352" s="1">
        <v>109.5816971</v>
      </c>
      <c r="U352" s="1">
        <v>16.320197539999999</v>
      </c>
      <c r="V352" s="1">
        <v>7000</v>
      </c>
      <c r="W352" s="3">
        <v>0.40100000000000002</v>
      </c>
      <c r="X352" s="1" t="s">
        <v>2209</v>
      </c>
      <c r="Y352" s="1">
        <v>0.68</v>
      </c>
      <c r="AA352" s="1">
        <v>0.97</v>
      </c>
      <c r="AB352" s="1">
        <v>11.54</v>
      </c>
      <c r="AE352" s="1">
        <v>1.62</v>
      </c>
      <c r="AF352" s="1">
        <v>0.93</v>
      </c>
      <c r="AI352" s="1">
        <v>4</v>
      </c>
      <c r="AJ352" s="1" t="s">
        <v>2210</v>
      </c>
      <c r="AK352" s="1">
        <v>4</v>
      </c>
      <c r="AL352" s="1">
        <v>79.189599999999999</v>
      </c>
      <c r="AM352" s="1" t="s">
        <v>2209</v>
      </c>
      <c r="AN352" s="1">
        <v>6.71448350005695</v>
      </c>
      <c r="AO352" s="1">
        <v>1.0135069434048201</v>
      </c>
      <c r="AP352" s="1" t="s">
        <v>2211</v>
      </c>
      <c r="AR352" s="1">
        <v>33.83</v>
      </c>
      <c r="AT352" s="1">
        <v>30</v>
      </c>
    </row>
    <row r="353" spans="1:46">
      <c r="A353" s="1" t="s">
        <v>2212</v>
      </c>
      <c r="C353" s="1" t="s">
        <v>2212</v>
      </c>
      <c r="D353" s="1" t="s">
        <v>2213</v>
      </c>
      <c r="E353" s="1" t="s">
        <v>1466</v>
      </c>
      <c r="F353" s="1" t="s">
        <v>2179</v>
      </c>
      <c r="G353" s="1" t="s">
        <v>49</v>
      </c>
      <c r="H353" s="2" t="s">
        <v>2208</v>
      </c>
      <c r="I353" s="1">
        <v>21</v>
      </c>
      <c r="J353" s="1">
        <v>3</v>
      </c>
      <c r="L353" s="1" t="s">
        <v>65</v>
      </c>
      <c r="M353" s="1">
        <v>30.084</v>
      </c>
      <c r="N353" s="1">
        <v>46</v>
      </c>
      <c r="O353" s="1">
        <v>70.84348</v>
      </c>
      <c r="P353" s="1">
        <v>-161.53782000000001</v>
      </c>
      <c r="Q353" s="1">
        <v>4.7978500000000004</v>
      </c>
      <c r="R353" s="1">
        <v>32.162300000000002</v>
      </c>
      <c r="S353" s="1">
        <v>278.01150000000001</v>
      </c>
      <c r="T353" s="1">
        <v>109.5816971</v>
      </c>
      <c r="U353" s="1">
        <v>16.320197539999999</v>
      </c>
      <c r="V353" s="1">
        <v>7000</v>
      </c>
      <c r="W353" s="3">
        <v>0.40100000000000002</v>
      </c>
      <c r="X353" s="1" t="s">
        <v>2209</v>
      </c>
      <c r="Y353" s="1">
        <v>0.68</v>
      </c>
      <c r="AA353" s="1">
        <v>0.97</v>
      </c>
      <c r="AB353" s="1">
        <v>11.54</v>
      </c>
      <c r="AE353" s="1">
        <v>1.62</v>
      </c>
      <c r="AF353" s="1">
        <v>0.93</v>
      </c>
      <c r="AI353" s="1">
        <v>4</v>
      </c>
      <c r="AJ353" s="1" t="s">
        <v>2210</v>
      </c>
      <c r="AK353" s="1">
        <v>4</v>
      </c>
      <c r="AL353" s="1">
        <v>79.189599999999999</v>
      </c>
      <c r="AM353" s="1" t="s">
        <v>2209</v>
      </c>
      <c r="AN353" s="1">
        <v>6.71448350005695</v>
      </c>
      <c r="AO353" s="1">
        <v>1.0135069434048201</v>
      </c>
      <c r="AP353" s="1" t="s">
        <v>2211</v>
      </c>
      <c r="AR353" s="1">
        <v>33.83</v>
      </c>
      <c r="AT353" s="1">
        <v>30</v>
      </c>
    </row>
    <row r="354" spans="1:46">
      <c r="A354" s="1" t="s">
        <v>2214</v>
      </c>
      <c r="C354" s="1" t="s">
        <v>2214</v>
      </c>
      <c r="D354" s="1" t="s">
        <v>2215</v>
      </c>
      <c r="E354" s="1" t="s">
        <v>1466</v>
      </c>
      <c r="F354" s="1" t="s">
        <v>2179</v>
      </c>
      <c r="G354" s="1" t="s">
        <v>49</v>
      </c>
      <c r="H354" s="2" t="s">
        <v>2208</v>
      </c>
      <c r="I354" s="1">
        <v>21</v>
      </c>
      <c r="J354" s="1">
        <v>20</v>
      </c>
      <c r="L354" s="1" t="s">
        <v>65</v>
      </c>
      <c r="M354" s="1">
        <v>30.084</v>
      </c>
      <c r="N354" s="1">
        <v>46</v>
      </c>
      <c r="O354" s="1">
        <v>70.84348</v>
      </c>
      <c r="P354" s="1">
        <v>-161.53782000000001</v>
      </c>
      <c r="Q354" s="1">
        <v>4.7978500000000004</v>
      </c>
      <c r="R354" s="1">
        <v>32.162300000000002</v>
      </c>
      <c r="S354" s="1">
        <v>278.01150000000001</v>
      </c>
      <c r="T354" s="1">
        <v>109.5816971</v>
      </c>
      <c r="U354" s="1">
        <v>16.320197539999999</v>
      </c>
      <c r="V354" s="1">
        <v>7000</v>
      </c>
      <c r="W354" s="3">
        <v>0.40100000000000002</v>
      </c>
      <c r="X354" s="1" t="s">
        <v>2209</v>
      </c>
      <c r="Y354" s="1">
        <v>0.68</v>
      </c>
      <c r="AA354" s="1">
        <v>0.97</v>
      </c>
      <c r="AB354" s="1">
        <v>11.54</v>
      </c>
      <c r="AE354" s="1">
        <v>1.62</v>
      </c>
      <c r="AF354" s="1">
        <v>0.93</v>
      </c>
      <c r="AI354" s="1">
        <v>4</v>
      </c>
      <c r="AJ354" s="1" t="s">
        <v>2210</v>
      </c>
      <c r="AK354" s="1">
        <v>4</v>
      </c>
      <c r="AL354" s="1">
        <v>79.189599999999999</v>
      </c>
      <c r="AM354" s="1" t="s">
        <v>2209</v>
      </c>
      <c r="AN354" s="1">
        <v>6.71448350005695</v>
      </c>
      <c r="AO354" s="1">
        <v>1.0135069434048201</v>
      </c>
      <c r="AP354" s="1" t="s">
        <v>2211</v>
      </c>
      <c r="AR354" s="1">
        <v>33.83</v>
      </c>
      <c r="AT354" s="1">
        <v>30</v>
      </c>
    </row>
    <row r="355" spans="1:46">
      <c r="A355" s="1" t="s">
        <v>2216</v>
      </c>
      <c r="C355" s="1" t="s">
        <v>2216</v>
      </c>
      <c r="D355" s="1" t="s">
        <v>2217</v>
      </c>
      <c r="E355" s="1" t="s">
        <v>1466</v>
      </c>
      <c r="F355" s="1" t="s">
        <v>2179</v>
      </c>
      <c r="G355" s="1" t="s">
        <v>49</v>
      </c>
      <c r="H355" s="2" t="s">
        <v>2218</v>
      </c>
      <c r="I355" s="1">
        <v>21</v>
      </c>
      <c r="J355" s="1">
        <v>0.2</v>
      </c>
      <c r="K355" s="1" t="s">
        <v>78</v>
      </c>
      <c r="L355" s="1" t="s">
        <v>78</v>
      </c>
      <c r="M355" s="1">
        <v>42.631</v>
      </c>
      <c r="N355" s="1">
        <v>46</v>
      </c>
      <c r="O355" s="1">
        <v>70.843720000000005</v>
      </c>
      <c r="P355" s="1">
        <v>-161.53729999999999</v>
      </c>
      <c r="Q355" s="1">
        <v>4.7569999999999997</v>
      </c>
      <c r="R355" s="1">
        <v>32.162550000000003</v>
      </c>
      <c r="S355" s="1">
        <v>277.36450000000002</v>
      </c>
      <c r="T355" s="1">
        <v>123.0718681</v>
      </c>
      <c r="U355" s="1">
        <v>17.0725491</v>
      </c>
      <c r="V355" s="1">
        <v>11500</v>
      </c>
      <c r="W355" s="3">
        <v>0.39800000000000002</v>
      </c>
      <c r="X355" s="1" t="s">
        <v>2219</v>
      </c>
      <c r="Y355" s="1">
        <v>0.7</v>
      </c>
      <c r="AA355" s="1">
        <v>0.87</v>
      </c>
      <c r="AB355" s="1">
        <v>8.7100000000000009</v>
      </c>
      <c r="AE355" s="1">
        <v>1.44</v>
      </c>
      <c r="AF355" s="1">
        <v>3.58</v>
      </c>
      <c r="AI355" s="1">
        <v>1</v>
      </c>
      <c r="AJ355" s="1" t="s">
        <v>2219</v>
      </c>
      <c r="AK355" s="1">
        <v>4</v>
      </c>
      <c r="AL355" s="1">
        <v>76.719800000000006</v>
      </c>
      <c r="AM355" s="1" t="s">
        <v>2219</v>
      </c>
      <c r="AN355" s="1">
        <v>7.2087576014058703</v>
      </c>
      <c r="AO355" s="1">
        <v>1.0881143549291901</v>
      </c>
      <c r="AP355" s="1" t="s">
        <v>2220</v>
      </c>
      <c r="AQ355" s="1">
        <v>-1.32</v>
      </c>
      <c r="AR355" s="1">
        <v>33.83</v>
      </c>
      <c r="AT355" s="1">
        <v>42</v>
      </c>
    </row>
    <row r="356" spans="1:46">
      <c r="A356" s="1" t="s">
        <v>2221</v>
      </c>
      <c r="C356" s="1" t="s">
        <v>2221</v>
      </c>
      <c r="D356" s="1" t="s">
        <v>2222</v>
      </c>
      <c r="E356" s="1" t="s">
        <v>1466</v>
      </c>
      <c r="F356" s="1" t="s">
        <v>2179</v>
      </c>
      <c r="G356" s="1" t="s">
        <v>49</v>
      </c>
      <c r="H356" s="2" t="s">
        <v>2218</v>
      </c>
      <c r="I356" s="1">
        <v>21</v>
      </c>
      <c r="J356" s="1">
        <v>3</v>
      </c>
      <c r="K356" s="1" t="s">
        <v>78</v>
      </c>
      <c r="L356" s="1" t="s">
        <v>78</v>
      </c>
      <c r="M356" s="1">
        <v>42.631</v>
      </c>
      <c r="N356" s="1">
        <v>46</v>
      </c>
      <c r="O356" s="1">
        <v>70.843720000000005</v>
      </c>
      <c r="P356" s="1">
        <v>-161.53729999999999</v>
      </c>
      <c r="Q356" s="1">
        <v>4.7569999999999997</v>
      </c>
      <c r="R356" s="1">
        <v>32.162550000000003</v>
      </c>
      <c r="S356" s="1">
        <v>277.36450000000002</v>
      </c>
      <c r="T356" s="1">
        <v>123.0718681</v>
      </c>
      <c r="U356" s="1">
        <v>17.0725491</v>
      </c>
      <c r="V356" s="1">
        <v>11500</v>
      </c>
      <c r="W356" s="3">
        <v>0.39800000000000002</v>
      </c>
      <c r="X356" s="1" t="s">
        <v>2219</v>
      </c>
      <c r="Y356" s="1">
        <v>0.7</v>
      </c>
      <c r="AA356" s="1">
        <v>0.87</v>
      </c>
      <c r="AB356" s="1">
        <v>8.7100000000000009</v>
      </c>
      <c r="AE356" s="1">
        <v>1.44</v>
      </c>
      <c r="AF356" s="1">
        <v>3.58</v>
      </c>
      <c r="AI356" s="1">
        <v>1</v>
      </c>
      <c r="AJ356" s="1" t="s">
        <v>2219</v>
      </c>
      <c r="AK356" s="1">
        <v>4</v>
      </c>
      <c r="AL356" s="1">
        <v>76.719800000000006</v>
      </c>
      <c r="AM356" s="1" t="s">
        <v>2219</v>
      </c>
      <c r="AN356" s="1">
        <v>7.2087576014058703</v>
      </c>
      <c r="AO356" s="1">
        <v>1.0881143549291901</v>
      </c>
      <c r="AP356" s="1" t="s">
        <v>2220</v>
      </c>
      <c r="AQ356" s="1">
        <v>-1.32</v>
      </c>
      <c r="AR356" s="1">
        <v>33.83</v>
      </c>
      <c r="AS356" s="1" t="s">
        <v>2223</v>
      </c>
      <c r="AT356" s="1">
        <v>42</v>
      </c>
    </row>
    <row r="357" spans="1:46">
      <c r="A357" s="1" t="s">
        <v>2224</v>
      </c>
      <c r="C357" s="1" t="s">
        <v>2224</v>
      </c>
      <c r="D357" s="1" t="s">
        <v>2225</v>
      </c>
      <c r="E357" s="1" t="s">
        <v>1466</v>
      </c>
      <c r="F357" s="1" t="s">
        <v>2179</v>
      </c>
      <c r="G357" s="1" t="s">
        <v>49</v>
      </c>
      <c r="H357" s="2" t="s">
        <v>2218</v>
      </c>
      <c r="I357" s="1">
        <v>21</v>
      </c>
      <c r="J357" s="1">
        <v>20</v>
      </c>
      <c r="K357" s="1" t="s">
        <v>78</v>
      </c>
      <c r="L357" s="1" t="s">
        <v>78</v>
      </c>
      <c r="M357" s="1">
        <v>42.631</v>
      </c>
      <c r="N357" s="1">
        <v>46</v>
      </c>
      <c r="O357" s="1">
        <v>70.843720000000005</v>
      </c>
      <c r="P357" s="1">
        <v>-161.53729999999999</v>
      </c>
      <c r="Q357" s="1">
        <v>4.7569999999999997</v>
      </c>
      <c r="R357" s="1">
        <v>32.162550000000003</v>
      </c>
      <c r="S357" s="1">
        <v>277.36450000000002</v>
      </c>
      <c r="T357" s="1">
        <v>123.0718681</v>
      </c>
      <c r="U357" s="1">
        <v>17.0725491</v>
      </c>
      <c r="V357" s="1">
        <v>11500</v>
      </c>
      <c r="W357" s="3">
        <v>0.39800000000000002</v>
      </c>
      <c r="X357" s="1" t="s">
        <v>2219</v>
      </c>
      <c r="Y357" s="1">
        <v>0.7</v>
      </c>
      <c r="AA357" s="1">
        <v>0.87</v>
      </c>
      <c r="AB357" s="1">
        <v>8.7100000000000009</v>
      </c>
      <c r="AE357" s="1">
        <v>1.44</v>
      </c>
      <c r="AF357" s="1">
        <v>3.58</v>
      </c>
      <c r="AI357" s="1">
        <v>1</v>
      </c>
      <c r="AJ357" s="1" t="s">
        <v>2219</v>
      </c>
      <c r="AK357" s="1">
        <v>4</v>
      </c>
      <c r="AL357" s="1">
        <v>76.719800000000006</v>
      </c>
      <c r="AM357" s="1" t="s">
        <v>2219</v>
      </c>
      <c r="AN357" s="1">
        <v>7.2087576014058703</v>
      </c>
      <c r="AO357" s="1">
        <v>1.0881143549291901</v>
      </c>
      <c r="AP357" s="1" t="s">
        <v>2220</v>
      </c>
      <c r="AQ357" s="1">
        <v>-1.32</v>
      </c>
      <c r="AR357" s="1">
        <v>33.83</v>
      </c>
      <c r="AS357" s="1" t="s">
        <v>2226</v>
      </c>
      <c r="AT357" s="1">
        <v>42</v>
      </c>
    </row>
    <row r="358" spans="1:46">
      <c r="A358" s="1" t="s">
        <v>2227</v>
      </c>
      <c r="C358" s="1" t="s">
        <v>2227</v>
      </c>
      <c r="D358" s="1" t="s">
        <v>2228</v>
      </c>
      <c r="E358" s="1" t="s">
        <v>1466</v>
      </c>
      <c r="F358" s="1" t="s">
        <v>2229</v>
      </c>
      <c r="G358" s="1" t="s">
        <v>49</v>
      </c>
      <c r="H358" s="2" t="s">
        <v>2230</v>
      </c>
      <c r="I358" s="1">
        <v>23</v>
      </c>
      <c r="J358" s="1">
        <v>0.2</v>
      </c>
      <c r="L358" s="1" t="s">
        <v>52</v>
      </c>
      <c r="M358" s="1">
        <v>4.4379999999999997</v>
      </c>
      <c r="N358" s="1">
        <v>56</v>
      </c>
      <c r="O358" s="1">
        <v>71.07638</v>
      </c>
      <c r="P358" s="1">
        <v>-160.73328000000001</v>
      </c>
      <c r="Q358" s="1">
        <v>5.9714999999999998</v>
      </c>
      <c r="R358" s="1">
        <v>31.521899999999999</v>
      </c>
      <c r="S358" s="1">
        <v>305.66500000000002</v>
      </c>
      <c r="T358" s="1">
        <v>45.831364520000001</v>
      </c>
      <c r="U358" s="1">
        <v>7.2559989180000004</v>
      </c>
      <c r="W358" s="3">
        <v>0.26600000000000001</v>
      </c>
      <c r="X358" s="1" t="s">
        <v>2231</v>
      </c>
      <c r="Y358" s="1">
        <v>0.33</v>
      </c>
      <c r="AA358" s="1">
        <v>1.5</v>
      </c>
      <c r="AB358" s="1">
        <v>4.9000000000000004</v>
      </c>
      <c r="AE358" s="1">
        <v>0.34</v>
      </c>
      <c r="AF358" s="1">
        <v>2.79</v>
      </c>
      <c r="AI358" s="1">
        <v>14</v>
      </c>
      <c r="AJ358" s="1" t="s">
        <v>2231</v>
      </c>
      <c r="AK358" s="1">
        <v>1.7</v>
      </c>
      <c r="AL358" s="1">
        <v>95.316500000000005</v>
      </c>
      <c r="AM358" s="1" t="s">
        <v>2231</v>
      </c>
      <c r="AN358" s="1">
        <v>6.3163411458491101</v>
      </c>
      <c r="AO358" s="1">
        <v>0.95340998427911094</v>
      </c>
      <c r="AP358" s="1" t="s">
        <v>2232</v>
      </c>
      <c r="AQ358" s="1">
        <v>-2.06</v>
      </c>
      <c r="AR358" s="1">
        <v>7.82</v>
      </c>
      <c r="AT358" s="1">
        <v>4</v>
      </c>
    </row>
    <row r="359" spans="1:46">
      <c r="A359" s="1" t="s">
        <v>2233</v>
      </c>
      <c r="C359" s="1" t="s">
        <v>2233</v>
      </c>
      <c r="D359" s="1" t="s">
        <v>2234</v>
      </c>
      <c r="E359" s="1" t="s">
        <v>1466</v>
      </c>
      <c r="F359" s="1" t="s">
        <v>2229</v>
      </c>
      <c r="G359" s="1" t="s">
        <v>49</v>
      </c>
      <c r="H359" s="2" t="s">
        <v>2230</v>
      </c>
      <c r="I359" s="1">
        <v>23</v>
      </c>
      <c r="J359" s="1">
        <v>3</v>
      </c>
      <c r="L359" s="1" t="s">
        <v>52</v>
      </c>
      <c r="M359" s="1">
        <v>4.4379999999999997</v>
      </c>
      <c r="N359" s="1">
        <v>56</v>
      </c>
      <c r="O359" s="1">
        <v>71.07638</v>
      </c>
      <c r="P359" s="1">
        <v>-160.73328000000001</v>
      </c>
      <c r="Q359" s="1">
        <v>5.9714999999999998</v>
      </c>
      <c r="R359" s="1">
        <v>31.521899999999999</v>
      </c>
      <c r="S359" s="1">
        <v>305.66500000000002</v>
      </c>
      <c r="T359" s="1">
        <v>45.831364520000001</v>
      </c>
      <c r="U359" s="1">
        <v>7.2559989180000004</v>
      </c>
      <c r="W359" s="3">
        <v>0.26600000000000001</v>
      </c>
      <c r="X359" s="1" t="s">
        <v>2231</v>
      </c>
      <c r="Y359" s="1">
        <v>0.33</v>
      </c>
      <c r="AA359" s="1">
        <v>1.5</v>
      </c>
      <c r="AB359" s="1">
        <v>4.9000000000000004</v>
      </c>
      <c r="AE359" s="1">
        <v>0.34</v>
      </c>
      <c r="AF359" s="1">
        <v>2.79</v>
      </c>
      <c r="AI359" s="1">
        <v>14</v>
      </c>
      <c r="AJ359" s="1" t="s">
        <v>2231</v>
      </c>
      <c r="AK359" s="1">
        <v>1.7</v>
      </c>
      <c r="AL359" s="1">
        <v>95.316500000000005</v>
      </c>
      <c r="AM359" s="1" t="s">
        <v>2231</v>
      </c>
      <c r="AN359" s="1">
        <v>6.3163411458491101</v>
      </c>
      <c r="AO359" s="1">
        <v>0.95340998427911094</v>
      </c>
      <c r="AP359" s="1" t="s">
        <v>2232</v>
      </c>
      <c r="AQ359" s="1">
        <v>-2.06</v>
      </c>
      <c r="AR359" s="1">
        <v>7.82</v>
      </c>
      <c r="AT359" s="1">
        <v>4</v>
      </c>
    </row>
    <row r="360" spans="1:46">
      <c r="A360" s="1" t="s">
        <v>2235</v>
      </c>
      <c r="C360" s="1" t="s">
        <v>2235</v>
      </c>
      <c r="D360" s="1" t="s">
        <v>2236</v>
      </c>
      <c r="E360" s="1" t="s">
        <v>1466</v>
      </c>
      <c r="F360" s="1" t="s">
        <v>2229</v>
      </c>
      <c r="G360" s="1" t="s">
        <v>49</v>
      </c>
      <c r="H360" s="2" t="s">
        <v>2230</v>
      </c>
      <c r="I360" s="1">
        <v>23</v>
      </c>
      <c r="J360" s="1">
        <v>20</v>
      </c>
      <c r="L360" s="1" t="s">
        <v>52</v>
      </c>
      <c r="M360" s="1">
        <v>4.4379999999999997</v>
      </c>
      <c r="N360" s="1">
        <v>56</v>
      </c>
      <c r="O360" s="1">
        <v>71.07638</v>
      </c>
      <c r="P360" s="1">
        <v>-160.73328000000001</v>
      </c>
      <c r="Q360" s="1">
        <v>5.9714999999999998</v>
      </c>
      <c r="R360" s="1">
        <v>31.521899999999999</v>
      </c>
      <c r="S360" s="1">
        <v>305.66500000000002</v>
      </c>
      <c r="T360" s="1">
        <v>45.831364520000001</v>
      </c>
      <c r="U360" s="1">
        <v>7.2559989180000004</v>
      </c>
      <c r="W360" s="3">
        <v>0.26600000000000001</v>
      </c>
      <c r="X360" s="1" t="s">
        <v>2231</v>
      </c>
      <c r="Y360" s="1">
        <v>0.33</v>
      </c>
      <c r="AA360" s="1">
        <v>1.5</v>
      </c>
      <c r="AB360" s="1">
        <v>4.9000000000000004</v>
      </c>
      <c r="AE360" s="1">
        <v>0.34</v>
      </c>
      <c r="AF360" s="1">
        <v>2.79</v>
      </c>
      <c r="AI360" s="1">
        <v>14</v>
      </c>
      <c r="AJ360" s="1" t="s">
        <v>2231</v>
      </c>
      <c r="AK360" s="1">
        <v>1.7</v>
      </c>
      <c r="AL360" s="1">
        <v>95.316500000000005</v>
      </c>
      <c r="AM360" s="1" t="s">
        <v>2231</v>
      </c>
      <c r="AN360" s="1">
        <v>6.3163411458491101</v>
      </c>
      <c r="AO360" s="1">
        <v>0.95340998427911094</v>
      </c>
      <c r="AP360" s="1" t="s">
        <v>2232</v>
      </c>
      <c r="AQ360" s="1">
        <v>-2.06</v>
      </c>
      <c r="AR360" s="1">
        <v>7.82</v>
      </c>
      <c r="AT360" s="1">
        <v>4</v>
      </c>
    </row>
    <row r="361" spans="1:46">
      <c r="A361" s="1" t="s">
        <v>2237</v>
      </c>
      <c r="C361" s="1" t="s">
        <v>2237</v>
      </c>
      <c r="D361" s="1" t="s">
        <v>2238</v>
      </c>
      <c r="E361" s="1" t="s">
        <v>1466</v>
      </c>
      <c r="F361" s="1" t="s">
        <v>2229</v>
      </c>
      <c r="G361" s="1" t="s">
        <v>49</v>
      </c>
      <c r="H361" s="2" t="s">
        <v>2239</v>
      </c>
      <c r="I361" s="1">
        <v>23</v>
      </c>
      <c r="J361" s="1">
        <v>0.2</v>
      </c>
      <c r="L361" s="1" t="s">
        <v>65</v>
      </c>
      <c r="M361" s="1">
        <v>12.432</v>
      </c>
      <c r="N361" s="1">
        <v>56</v>
      </c>
      <c r="O361" s="1">
        <v>71.076179999999994</v>
      </c>
      <c r="P361" s="1">
        <v>-160.73365000000001</v>
      </c>
      <c r="Q361" s="1">
        <v>5.9747000000000003</v>
      </c>
      <c r="R361" s="1">
        <v>31.525099999999998</v>
      </c>
      <c r="S361" s="1">
        <v>305.30349999999999</v>
      </c>
      <c r="T361" s="1">
        <v>51.986149849999997</v>
      </c>
      <c r="U361" s="1">
        <v>7.4062361379999997</v>
      </c>
      <c r="V361" s="1">
        <v>3333.333333</v>
      </c>
      <c r="W361" s="3">
        <v>0.21299999999999999</v>
      </c>
      <c r="X361" s="1" t="s">
        <v>2240</v>
      </c>
      <c r="Y361" s="1">
        <v>0.22</v>
      </c>
      <c r="AA361" s="1">
        <v>0.78</v>
      </c>
      <c r="AB361" s="1">
        <v>4.88</v>
      </c>
      <c r="AE361" s="1">
        <v>0.36</v>
      </c>
      <c r="AF361" s="1">
        <v>0.27</v>
      </c>
      <c r="AI361" s="1">
        <v>11</v>
      </c>
      <c r="AJ361" s="1" t="s">
        <v>2240</v>
      </c>
      <c r="AK361" s="1">
        <v>1.8</v>
      </c>
      <c r="AL361" s="1">
        <v>95.024799999999999</v>
      </c>
      <c r="AM361" s="1" t="s">
        <v>2240</v>
      </c>
      <c r="AN361" s="1">
        <v>7.0192401216143896</v>
      </c>
      <c r="AO361" s="1">
        <v>1.0595079428851899</v>
      </c>
      <c r="AP361" s="1" t="s">
        <v>2241</v>
      </c>
      <c r="AR361" s="1">
        <v>7.82</v>
      </c>
      <c r="AT361" s="1">
        <v>12</v>
      </c>
    </row>
    <row r="362" spans="1:46">
      <c r="A362" s="1" t="s">
        <v>2242</v>
      </c>
      <c r="C362" s="1" t="s">
        <v>2242</v>
      </c>
      <c r="D362" s="1" t="s">
        <v>2243</v>
      </c>
      <c r="E362" s="1" t="s">
        <v>1466</v>
      </c>
      <c r="F362" s="1" t="s">
        <v>2229</v>
      </c>
      <c r="G362" s="1" t="s">
        <v>49</v>
      </c>
      <c r="H362" s="2" t="s">
        <v>2239</v>
      </c>
      <c r="I362" s="1">
        <v>23</v>
      </c>
      <c r="J362" s="1">
        <v>3</v>
      </c>
      <c r="L362" s="1" t="s">
        <v>65</v>
      </c>
      <c r="M362" s="1">
        <v>12.432</v>
      </c>
      <c r="N362" s="1">
        <v>56</v>
      </c>
      <c r="O362" s="1">
        <v>71.076179999999994</v>
      </c>
      <c r="P362" s="1">
        <v>-160.73365000000001</v>
      </c>
      <c r="Q362" s="1">
        <v>5.9747000000000003</v>
      </c>
      <c r="R362" s="1">
        <v>31.525099999999998</v>
      </c>
      <c r="S362" s="1">
        <v>305.30349999999999</v>
      </c>
      <c r="T362" s="1">
        <v>51.986149849999997</v>
      </c>
      <c r="U362" s="1">
        <v>7.4062361379999997</v>
      </c>
      <c r="V362" s="1">
        <v>3333.333333</v>
      </c>
      <c r="W362" s="3">
        <v>0.21299999999999999</v>
      </c>
      <c r="X362" s="1" t="s">
        <v>2240</v>
      </c>
      <c r="Y362" s="1">
        <v>0.22</v>
      </c>
      <c r="AA362" s="1">
        <v>0.78</v>
      </c>
      <c r="AB362" s="1">
        <v>4.88</v>
      </c>
      <c r="AE362" s="1">
        <v>0.36</v>
      </c>
      <c r="AF362" s="1">
        <v>0.27</v>
      </c>
      <c r="AI362" s="1">
        <v>11</v>
      </c>
      <c r="AJ362" s="1" t="s">
        <v>2240</v>
      </c>
      <c r="AK362" s="1">
        <v>1.8</v>
      </c>
      <c r="AL362" s="1">
        <v>95.024799999999999</v>
      </c>
      <c r="AM362" s="1" t="s">
        <v>2240</v>
      </c>
      <c r="AN362" s="1">
        <v>7.0192401216143896</v>
      </c>
      <c r="AO362" s="1">
        <v>1.0595079428851899</v>
      </c>
      <c r="AP362" s="1" t="s">
        <v>2241</v>
      </c>
      <c r="AR362" s="1">
        <v>7.82</v>
      </c>
      <c r="AT362" s="1">
        <v>12</v>
      </c>
    </row>
    <row r="363" spans="1:46">
      <c r="A363" s="1" t="s">
        <v>2244</v>
      </c>
      <c r="C363" s="1" t="s">
        <v>2244</v>
      </c>
      <c r="D363" s="1" t="s">
        <v>2245</v>
      </c>
      <c r="E363" s="1" t="s">
        <v>1466</v>
      </c>
      <c r="F363" s="1" t="s">
        <v>2229</v>
      </c>
      <c r="G363" s="1" t="s">
        <v>49</v>
      </c>
      <c r="H363" s="2" t="s">
        <v>2239</v>
      </c>
      <c r="I363" s="1">
        <v>23</v>
      </c>
      <c r="J363" s="1">
        <v>20</v>
      </c>
      <c r="L363" s="1" t="s">
        <v>65</v>
      </c>
      <c r="M363" s="1">
        <v>12.432</v>
      </c>
      <c r="N363" s="1">
        <v>56</v>
      </c>
      <c r="O363" s="1">
        <v>71.076179999999994</v>
      </c>
      <c r="P363" s="1">
        <v>-160.73365000000001</v>
      </c>
      <c r="Q363" s="1">
        <v>5.9747000000000003</v>
      </c>
      <c r="R363" s="1">
        <v>31.525099999999998</v>
      </c>
      <c r="S363" s="1">
        <v>305.30349999999999</v>
      </c>
      <c r="T363" s="1">
        <v>51.986149849999997</v>
      </c>
      <c r="U363" s="1">
        <v>7.4062361379999997</v>
      </c>
      <c r="V363" s="1">
        <v>3333.333333</v>
      </c>
      <c r="W363" s="3">
        <v>0.21299999999999999</v>
      </c>
      <c r="X363" s="1" t="s">
        <v>2240</v>
      </c>
      <c r="Y363" s="1">
        <v>0.22</v>
      </c>
      <c r="AA363" s="1">
        <v>0.78</v>
      </c>
      <c r="AB363" s="1">
        <v>4.88</v>
      </c>
      <c r="AE363" s="1">
        <v>0.36</v>
      </c>
      <c r="AF363" s="1">
        <v>0.27</v>
      </c>
      <c r="AI363" s="1">
        <v>11</v>
      </c>
      <c r="AJ363" s="1" t="s">
        <v>2240</v>
      </c>
      <c r="AK363" s="1">
        <v>1.8</v>
      </c>
      <c r="AL363" s="1">
        <v>95.024799999999999</v>
      </c>
      <c r="AM363" s="1" t="s">
        <v>2240</v>
      </c>
      <c r="AN363" s="1">
        <v>7.0192401216143896</v>
      </c>
      <c r="AO363" s="1">
        <v>1.0595079428851899</v>
      </c>
      <c r="AP363" s="1" t="s">
        <v>2241</v>
      </c>
      <c r="AR363" s="1">
        <v>7.82</v>
      </c>
      <c r="AT363" s="1">
        <v>12</v>
      </c>
    </row>
    <row r="364" spans="1:46">
      <c r="A364" s="1" t="s">
        <v>2246</v>
      </c>
      <c r="C364" s="1" t="s">
        <v>2246</v>
      </c>
      <c r="D364" s="1" t="s">
        <v>2247</v>
      </c>
      <c r="E364" s="1" t="s">
        <v>1466</v>
      </c>
      <c r="F364" s="1" t="s">
        <v>2229</v>
      </c>
      <c r="G364" s="1" t="s">
        <v>49</v>
      </c>
      <c r="H364" s="2" t="s">
        <v>2248</v>
      </c>
      <c r="I364" s="1">
        <v>23</v>
      </c>
      <c r="J364" s="1">
        <v>0.2</v>
      </c>
      <c r="L364" s="1" t="s">
        <v>65</v>
      </c>
      <c r="M364" s="1">
        <v>22.113</v>
      </c>
      <c r="N364" s="1">
        <v>56</v>
      </c>
      <c r="O364" s="1">
        <v>71.075980000000001</v>
      </c>
      <c r="P364" s="1">
        <v>-160.73403999999999</v>
      </c>
      <c r="Q364" s="1">
        <v>6.1971999999999996</v>
      </c>
      <c r="R364" s="1">
        <v>31.747599999999998</v>
      </c>
      <c r="S364" s="1">
        <v>303.851</v>
      </c>
      <c r="T364" s="1">
        <v>51.15578301</v>
      </c>
      <c r="U364" s="1">
        <v>6.6717461150000004</v>
      </c>
      <c r="V364" s="1">
        <v>17633.333330000001</v>
      </c>
      <c r="W364" s="3">
        <v>0.27</v>
      </c>
      <c r="X364" s="1" t="s">
        <v>2249</v>
      </c>
      <c r="Y364" s="1">
        <v>0.23</v>
      </c>
      <c r="AA364" s="1">
        <v>0.75</v>
      </c>
      <c r="AB364" s="1">
        <v>3.66</v>
      </c>
      <c r="AE364" s="1">
        <v>0.37</v>
      </c>
      <c r="AF364" s="1">
        <v>0.81</v>
      </c>
      <c r="AI364" s="1">
        <v>10</v>
      </c>
      <c r="AJ364" s="1" t="s">
        <v>2250</v>
      </c>
      <c r="AK364" s="1">
        <v>1.8</v>
      </c>
      <c r="AL364" s="1">
        <v>95.980699999999999</v>
      </c>
      <c r="AM364" s="1" t="s">
        <v>2249</v>
      </c>
      <c r="AN364" s="1">
        <v>7.6675254316088397</v>
      </c>
      <c r="AO364" s="1">
        <v>1.1573623292994499</v>
      </c>
      <c r="AP364" s="1" t="s">
        <v>2251</v>
      </c>
      <c r="AR364" s="1">
        <v>7.82</v>
      </c>
      <c r="AT364" s="1">
        <v>22</v>
      </c>
    </row>
    <row r="365" spans="1:46">
      <c r="A365" s="1" t="s">
        <v>2252</v>
      </c>
      <c r="C365" s="1" t="s">
        <v>2252</v>
      </c>
      <c r="D365" s="1" t="s">
        <v>2253</v>
      </c>
      <c r="E365" s="1" t="s">
        <v>1466</v>
      </c>
      <c r="F365" s="1" t="s">
        <v>2229</v>
      </c>
      <c r="G365" s="1" t="s">
        <v>49</v>
      </c>
      <c r="H365" s="2" t="s">
        <v>2248</v>
      </c>
      <c r="I365" s="1">
        <v>23</v>
      </c>
      <c r="J365" s="1">
        <v>3</v>
      </c>
      <c r="L365" s="1" t="s">
        <v>65</v>
      </c>
      <c r="M365" s="1">
        <v>22.113</v>
      </c>
      <c r="N365" s="1">
        <v>56</v>
      </c>
      <c r="O365" s="1">
        <v>71.075980000000001</v>
      </c>
      <c r="P365" s="1">
        <v>-160.73403999999999</v>
      </c>
      <c r="Q365" s="1">
        <v>6.1971999999999996</v>
      </c>
      <c r="R365" s="1">
        <v>31.747599999999998</v>
      </c>
      <c r="S365" s="1">
        <v>303.851</v>
      </c>
      <c r="T365" s="1">
        <v>51.15578301</v>
      </c>
      <c r="U365" s="1">
        <v>6.6717461150000004</v>
      </c>
      <c r="V365" s="1">
        <v>17633.333330000001</v>
      </c>
      <c r="W365" s="3">
        <v>0.27</v>
      </c>
      <c r="X365" s="1" t="s">
        <v>2249</v>
      </c>
      <c r="Y365" s="1">
        <v>0.23</v>
      </c>
      <c r="AA365" s="1">
        <v>0.75</v>
      </c>
      <c r="AB365" s="1">
        <v>3.66</v>
      </c>
      <c r="AE365" s="1">
        <v>0.37</v>
      </c>
      <c r="AF365" s="1">
        <v>0.81</v>
      </c>
      <c r="AI365" s="1">
        <v>10</v>
      </c>
      <c r="AJ365" s="1" t="s">
        <v>2250</v>
      </c>
      <c r="AK365" s="1">
        <v>1.8</v>
      </c>
      <c r="AL365" s="1">
        <v>95.980699999999999</v>
      </c>
      <c r="AM365" s="1" t="s">
        <v>2249</v>
      </c>
      <c r="AN365" s="1">
        <v>7.6675254316088397</v>
      </c>
      <c r="AO365" s="1">
        <v>1.1573623292994499</v>
      </c>
      <c r="AP365" s="1" t="s">
        <v>2251</v>
      </c>
      <c r="AR365" s="1">
        <v>7.82</v>
      </c>
      <c r="AT365" s="1">
        <v>22</v>
      </c>
    </row>
    <row r="366" spans="1:46">
      <c r="A366" s="1" t="s">
        <v>2254</v>
      </c>
      <c r="C366" s="1" t="s">
        <v>2254</v>
      </c>
      <c r="D366" s="1" t="s">
        <v>2255</v>
      </c>
      <c r="E366" s="1" t="s">
        <v>1466</v>
      </c>
      <c r="F366" s="1" t="s">
        <v>2229</v>
      </c>
      <c r="G366" s="1" t="s">
        <v>49</v>
      </c>
      <c r="H366" s="2" t="s">
        <v>2256</v>
      </c>
      <c r="I366" s="1">
        <v>23</v>
      </c>
      <c r="J366" s="1">
        <v>0.2</v>
      </c>
      <c r="K366" s="1" t="s">
        <v>2257</v>
      </c>
      <c r="L366" s="1" t="s">
        <v>65</v>
      </c>
      <c r="M366" s="1">
        <v>31.548999999999999</v>
      </c>
      <c r="N366" s="1">
        <v>56</v>
      </c>
      <c r="O366" s="1">
        <v>71.075689999999994</v>
      </c>
      <c r="P366" s="1">
        <v>-160.73492999999999</v>
      </c>
      <c r="Q366" s="1">
        <v>1.1601999999999999</v>
      </c>
      <c r="R366" s="1">
        <v>31.920649999999998</v>
      </c>
      <c r="S366" s="1">
        <v>363.53100000000001</v>
      </c>
      <c r="T366" s="1">
        <v>84.004032649999999</v>
      </c>
      <c r="U366" s="1">
        <v>13.211890560000001</v>
      </c>
      <c r="V366" s="1">
        <v>4480.7692310000002</v>
      </c>
      <c r="W366" s="3">
        <v>1.411</v>
      </c>
      <c r="X366" s="1" t="s">
        <v>2258</v>
      </c>
      <c r="Y366" s="1">
        <v>2.4900000000000002</v>
      </c>
      <c r="AA366" s="1">
        <v>0.83</v>
      </c>
      <c r="AB366" s="1">
        <v>3.72</v>
      </c>
      <c r="AE366" s="1">
        <v>0.46</v>
      </c>
      <c r="AF366" s="1">
        <v>0.33</v>
      </c>
      <c r="AI366" s="1">
        <v>7</v>
      </c>
      <c r="AJ366" s="1" t="s">
        <v>2258</v>
      </c>
      <c r="AK366" s="1">
        <v>1.7</v>
      </c>
      <c r="AL366" s="1">
        <v>93.990099999999998</v>
      </c>
      <c r="AM366" s="1" t="s">
        <v>2258</v>
      </c>
      <c r="AN366" s="1">
        <v>6.3582143879036197</v>
      </c>
      <c r="AO366" s="1">
        <v>0.95973047364582897</v>
      </c>
      <c r="AP366" s="1" t="s">
        <v>2259</v>
      </c>
      <c r="AR366" s="1">
        <v>7.82</v>
      </c>
      <c r="AT366" s="1">
        <v>30</v>
      </c>
    </row>
    <row r="367" spans="1:46">
      <c r="A367" s="1" t="s">
        <v>2260</v>
      </c>
      <c r="C367" s="1" t="s">
        <v>2260</v>
      </c>
      <c r="D367" s="1" t="s">
        <v>2261</v>
      </c>
      <c r="E367" s="1" t="s">
        <v>1466</v>
      </c>
      <c r="F367" s="1" t="s">
        <v>2229</v>
      </c>
      <c r="G367" s="1" t="s">
        <v>49</v>
      </c>
      <c r="H367" s="2" t="s">
        <v>2256</v>
      </c>
      <c r="I367" s="1">
        <v>23</v>
      </c>
      <c r="J367" s="1">
        <v>3</v>
      </c>
      <c r="K367" s="1" t="s">
        <v>2257</v>
      </c>
      <c r="L367" s="1" t="s">
        <v>65</v>
      </c>
      <c r="M367" s="1">
        <v>31.548999999999999</v>
      </c>
      <c r="N367" s="1">
        <v>56</v>
      </c>
      <c r="O367" s="1">
        <v>71.075689999999994</v>
      </c>
      <c r="P367" s="1">
        <v>-160.73492999999999</v>
      </c>
      <c r="Q367" s="1">
        <v>1.1601999999999999</v>
      </c>
      <c r="R367" s="1">
        <v>31.920649999999998</v>
      </c>
      <c r="S367" s="1">
        <v>363.53100000000001</v>
      </c>
      <c r="T367" s="1">
        <v>84.004032649999999</v>
      </c>
      <c r="U367" s="1">
        <v>13.211890560000001</v>
      </c>
      <c r="V367" s="1">
        <v>4480.7692310000002</v>
      </c>
      <c r="W367" s="3">
        <v>1.411</v>
      </c>
      <c r="X367" s="1" t="s">
        <v>2258</v>
      </c>
      <c r="Y367" s="1">
        <v>2.4900000000000002</v>
      </c>
      <c r="AA367" s="1">
        <v>0.83</v>
      </c>
      <c r="AB367" s="1">
        <v>3.72</v>
      </c>
      <c r="AE367" s="1">
        <v>0.46</v>
      </c>
      <c r="AF367" s="1">
        <v>0.33</v>
      </c>
      <c r="AI367" s="1">
        <v>7</v>
      </c>
      <c r="AJ367" s="1" t="s">
        <v>2258</v>
      </c>
      <c r="AK367" s="1">
        <v>1.7</v>
      </c>
      <c r="AL367" s="1">
        <v>93.990099999999998</v>
      </c>
      <c r="AM367" s="1" t="s">
        <v>2258</v>
      </c>
      <c r="AN367" s="1">
        <v>6.3582143879036197</v>
      </c>
      <c r="AO367" s="1">
        <v>0.95973047364582897</v>
      </c>
      <c r="AP367" s="1" t="s">
        <v>2259</v>
      </c>
      <c r="AR367" s="1">
        <v>7.82</v>
      </c>
      <c r="AT367" s="1">
        <v>30</v>
      </c>
    </row>
    <row r="368" spans="1:46">
      <c r="A368" s="1" t="s">
        <v>2262</v>
      </c>
      <c r="C368" s="1" t="s">
        <v>2262</v>
      </c>
      <c r="D368" s="1" t="s">
        <v>2263</v>
      </c>
      <c r="E368" s="1" t="s">
        <v>1466</v>
      </c>
      <c r="F368" s="1" t="s">
        <v>2229</v>
      </c>
      <c r="G368" s="1" t="s">
        <v>49</v>
      </c>
      <c r="H368" s="2" t="s">
        <v>2256</v>
      </c>
      <c r="I368" s="1">
        <v>23</v>
      </c>
      <c r="J368" s="1">
        <v>20</v>
      </c>
      <c r="K368" s="1" t="s">
        <v>2257</v>
      </c>
      <c r="L368" s="1" t="s">
        <v>65</v>
      </c>
      <c r="M368" s="1">
        <v>31.548999999999999</v>
      </c>
      <c r="N368" s="1">
        <v>56</v>
      </c>
      <c r="O368" s="1">
        <v>71.075689999999994</v>
      </c>
      <c r="P368" s="1">
        <v>-160.73492999999999</v>
      </c>
      <c r="Q368" s="1">
        <v>1.1601999999999999</v>
      </c>
      <c r="R368" s="1">
        <v>31.920649999999998</v>
      </c>
      <c r="S368" s="1">
        <v>363.53100000000001</v>
      </c>
      <c r="T368" s="1">
        <v>84.004032649999999</v>
      </c>
      <c r="U368" s="1">
        <v>13.211890560000001</v>
      </c>
      <c r="V368" s="1">
        <v>4480.7692310000002</v>
      </c>
      <c r="W368" s="3">
        <v>1.411</v>
      </c>
      <c r="X368" s="1" t="s">
        <v>2258</v>
      </c>
      <c r="Y368" s="1">
        <v>2.4900000000000002</v>
      </c>
      <c r="AA368" s="1">
        <v>0.83</v>
      </c>
      <c r="AB368" s="1">
        <v>3.72</v>
      </c>
      <c r="AE368" s="1">
        <v>0.46</v>
      </c>
      <c r="AF368" s="1">
        <v>0.33</v>
      </c>
      <c r="AI368" s="1">
        <v>7</v>
      </c>
      <c r="AJ368" s="1" t="s">
        <v>2258</v>
      </c>
      <c r="AK368" s="1">
        <v>1.7</v>
      </c>
      <c r="AL368" s="1">
        <v>93.990099999999998</v>
      </c>
      <c r="AM368" s="1" t="s">
        <v>2258</v>
      </c>
      <c r="AN368" s="1">
        <v>6.3582143879036197</v>
      </c>
      <c r="AO368" s="1">
        <v>0.95973047364582897</v>
      </c>
      <c r="AP368" s="1" t="s">
        <v>2259</v>
      </c>
      <c r="AR368" s="1">
        <v>7.82</v>
      </c>
      <c r="AT368" s="1">
        <v>30</v>
      </c>
    </row>
    <row r="369" spans="1:46">
      <c r="A369" s="1" t="s">
        <v>2264</v>
      </c>
      <c r="C369" s="1" t="s">
        <v>2264</v>
      </c>
      <c r="D369" s="1" t="s">
        <v>2265</v>
      </c>
      <c r="E369" s="1" t="s">
        <v>1466</v>
      </c>
      <c r="F369" s="1" t="s">
        <v>2229</v>
      </c>
      <c r="G369" s="1" t="s">
        <v>49</v>
      </c>
      <c r="H369" s="2" t="s">
        <v>2266</v>
      </c>
      <c r="I369" s="1">
        <v>23</v>
      </c>
      <c r="J369" s="1">
        <v>0.2</v>
      </c>
      <c r="K369" s="1" t="s">
        <v>1488</v>
      </c>
      <c r="L369" s="1" t="s">
        <v>65</v>
      </c>
      <c r="M369" s="1">
        <v>35.866</v>
      </c>
      <c r="N369" s="1">
        <v>56</v>
      </c>
      <c r="O369" s="1">
        <v>71.075559999999996</v>
      </c>
      <c r="P369" s="1">
        <v>-160.73546999999999</v>
      </c>
      <c r="Q369" s="1">
        <v>2.0546000000000002</v>
      </c>
      <c r="R369" s="1">
        <v>32.590800000000002</v>
      </c>
      <c r="S369" s="1">
        <v>269.83999999999997</v>
      </c>
      <c r="T369" s="1">
        <v>160.87151209999999</v>
      </c>
      <c r="U369" s="1">
        <v>32.514960799999997</v>
      </c>
      <c r="V369" s="1">
        <v>2966.666667</v>
      </c>
      <c r="W369" s="3">
        <v>0.98099999999999998</v>
      </c>
      <c r="X369" s="1" t="s">
        <v>2258</v>
      </c>
      <c r="Y369" s="1">
        <v>2.4900000000000002</v>
      </c>
      <c r="AA369" s="1">
        <v>0.83</v>
      </c>
      <c r="AB369" s="1">
        <v>3.72</v>
      </c>
      <c r="AE369" s="1">
        <v>0.46</v>
      </c>
      <c r="AF369" s="1">
        <v>0.33</v>
      </c>
      <c r="AI369" s="1">
        <v>5</v>
      </c>
      <c r="AJ369" s="1" t="s">
        <v>2267</v>
      </c>
      <c r="AK369" s="1">
        <v>1.7</v>
      </c>
      <c r="AL369" s="1">
        <v>77.359700000000004</v>
      </c>
      <c r="AM369" s="1" t="s">
        <v>2258</v>
      </c>
      <c r="AN369" s="1">
        <v>4.9476151329083002</v>
      </c>
      <c r="AO369" s="1">
        <v>0.74680983138238399</v>
      </c>
      <c r="AP369" s="1" t="s">
        <v>2268</v>
      </c>
      <c r="AR369" s="1">
        <v>7.82</v>
      </c>
      <c r="AT369" s="1">
        <v>35</v>
      </c>
    </row>
    <row r="370" spans="1:46">
      <c r="A370" s="1" t="s">
        <v>2269</v>
      </c>
      <c r="C370" s="1" t="s">
        <v>2269</v>
      </c>
      <c r="D370" s="1" t="s">
        <v>2270</v>
      </c>
      <c r="E370" s="1" t="s">
        <v>1466</v>
      </c>
      <c r="F370" s="1" t="s">
        <v>2229</v>
      </c>
      <c r="G370" s="1" t="s">
        <v>49</v>
      </c>
      <c r="H370" s="2" t="s">
        <v>2266</v>
      </c>
      <c r="I370" s="1">
        <v>23</v>
      </c>
      <c r="J370" s="1">
        <v>3</v>
      </c>
      <c r="K370" s="1" t="s">
        <v>1488</v>
      </c>
      <c r="L370" s="1" t="s">
        <v>65</v>
      </c>
      <c r="M370" s="1">
        <v>35.866</v>
      </c>
      <c r="N370" s="1">
        <v>56</v>
      </c>
      <c r="O370" s="1">
        <v>71.075559999999996</v>
      </c>
      <c r="P370" s="1">
        <v>-160.73546999999999</v>
      </c>
      <c r="Q370" s="1">
        <v>2.0546000000000002</v>
      </c>
      <c r="R370" s="1">
        <v>32.590800000000002</v>
      </c>
      <c r="S370" s="1">
        <v>269.83999999999997</v>
      </c>
      <c r="T370" s="1">
        <v>160.87151209999999</v>
      </c>
      <c r="U370" s="1">
        <v>32.514960799999997</v>
      </c>
      <c r="V370" s="1">
        <v>2966.666667</v>
      </c>
      <c r="W370" s="3">
        <v>0.98099999999999998</v>
      </c>
      <c r="X370" s="1" t="s">
        <v>2258</v>
      </c>
      <c r="Y370" s="1">
        <v>2.4900000000000002</v>
      </c>
      <c r="AA370" s="1">
        <v>0.83</v>
      </c>
      <c r="AB370" s="1">
        <v>3.72</v>
      </c>
      <c r="AE370" s="1">
        <v>0.46</v>
      </c>
      <c r="AF370" s="1">
        <v>0.33</v>
      </c>
      <c r="AI370" s="1">
        <v>5</v>
      </c>
      <c r="AJ370" s="1" t="s">
        <v>2267</v>
      </c>
      <c r="AK370" s="1">
        <v>1.7</v>
      </c>
      <c r="AL370" s="1">
        <v>77.359700000000004</v>
      </c>
      <c r="AM370" s="1" t="s">
        <v>2258</v>
      </c>
      <c r="AN370" s="1">
        <v>4.9476151329083002</v>
      </c>
      <c r="AO370" s="1">
        <v>0.74680983138238399</v>
      </c>
      <c r="AP370" s="1" t="s">
        <v>2268</v>
      </c>
      <c r="AR370" s="1">
        <v>7.82</v>
      </c>
      <c r="AT370" s="1">
        <v>35</v>
      </c>
    </row>
    <row r="371" spans="1:46">
      <c r="A371" s="1" t="s">
        <v>2271</v>
      </c>
      <c r="C371" s="1" t="s">
        <v>2271</v>
      </c>
      <c r="D371" s="1" t="s">
        <v>2272</v>
      </c>
      <c r="E371" s="1" t="s">
        <v>1466</v>
      </c>
      <c r="F371" s="1" t="s">
        <v>2229</v>
      </c>
      <c r="G371" s="1" t="s">
        <v>49</v>
      </c>
      <c r="H371" s="2" t="s">
        <v>2266</v>
      </c>
      <c r="I371" s="1">
        <v>23</v>
      </c>
      <c r="J371" s="1">
        <v>20</v>
      </c>
      <c r="K371" s="1" t="s">
        <v>1488</v>
      </c>
      <c r="L371" s="1" t="s">
        <v>65</v>
      </c>
      <c r="M371" s="1">
        <v>35.866</v>
      </c>
      <c r="N371" s="1">
        <v>56</v>
      </c>
      <c r="O371" s="1">
        <v>71.075559999999996</v>
      </c>
      <c r="P371" s="1">
        <v>-160.73546999999999</v>
      </c>
      <c r="Q371" s="1">
        <v>2.0546000000000002</v>
      </c>
      <c r="R371" s="1">
        <v>32.590800000000002</v>
      </c>
      <c r="S371" s="1">
        <v>269.83999999999997</v>
      </c>
      <c r="T371" s="1">
        <v>160.87151209999999</v>
      </c>
      <c r="U371" s="1">
        <v>32.514960799999997</v>
      </c>
      <c r="V371" s="1">
        <v>2966.666667</v>
      </c>
      <c r="W371" s="3">
        <v>0.98099999999999998</v>
      </c>
      <c r="X371" s="1" t="s">
        <v>2258</v>
      </c>
      <c r="Y371" s="1">
        <v>2.4900000000000002</v>
      </c>
      <c r="AA371" s="1">
        <v>0.83</v>
      </c>
      <c r="AB371" s="1">
        <v>3.72</v>
      </c>
      <c r="AE371" s="1">
        <v>0.46</v>
      </c>
      <c r="AF371" s="1">
        <v>0.33</v>
      </c>
      <c r="AI371" s="1">
        <v>5</v>
      </c>
      <c r="AJ371" s="1" t="s">
        <v>2267</v>
      </c>
      <c r="AK371" s="1">
        <v>1.7</v>
      </c>
      <c r="AL371" s="1">
        <v>77.359700000000004</v>
      </c>
      <c r="AM371" s="1" t="s">
        <v>2258</v>
      </c>
      <c r="AN371" s="1">
        <v>4.9476151329083002</v>
      </c>
      <c r="AO371" s="1">
        <v>0.74680983138238399</v>
      </c>
      <c r="AP371" s="1" t="s">
        <v>2268</v>
      </c>
      <c r="AR371" s="1">
        <v>7.82</v>
      </c>
      <c r="AT371" s="1">
        <v>35</v>
      </c>
    </row>
    <row r="372" spans="1:46">
      <c r="A372" s="1" t="s">
        <v>2273</v>
      </c>
      <c r="C372" s="1" t="s">
        <v>2273</v>
      </c>
      <c r="D372" s="1" t="s">
        <v>2274</v>
      </c>
      <c r="E372" s="1" t="s">
        <v>1466</v>
      </c>
      <c r="F372" s="1" t="s">
        <v>2229</v>
      </c>
      <c r="G372" s="1" t="s">
        <v>49</v>
      </c>
      <c r="H372" s="2" t="s">
        <v>2275</v>
      </c>
      <c r="I372" s="1">
        <v>23</v>
      </c>
      <c r="J372" s="1">
        <v>0.2</v>
      </c>
      <c r="L372" s="1" t="s">
        <v>65</v>
      </c>
      <c r="M372" s="1">
        <v>41.768999999999998</v>
      </c>
      <c r="N372" s="1">
        <v>56</v>
      </c>
      <c r="O372" s="1">
        <v>71.075360000000003</v>
      </c>
      <c r="P372" s="1">
        <v>-160.73625000000001</v>
      </c>
      <c r="Q372" s="1">
        <v>2.1627000000000001</v>
      </c>
      <c r="R372" s="1">
        <v>32.616</v>
      </c>
      <c r="S372" s="1">
        <v>270.63900000000001</v>
      </c>
      <c r="W372" s="3">
        <v>0.60799999999999998</v>
      </c>
      <c r="X372" s="1" t="s">
        <v>2276</v>
      </c>
      <c r="Y372" s="1">
        <v>0.94</v>
      </c>
      <c r="AA372" s="1">
        <v>1.56</v>
      </c>
      <c r="AB372" s="1">
        <v>18.850000000000001</v>
      </c>
      <c r="AE372" s="1">
        <v>3.92</v>
      </c>
      <c r="AF372" s="1">
        <v>3.51</v>
      </c>
      <c r="AI372" s="1">
        <v>3</v>
      </c>
      <c r="AJ372" s="1" t="s">
        <v>2276</v>
      </c>
      <c r="AK372" s="1">
        <v>1.5</v>
      </c>
      <c r="AL372" s="1">
        <v>70.5732</v>
      </c>
      <c r="AM372" s="1" t="s">
        <v>2276</v>
      </c>
      <c r="AP372" s="1" t="s">
        <v>2277</v>
      </c>
      <c r="AR372" s="1">
        <v>7.82</v>
      </c>
      <c r="AT372" s="1">
        <v>41</v>
      </c>
    </row>
    <row r="373" spans="1:46">
      <c r="A373" s="1" t="s">
        <v>2278</v>
      </c>
      <c r="C373" s="1" t="s">
        <v>2278</v>
      </c>
      <c r="D373" s="1" t="s">
        <v>2279</v>
      </c>
      <c r="E373" s="1" t="s">
        <v>1466</v>
      </c>
      <c r="F373" s="1" t="s">
        <v>2229</v>
      </c>
      <c r="G373" s="1" t="s">
        <v>49</v>
      </c>
      <c r="H373" s="2" t="s">
        <v>2275</v>
      </c>
      <c r="I373" s="1">
        <v>23</v>
      </c>
      <c r="J373" s="1">
        <v>3</v>
      </c>
      <c r="L373" s="1" t="s">
        <v>65</v>
      </c>
      <c r="M373" s="1">
        <v>41.768999999999998</v>
      </c>
      <c r="N373" s="1">
        <v>56</v>
      </c>
      <c r="O373" s="1">
        <v>71.075360000000003</v>
      </c>
      <c r="P373" s="1">
        <v>-160.73625000000001</v>
      </c>
      <c r="Q373" s="1">
        <v>2.1627000000000001</v>
      </c>
      <c r="R373" s="1">
        <v>32.616</v>
      </c>
      <c r="S373" s="1">
        <v>270.63900000000001</v>
      </c>
      <c r="W373" s="3">
        <v>0.60799999999999998</v>
      </c>
      <c r="X373" s="1" t="s">
        <v>2276</v>
      </c>
      <c r="Y373" s="1">
        <v>0.94</v>
      </c>
      <c r="AA373" s="1">
        <v>1.56</v>
      </c>
      <c r="AB373" s="1">
        <v>18.850000000000001</v>
      </c>
      <c r="AE373" s="1">
        <v>3.92</v>
      </c>
      <c r="AF373" s="1">
        <v>3.51</v>
      </c>
      <c r="AI373" s="1">
        <v>3</v>
      </c>
      <c r="AJ373" s="1" t="s">
        <v>2276</v>
      </c>
      <c r="AK373" s="1">
        <v>1.5</v>
      </c>
      <c r="AL373" s="1">
        <v>70.5732</v>
      </c>
      <c r="AM373" s="1" t="s">
        <v>2276</v>
      </c>
      <c r="AP373" s="1" t="s">
        <v>2277</v>
      </c>
      <c r="AR373" s="1">
        <v>7.82</v>
      </c>
      <c r="AT373" s="1">
        <v>41</v>
      </c>
    </row>
    <row r="374" spans="1:46">
      <c r="A374" s="1" t="s">
        <v>2280</v>
      </c>
      <c r="C374" s="1" t="s">
        <v>2280</v>
      </c>
      <c r="D374" s="1" t="s">
        <v>2281</v>
      </c>
      <c r="E374" s="1" t="s">
        <v>1466</v>
      </c>
      <c r="F374" s="1" t="s">
        <v>2229</v>
      </c>
      <c r="G374" s="1" t="s">
        <v>49</v>
      </c>
      <c r="H374" s="2" t="s">
        <v>2275</v>
      </c>
      <c r="I374" s="1">
        <v>23</v>
      </c>
      <c r="J374" s="1">
        <v>20</v>
      </c>
      <c r="L374" s="1" t="s">
        <v>65</v>
      </c>
      <c r="M374" s="1">
        <v>41.768999999999998</v>
      </c>
      <c r="N374" s="1">
        <v>56</v>
      </c>
      <c r="O374" s="1">
        <v>71.075360000000003</v>
      </c>
      <c r="P374" s="1">
        <v>-160.73625000000001</v>
      </c>
      <c r="Q374" s="1">
        <v>2.1627000000000001</v>
      </c>
      <c r="R374" s="1">
        <v>32.616</v>
      </c>
      <c r="S374" s="1">
        <v>270.63900000000001</v>
      </c>
      <c r="W374" s="3">
        <v>0.60799999999999998</v>
      </c>
      <c r="X374" s="1" t="s">
        <v>2276</v>
      </c>
      <c r="Y374" s="1">
        <v>0.94</v>
      </c>
      <c r="AA374" s="1">
        <v>1.56</v>
      </c>
      <c r="AB374" s="1">
        <v>18.850000000000001</v>
      </c>
      <c r="AE374" s="1">
        <v>3.92</v>
      </c>
      <c r="AF374" s="1">
        <v>3.51</v>
      </c>
      <c r="AI374" s="1">
        <v>3</v>
      </c>
      <c r="AJ374" s="1" t="s">
        <v>2276</v>
      </c>
      <c r="AK374" s="1">
        <v>1.5</v>
      </c>
      <c r="AL374" s="1">
        <v>70.5732</v>
      </c>
      <c r="AM374" s="1" t="s">
        <v>2276</v>
      </c>
      <c r="AP374" s="1" t="s">
        <v>2277</v>
      </c>
      <c r="AR374" s="1">
        <v>7.82</v>
      </c>
      <c r="AT374" s="1">
        <v>41</v>
      </c>
    </row>
    <row r="375" spans="1:46">
      <c r="A375" s="1" t="s">
        <v>2282</v>
      </c>
      <c r="C375" s="1" t="s">
        <v>2282</v>
      </c>
      <c r="D375" s="1" t="s">
        <v>2283</v>
      </c>
      <c r="E375" s="1" t="s">
        <v>1466</v>
      </c>
      <c r="F375" s="1" t="s">
        <v>2229</v>
      </c>
      <c r="G375" s="1" t="s">
        <v>49</v>
      </c>
      <c r="H375" s="2" t="s">
        <v>2284</v>
      </c>
      <c r="I375" s="1">
        <v>23</v>
      </c>
      <c r="J375" s="1">
        <v>0.2</v>
      </c>
      <c r="L375" s="1" t="s">
        <v>78</v>
      </c>
      <c r="M375" s="1">
        <v>49.093000000000004</v>
      </c>
      <c r="N375" s="1">
        <v>56</v>
      </c>
      <c r="O375" s="1">
        <v>71.07508</v>
      </c>
      <c r="P375" s="1">
        <v>-160.73708999999999</v>
      </c>
      <c r="Q375" s="1">
        <v>2.1827000000000001</v>
      </c>
      <c r="R375" s="1">
        <v>32.620699999999999</v>
      </c>
      <c r="S375" s="1">
        <v>271.06349999999998</v>
      </c>
      <c r="W375" s="3">
        <v>0.57899999999999996</v>
      </c>
      <c r="X375" s="1" t="s">
        <v>2285</v>
      </c>
      <c r="Y375" s="1">
        <v>1.04</v>
      </c>
      <c r="AA375" s="1">
        <v>1.51</v>
      </c>
      <c r="AB375" s="1">
        <v>18.100000000000001</v>
      </c>
      <c r="AE375" s="1">
        <v>4</v>
      </c>
      <c r="AF375" s="1">
        <v>3.37</v>
      </c>
      <c r="AI375" s="1">
        <v>2</v>
      </c>
      <c r="AJ375" s="1" t="s">
        <v>2286</v>
      </c>
      <c r="AK375" s="1">
        <v>1.5</v>
      </c>
      <c r="AL375" s="1">
        <v>67.573899999999995</v>
      </c>
      <c r="AM375" s="1" t="s">
        <v>2285</v>
      </c>
      <c r="AP375" s="1" t="s">
        <v>2287</v>
      </c>
      <c r="AQ375" s="1">
        <v>-1.1000000000000001</v>
      </c>
      <c r="AR375" s="1">
        <v>7.82</v>
      </c>
      <c r="AT375" s="1">
        <v>49</v>
      </c>
    </row>
    <row r="376" spans="1:46">
      <c r="A376" s="1" t="s">
        <v>2288</v>
      </c>
      <c r="C376" s="1" t="s">
        <v>2288</v>
      </c>
      <c r="D376" s="1" t="s">
        <v>2289</v>
      </c>
      <c r="E376" s="1" t="s">
        <v>1466</v>
      </c>
      <c r="F376" s="1" t="s">
        <v>2229</v>
      </c>
      <c r="G376" s="1" t="s">
        <v>49</v>
      </c>
      <c r="H376" s="2" t="s">
        <v>2284</v>
      </c>
      <c r="I376" s="1">
        <v>23</v>
      </c>
      <c r="J376" s="1">
        <v>3</v>
      </c>
      <c r="L376" s="1" t="s">
        <v>78</v>
      </c>
      <c r="M376" s="1">
        <v>49.093000000000004</v>
      </c>
      <c r="N376" s="1">
        <v>56</v>
      </c>
      <c r="O376" s="1">
        <v>71.07508</v>
      </c>
      <c r="P376" s="1">
        <v>-160.73708999999999</v>
      </c>
      <c r="Q376" s="1">
        <v>2.1827000000000001</v>
      </c>
      <c r="R376" s="1">
        <v>32.620699999999999</v>
      </c>
      <c r="S376" s="1">
        <v>271.06349999999998</v>
      </c>
      <c r="W376" s="3">
        <v>0.57899999999999996</v>
      </c>
      <c r="X376" s="1" t="s">
        <v>2285</v>
      </c>
      <c r="Y376" s="1">
        <v>1.04</v>
      </c>
      <c r="AA376" s="1">
        <v>1.51</v>
      </c>
      <c r="AB376" s="1">
        <v>18.100000000000001</v>
      </c>
      <c r="AE376" s="1">
        <v>4</v>
      </c>
      <c r="AF376" s="1">
        <v>3.37</v>
      </c>
      <c r="AI376" s="1">
        <v>2</v>
      </c>
      <c r="AJ376" s="1" t="s">
        <v>2286</v>
      </c>
      <c r="AK376" s="1">
        <v>1.5</v>
      </c>
      <c r="AL376" s="1">
        <v>67.573899999999995</v>
      </c>
      <c r="AM376" s="1" t="s">
        <v>2285</v>
      </c>
      <c r="AP376" s="1" t="s">
        <v>2287</v>
      </c>
      <c r="AQ376" s="1">
        <v>-1.1000000000000001</v>
      </c>
      <c r="AR376" s="1">
        <v>7.82</v>
      </c>
      <c r="AS376" s="1" t="s">
        <v>2290</v>
      </c>
      <c r="AT376" s="1">
        <v>49</v>
      </c>
    </row>
    <row r="377" spans="1:46">
      <c r="A377" s="1" t="s">
        <v>2291</v>
      </c>
      <c r="C377" s="1" t="s">
        <v>2291</v>
      </c>
      <c r="D377" s="1" t="s">
        <v>2292</v>
      </c>
      <c r="E377" s="1" t="s">
        <v>1466</v>
      </c>
      <c r="F377" s="1" t="s">
        <v>2229</v>
      </c>
      <c r="G377" s="1" t="s">
        <v>49</v>
      </c>
      <c r="H377" s="2" t="s">
        <v>2284</v>
      </c>
      <c r="I377" s="1">
        <v>23</v>
      </c>
      <c r="J377" s="1">
        <v>20</v>
      </c>
      <c r="L377" s="1" t="s">
        <v>78</v>
      </c>
      <c r="M377" s="1">
        <v>49.093000000000004</v>
      </c>
      <c r="N377" s="1">
        <v>56</v>
      </c>
      <c r="O377" s="1">
        <v>71.07508</v>
      </c>
      <c r="P377" s="1">
        <v>-160.73708999999999</v>
      </c>
      <c r="Q377" s="1">
        <v>2.1827000000000001</v>
      </c>
      <c r="R377" s="1">
        <v>32.620699999999999</v>
      </c>
      <c r="S377" s="1">
        <v>271.06349999999998</v>
      </c>
      <c r="W377" s="3">
        <v>0.57899999999999996</v>
      </c>
      <c r="X377" s="1" t="s">
        <v>2285</v>
      </c>
      <c r="Y377" s="1">
        <v>1.04</v>
      </c>
      <c r="AA377" s="1">
        <v>1.51</v>
      </c>
      <c r="AB377" s="1">
        <v>18.100000000000001</v>
      </c>
      <c r="AE377" s="1">
        <v>4</v>
      </c>
      <c r="AF377" s="1">
        <v>3.37</v>
      </c>
      <c r="AI377" s="1">
        <v>2</v>
      </c>
      <c r="AJ377" s="1" t="s">
        <v>2286</v>
      </c>
      <c r="AK377" s="1">
        <v>1.5</v>
      </c>
      <c r="AL377" s="1">
        <v>67.573899999999995</v>
      </c>
      <c r="AM377" s="1" t="s">
        <v>2285</v>
      </c>
      <c r="AP377" s="1" t="s">
        <v>2287</v>
      </c>
      <c r="AQ377" s="1">
        <v>-1.1000000000000001</v>
      </c>
      <c r="AR377" s="1">
        <v>7.82</v>
      </c>
      <c r="AS377" s="1" t="s">
        <v>2293</v>
      </c>
      <c r="AT377" s="1">
        <v>49</v>
      </c>
    </row>
    <row r="378" spans="1:46">
      <c r="A378" s="1" t="s">
        <v>2294</v>
      </c>
      <c r="C378" s="1" t="s">
        <v>2294</v>
      </c>
      <c r="D378" s="1" t="s">
        <v>2295</v>
      </c>
      <c r="E378" s="1" t="s">
        <v>1394</v>
      </c>
      <c r="F378" s="1" t="s">
        <v>1428</v>
      </c>
      <c r="G378" s="1" t="s">
        <v>456</v>
      </c>
      <c r="H378" s="2" t="s">
        <v>2296</v>
      </c>
      <c r="I378" s="1">
        <v>83</v>
      </c>
      <c r="J378" s="1">
        <v>0.2</v>
      </c>
      <c r="K378" s="1">
        <v>0</v>
      </c>
      <c r="L378" s="1" t="s">
        <v>52</v>
      </c>
      <c r="M378" s="1">
        <v>2.9660000000000002</v>
      </c>
      <c r="N378" s="1">
        <v>3034.3</v>
      </c>
      <c r="O378" s="1">
        <v>73.452500000000001</v>
      </c>
      <c r="P378" s="1">
        <v>-157.31100000000001</v>
      </c>
      <c r="Q378" s="1">
        <v>2.9811999999999999</v>
      </c>
      <c r="R378" s="1">
        <v>25.63205</v>
      </c>
      <c r="S378" s="1">
        <v>355.88564459999998</v>
      </c>
      <c r="W378" s="3">
        <v>0.223</v>
      </c>
      <c r="AH378" s="8" t="s">
        <v>2297</v>
      </c>
      <c r="AI378" s="8">
        <v>24</v>
      </c>
      <c r="AJ378" s="8" t="s">
        <v>2298</v>
      </c>
      <c r="AK378" s="8">
        <v>2</v>
      </c>
      <c r="AM378" s="1" t="s">
        <v>2299</v>
      </c>
      <c r="AT378" s="8" t="s">
        <v>1607</v>
      </c>
    </row>
    <row r="379" spans="1:46">
      <c r="A379" s="1" t="s">
        <v>2300</v>
      </c>
      <c r="C379" s="1" t="s">
        <v>2300</v>
      </c>
      <c r="D379" s="1" t="s">
        <v>2301</v>
      </c>
      <c r="E379" s="1" t="s">
        <v>1394</v>
      </c>
      <c r="F379" s="1" t="s">
        <v>1428</v>
      </c>
      <c r="G379" s="1" t="s">
        <v>456</v>
      </c>
      <c r="H379" s="2" t="s">
        <v>2296</v>
      </c>
      <c r="I379" s="1">
        <v>83</v>
      </c>
      <c r="J379" s="1">
        <v>0.2</v>
      </c>
      <c r="K379" s="1">
        <v>30</v>
      </c>
      <c r="L379" s="1" t="s">
        <v>65</v>
      </c>
      <c r="M379" s="1">
        <v>29.806999999999999</v>
      </c>
      <c r="N379" s="1">
        <v>3034.3</v>
      </c>
      <c r="O379" s="1">
        <v>73.452500000000001</v>
      </c>
      <c r="P379" s="1">
        <v>-157.31100000000001</v>
      </c>
      <c r="Q379" s="1">
        <v>-0.80745</v>
      </c>
      <c r="R379" s="1">
        <v>28.4057</v>
      </c>
      <c r="S379" s="1">
        <v>401.59617809999997</v>
      </c>
      <c r="W379" s="3">
        <v>0.21590000000000001</v>
      </c>
      <c r="AH379" s="8" t="s">
        <v>2302</v>
      </c>
      <c r="AI379" s="8">
        <v>21</v>
      </c>
      <c r="AJ379" s="8" t="s">
        <v>2303</v>
      </c>
      <c r="AK379" s="8">
        <v>2</v>
      </c>
      <c r="AM379" s="1" t="s">
        <v>2304</v>
      </c>
      <c r="AT379" s="8" t="s">
        <v>1607</v>
      </c>
    </row>
    <row r="380" spans="1:46">
      <c r="A380" s="1" t="s">
        <v>2305</v>
      </c>
      <c r="C380" s="1" t="s">
        <v>2305</v>
      </c>
      <c r="D380" s="1" t="s">
        <v>2306</v>
      </c>
      <c r="E380" s="1" t="s">
        <v>1394</v>
      </c>
      <c r="F380" s="1" t="s">
        <v>1428</v>
      </c>
      <c r="G380" s="1" t="s">
        <v>456</v>
      </c>
      <c r="H380" s="2" t="s">
        <v>2296</v>
      </c>
      <c r="I380" s="1">
        <v>83</v>
      </c>
      <c r="J380" s="1">
        <v>0.2</v>
      </c>
      <c r="K380" s="1">
        <v>50</v>
      </c>
      <c r="L380" s="1" t="s">
        <v>65</v>
      </c>
      <c r="M380" s="1">
        <v>49.686999999999998</v>
      </c>
      <c r="N380" s="1">
        <v>3034.3</v>
      </c>
      <c r="O380" s="1">
        <v>73.452500000000001</v>
      </c>
      <c r="P380" s="1">
        <v>-157.31100000000001</v>
      </c>
      <c r="Q380" s="1">
        <v>-0.15065000000000001</v>
      </c>
      <c r="R380" s="1">
        <v>29.601700000000001</v>
      </c>
      <c r="S380" s="1">
        <v>397.18367130000001</v>
      </c>
      <c r="W380" s="3">
        <v>0.26819999999999999</v>
      </c>
      <c r="AH380" s="8" t="s">
        <v>2307</v>
      </c>
      <c r="AI380" s="8">
        <v>20</v>
      </c>
      <c r="AJ380" s="8" t="s">
        <v>2308</v>
      </c>
      <c r="AK380" s="8">
        <v>1.1000000000000001</v>
      </c>
      <c r="AM380" s="1" t="s">
        <v>2309</v>
      </c>
      <c r="AT380" s="8" t="s">
        <v>1607</v>
      </c>
    </row>
    <row r="381" spans="1:46">
      <c r="A381" s="1" t="s">
        <v>2310</v>
      </c>
      <c r="C381" s="1" t="s">
        <v>2310</v>
      </c>
      <c r="D381" s="1" t="s">
        <v>2311</v>
      </c>
      <c r="E381" s="1" t="s">
        <v>1394</v>
      </c>
      <c r="F381" s="1" t="s">
        <v>1428</v>
      </c>
      <c r="G381" s="1" t="s">
        <v>456</v>
      </c>
      <c r="H381" s="2" t="s">
        <v>2296</v>
      </c>
      <c r="I381" s="1">
        <v>83</v>
      </c>
      <c r="J381" s="1">
        <v>0.2</v>
      </c>
      <c r="K381" s="1">
        <v>75</v>
      </c>
      <c r="L381" s="1" t="s">
        <v>65</v>
      </c>
      <c r="M381" s="1">
        <v>74.688000000000002</v>
      </c>
      <c r="N381" s="1">
        <v>3034.3</v>
      </c>
      <c r="O381" s="1">
        <v>73.452500000000001</v>
      </c>
      <c r="P381" s="1">
        <v>-157.31100000000001</v>
      </c>
      <c r="Q381" s="1">
        <v>0.84109999999999996</v>
      </c>
      <c r="R381" s="1">
        <v>31.295999999999999</v>
      </c>
      <c r="S381" s="1">
        <v>356.81905949999998</v>
      </c>
      <c r="W381" s="3">
        <v>0.29820000000000002</v>
      </c>
      <c r="AH381" s="8" t="s">
        <v>2312</v>
      </c>
      <c r="AI381" s="8">
        <v>18</v>
      </c>
      <c r="AJ381" s="8" t="s">
        <v>2313</v>
      </c>
      <c r="AK381" s="10" t="s">
        <v>2314</v>
      </c>
      <c r="AM381" s="1" t="s">
        <v>2315</v>
      </c>
      <c r="AT381" s="8" t="s">
        <v>1607</v>
      </c>
    </row>
    <row r="382" spans="1:46">
      <c r="A382" s="1" t="s">
        <v>2316</v>
      </c>
      <c r="C382" s="1" t="s">
        <v>2316</v>
      </c>
      <c r="D382" s="1" t="s">
        <v>2317</v>
      </c>
      <c r="E382" s="1" t="s">
        <v>1394</v>
      </c>
      <c r="F382" s="1" t="s">
        <v>1428</v>
      </c>
      <c r="G382" s="1" t="s">
        <v>456</v>
      </c>
      <c r="H382" s="2" t="s">
        <v>2296</v>
      </c>
      <c r="I382" s="1">
        <v>83</v>
      </c>
      <c r="J382" s="1">
        <v>0.2</v>
      </c>
      <c r="K382" s="1">
        <v>200</v>
      </c>
      <c r="L382" s="1" t="s">
        <v>65</v>
      </c>
      <c r="M382" s="1">
        <v>199.637</v>
      </c>
      <c r="N382" s="1">
        <v>3034.3</v>
      </c>
      <c r="O382" s="1">
        <v>73.452500000000001</v>
      </c>
      <c r="P382" s="1">
        <v>-157.31100000000001</v>
      </c>
      <c r="Q382" s="1">
        <v>-1.4387000000000001</v>
      </c>
      <c r="R382" s="1">
        <v>33.051250000000003</v>
      </c>
      <c r="S382" s="1">
        <v>288.0857805</v>
      </c>
      <c r="W382" s="3">
        <v>0.17510000000000001</v>
      </c>
      <c r="AH382" s="8" t="s">
        <v>2318</v>
      </c>
      <c r="AI382" s="8">
        <v>14</v>
      </c>
      <c r="AJ382" s="8" t="s">
        <v>2319</v>
      </c>
      <c r="AK382" s="8">
        <v>0.85</v>
      </c>
      <c r="AM382" s="1" t="s">
        <v>2320</v>
      </c>
      <c r="AT382" s="8" t="s">
        <v>1607</v>
      </c>
    </row>
    <row r="383" spans="1:46">
      <c r="A383" s="1" t="s">
        <v>2321</v>
      </c>
      <c r="C383" s="1" t="s">
        <v>2321</v>
      </c>
      <c r="D383" s="1" t="s">
        <v>2322</v>
      </c>
      <c r="E383" s="1" t="s">
        <v>1394</v>
      </c>
      <c r="F383" s="1" t="s">
        <v>1428</v>
      </c>
      <c r="G383" s="1" t="s">
        <v>456</v>
      </c>
      <c r="H383" s="2" t="s">
        <v>2296</v>
      </c>
      <c r="I383" s="1">
        <v>83</v>
      </c>
      <c r="J383" s="1">
        <v>0.2</v>
      </c>
      <c r="K383" s="1">
        <v>250</v>
      </c>
      <c r="L383" s="1" t="s">
        <v>65</v>
      </c>
      <c r="M383" s="1">
        <v>250.047</v>
      </c>
      <c r="N383" s="1">
        <v>3034.3</v>
      </c>
      <c r="O383" s="1">
        <v>73.452500000000001</v>
      </c>
      <c r="P383" s="1">
        <v>-157.31100000000001</v>
      </c>
      <c r="Q383" s="1">
        <v>-0.90269999999999995</v>
      </c>
      <c r="R383" s="1">
        <v>34.021549999999998</v>
      </c>
      <c r="S383" s="1">
        <v>277.97899619999998</v>
      </c>
      <c r="W383" s="3">
        <v>0.17269999999999999</v>
      </c>
      <c r="AH383" s="8" t="s">
        <v>2323</v>
      </c>
      <c r="AI383" s="8">
        <v>12</v>
      </c>
      <c r="AJ383" s="8" t="s">
        <v>2324</v>
      </c>
      <c r="AK383" s="8">
        <v>1.1000000000000001</v>
      </c>
      <c r="AM383" s="1" t="s">
        <v>2325</v>
      </c>
      <c r="AT383" s="8" t="s">
        <v>1607</v>
      </c>
    </row>
    <row r="384" spans="1:46">
      <c r="A384" s="1" t="s">
        <v>2326</v>
      </c>
      <c r="C384" s="1" t="s">
        <v>2326</v>
      </c>
      <c r="D384" s="1" t="s">
        <v>2327</v>
      </c>
      <c r="E384" s="1" t="s">
        <v>1394</v>
      </c>
      <c r="F384" s="1" t="s">
        <v>1428</v>
      </c>
      <c r="G384" s="1" t="s">
        <v>456</v>
      </c>
      <c r="H384" s="2" t="s">
        <v>2296</v>
      </c>
      <c r="I384" s="1">
        <v>83</v>
      </c>
      <c r="J384" s="1">
        <v>0.2</v>
      </c>
      <c r="K384" s="1">
        <v>450</v>
      </c>
      <c r="L384" s="1" t="s">
        <v>65</v>
      </c>
      <c r="M384" s="1">
        <v>449.524</v>
      </c>
      <c r="N384" s="1">
        <v>3034.3</v>
      </c>
      <c r="O384" s="1">
        <v>73.452500000000001</v>
      </c>
      <c r="P384" s="1">
        <v>-157.31100000000001</v>
      </c>
      <c r="Q384" s="1">
        <v>0.83309999999999995</v>
      </c>
      <c r="R384" s="1">
        <v>34.830550000000002</v>
      </c>
      <c r="S384" s="1">
        <v>298.50965789999998</v>
      </c>
      <c r="W384" s="3">
        <v>0.16239999999999999</v>
      </c>
      <c r="AH384" s="8" t="s">
        <v>2328</v>
      </c>
      <c r="AI384" s="8">
        <v>10</v>
      </c>
      <c r="AJ384" s="8" t="s">
        <v>2329</v>
      </c>
      <c r="AK384" s="8">
        <v>1.5</v>
      </c>
      <c r="AM384" s="1" t="s">
        <v>2330</v>
      </c>
      <c r="AT384" s="8" t="s">
        <v>1607</v>
      </c>
    </row>
    <row r="385" spans="1:46">
      <c r="A385" s="1" t="s">
        <v>2331</v>
      </c>
      <c r="C385" s="1" t="s">
        <v>2331</v>
      </c>
      <c r="D385" s="1" t="s">
        <v>2332</v>
      </c>
      <c r="E385" s="1" t="s">
        <v>1394</v>
      </c>
      <c r="F385" s="1" t="s">
        <v>1428</v>
      </c>
      <c r="G385" s="1" t="s">
        <v>456</v>
      </c>
      <c r="H385" s="2" t="s">
        <v>2296</v>
      </c>
      <c r="I385" s="1">
        <v>83</v>
      </c>
      <c r="J385" s="1">
        <v>0.2</v>
      </c>
      <c r="K385" s="1">
        <v>1000</v>
      </c>
      <c r="L385" s="1" t="s">
        <v>65</v>
      </c>
      <c r="M385" s="1">
        <v>1000.17</v>
      </c>
      <c r="N385" s="1">
        <v>3034.3</v>
      </c>
      <c r="O385" s="1">
        <v>73.452500000000001</v>
      </c>
      <c r="P385" s="1">
        <v>-157.31100000000001</v>
      </c>
      <c r="Q385" s="1">
        <v>-6.3499999999999997E-3</v>
      </c>
      <c r="R385" s="1">
        <v>34.876399999999997</v>
      </c>
      <c r="W385" s="3">
        <v>0.1636</v>
      </c>
      <c r="AH385" s="8" t="s">
        <v>2333</v>
      </c>
      <c r="AI385" s="8">
        <v>8</v>
      </c>
      <c r="AJ385" s="8" t="s">
        <v>2334</v>
      </c>
      <c r="AK385" s="8">
        <v>1.5</v>
      </c>
      <c r="AM385" s="1" t="s">
        <v>2335</v>
      </c>
      <c r="AT385" s="8" t="s">
        <v>1607</v>
      </c>
    </row>
    <row r="386" spans="1:46">
      <c r="A386" s="1" t="s">
        <v>2336</v>
      </c>
      <c r="C386" s="1" t="s">
        <v>2336</v>
      </c>
      <c r="D386" s="1" t="s">
        <v>2337</v>
      </c>
      <c r="E386" s="1" t="s">
        <v>1394</v>
      </c>
      <c r="F386" s="1" t="s">
        <v>1428</v>
      </c>
      <c r="G386" s="1" t="s">
        <v>456</v>
      </c>
      <c r="H386" s="2" t="s">
        <v>2296</v>
      </c>
      <c r="I386" s="1">
        <v>83</v>
      </c>
      <c r="J386" s="1">
        <v>0.2</v>
      </c>
      <c r="K386" s="1">
        <v>2000</v>
      </c>
      <c r="L386" s="1" t="s">
        <v>65</v>
      </c>
      <c r="M386" s="1">
        <v>1999.83</v>
      </c>
      <c r="N386" s="1">
        <v>3034.3</v>
      </c>
      <c r="O386" s="1">
        <v>73.452500000000001</v>
      </c>
      <c r="P386" s="1">
        <v>-157.31100000000001</v>
      </c>
      <c r="Q386" s="1">
        <v>-0.39190000000000003</v>
      </c>
      <c r="R386" s="1">
        <v>34.934550000000002</v>
      </c>
      <c r="W386" s="3">
        <v>0.16300000000000001</v>
      </c>
      <c r="AH386" s="8" t="s">
        <v>2338</v>
      </c>
      <c r="AI386" s="8">
        <v>6</v>
      </c>
      <c r="AJ386" s="8" t="s">
        <v>2339</v>
      </c>
      <c r="AK386" s="8">
        <v>1.5</v>
      </c>
      <c r="AM386" s="1" t="s">
        <v>2340</v>
      </c>
      <c r="AT386" s="8" t="s">
        <v>1607</v>
      </c>
    </row>
    <row r="387" spans="1:46">
      <c r="A387" s="1" t="s">
        <v>2341</v>
      </c>
      <c r="C387" s="1" t="s">
        <v>2341</v>
      </c>
      <c r="D387" s="1" t="s">
        <v>2342</v>
      </c>
      <c r="E387" s="1" t="s">
        <v>1394</v>
      </c>
      <c r="F387" s="1" t="s">
        <v>1428</v>
      </c>
      <c r="G387" s="1" t="s">
        <v>456</v>
      </c>
      <c r="H387" s="2" t="s">
        <v>2296</v>
      </c>
      <c r="I387" s="1">
        <v>83</v>
      </c>
      <c r="J387" s="1">
        <v>0.2</v>
      </c>
      <c r="K387" s="1">
        <v>3025</v>
      </c>
      <c r="L387" s="1" t="s">
        <v>78</v>
      </c>
      <c r="M387" s="1">
        <v>3025.3310000000001</v>
      </c>
      <c r="N387" s="1">
        <v>3034.3</v>
      </c>
      <c r="O387" s="1">
        <v>73.452500000000001</v>
      </c>
      <c r="P387" s="1">
        <v>-157.31100000000001</v>
      </c>
      <c r="Q387" s="1">
        <v>-0.32150000000000001</v>
      </c>
      <c r="R387" s="1">
        <v>34.954999999999998</v>
      </c>
      <c r="W387" s="3">
        <v>0.16200000000000001</v>
      </c>
      <c r="AH387" s="8" t="s">
        <v>2343</v>
      </c>
      <c r="AI387" s="8">
        <v>2</v>
      </c>
      <c r="AJ387" s="8" t="s">
        <v>2344</v>
      </c>
      <c r="AK387" s="8">
        <v>1.5</v>
      </c>
      <c r="AM387" s="1" t="s">
        <v>2345</v>
      </c>
      <c r="AT387" s="8" t="s">
        <v>1607</v>
      </c>
    </row>
    <row r="388" spans="1:46">
      <c r="A388" s="1" t="s">
        <v>2346</v>
      </c>
      <c r="C388" s="1" t="s">
        <v>2346</v>
      </c>
      <c r="D388" s="1" t="s">
        <v>2347</v>
      </c>
      <c r="E388" s="1" t="s">
        <v>1394</v>
      </c>
      <c r="F388" s="1" t="s">
        <v>2348</v>
      </c>
      <c r="G388" s="1" t="s">
        <v>456</v>
      </c>
      <c r="H388" s="2" t="s">
        <v>2349</v>
      </c>
      <c r="I388" s="1">
        <v>80</v>
      </c>
      <c r="J388" s="1">
        <v>0.2</v>
      </c>
      <c r="K388" s="1">
        <v>3</v>
      </c>
      <c r="L388" s="1" t="s">
        <v>52</v>
      </c>
      <c r="M388" s="1">
        <v>2.887</v>
      </c>
      <c r="N388" s="1">
        <v>2228.1</v>
      </c>
      <c r="O388" s="1">
        <v>73.562833330000004</v>
      </c>
      <c r="P388" s="1">
        <v>-159.71199999999999</v>
      </c>
      <c r="Q388" s="1">
        <v>1.7899499999999999</v>
      </c>
      <c r="R388" s="1">
        <v>26.379850000000001</v>
      </c>
      <c r="S388" s="1">
        <v>368.03790270000002</v>
      </c>
      <c r="W388" s="3">
        <v>0.182</v>
      </c>
      <c r="X388" s="1" t="s">
        <v>2350</v>
      </c>
      <c r="Y388" s="1">
        <v>5.7000000000000002E-2</v>
      </c>
      <c r="Z388" s="1">
        <v>0</v>
      </c>
      <c r="AA388" s="1">
        <v>0.59299999999999997</v>
      </c>
      <c r="AB388" s="1">
        <v>3</v>
      </c>
      <c r="AC388" s="1">
        <v>0</v>
      </c>
      <c r="AD388" s="1">
        <v>0</v>
      </c>
      <c r="AE388" s="1">
        <v>0.21</v>
      </c>
      <c r="AF388" s="1">
        <v>0</v>
      </c>
      <c r="AH388" s="8" t="s">
        <v>2351</v>
      </c>
      <c r="AI388" s="8">
        <v>24</v>
      </c>
      <c r="AJ388" s="8" t="s">
        <v>2352</v>
      </c>
      <c r="AK388" s="8">
        <v>3</v>
      </c>
      <c r="AM388" s="1" t="s">
        <v>2350</v>
      </c>
      <c r="AT388" s="8" t="s">
        <v>1607</v>
      </c>
    </row>
    <row r="389" spans="1:46">
      <c r="A389" s="1" t="s">
        <v>2353</v>
      </c>
      <c r="C389" s="1" t="s">
        <v>2353</v>
      </c>
      <c r="D389" s="1" t="s">
        <v>2354</v>
      </c>
      <c r="E389" s="1" t="s">
        <v>1394</v>
      </c>
      <c r="F389" s="1" t="s">
        <v>2348</v>
      </c>
      <c r="G389" s="1" t="s">
        <v>456</v>
      </c>
      <c r="H389" s="2" t="s">
        <v>2349</v>
      </c>
      <c r="I389" s="1">
        <v>80</v>
      </c>
      <c r="J389" s="1">
        <v>0.2</v>
      </c>
      <c r="K389" s="1">
        <v>50</v>
      </c>
      <c r="L389" s="1" t="s">
        <v>65</v>
      </c>
      <c r="M389" s="1">
        <v>49.844000000000001</v>
      </c>
      <c r="N389" s="1">
        <v>2228.1</v>
      </c>
      <c r="O389" s="1">
        <v>73.562833330000004</v>
      </c>
      <c r="P389" s="1">
        <v>-159.71199999999999</v>
      </c>
      <c r="Q389" s="1">
        <v>-1.0181</v>
      </c>
      <c r="R389" s="1">
        <v>31.151250000000001</v>
      </c>
      <c r="S389" s="1">
        <v>355.34078040000003</v>
      </c>
      <c r="W389" s="3">
        <v>0.41930000000000001</v>
      </c>
      <c r="X389" s="1" t="s">
        <v>2355</v>
      </c>
      <c r="Y389" s="1">
        <v>0.24199999999999999</v>
      </c>
      <c r="Z389" s="1">
        <v>0.26800000000000002</v>
      </c>
      <c r="AA389" s="1">
        <v>1.1850000000000001</v>
      </c>
      <c r="AB389" s="1">
        <v>15.8</v>
      </c>
      <c r="AC389" s="1">
        <v>3.7</v>
      </c>
      <c r="AD389" s="1">
        <v>0.35</v>
      </c>
      <c r="AE389" s="1">
        <v>0.08</v>
      </c>
      <c r="AF389" s="1">
        <v>4.05</v>
      </c>
      <c r="AH389" s="8" t="s">
        <v>2356</v>
      </c>
      <c r="AI389" s="8">
        <v>18</v>
      </c>
      <c r="AJ389" s="8" t="s">
        <v>2357</v>
      </c>
      <c r="AK389" s="8">
        <v>3</v>
      </c>
      <c r="AM389" s="1" t="s">
        <v>2355</v>
      </c>
      <c r="AT389" s="8" t="s">
        <v>1607</v>
      </c>
    </row>
    <row r="390" spans="1:46">
      <c r="A390" s="1" t="s">
        <v>2358</v>
      </c>
      <c r="C390" s="1" t="s">
        <v>2358</v>
      </c>
      <c r="D390" s="1" t="s">
        <v>2359</v>
      </c>
      <c r="E390" s="1" t="s">
        <v>1394</v>
      </c>
      <c r="F390" s="1" t="s">
        <v>2348</v>
      </c>
      <c r="G390" s="1" t="s">
        <v>456</v>
      </c>
      <c r="H390" s="2" t="s">
        <v>2349</v>
      </c>
      <c r="I390" s="1">
        <v>80</v>
      </c>
      <c r="J390" s="1">
        <v>0.2</v>
      </c>
      <c r="K390" s="1">
        <v>125</v>
      </c>
      <c r="L390" s="1" t="s">
        <v>65</v>
      </c>
      <c r="M390" s="1">
        <v>125.402</v>
      </c>
      <c r="N390" s="1">
        <v>2228.1</v>
      </c>
      <c r="O390" s="1">
        <v>73.562833330000004</v>
      </c>
      <c r="P390" s="1">
        <v>-159.71199999999999</v>
      </c>
      <c r="Q390" s="1">
        <v>2.2645499999999998</v>
      </c>
      <c r="R390" s="1">
        <v>31.795999999999999</v>
      </c>
      <c r="S390" s="1">
        <v>347.26160549999997</v>
      </c>
      <c r="W390" s="3">
        <v>0.1807</v>
      </c>
      <c r="AA390" s="1">
        <v>0.93899999999999995</v>
      </c>
      <c r="AB390" s="1">
        <v>4.4000000000000004</v>
      </c>
      <c r="AC390" s="1">
        <v>0.8</v>
      </c>
      <c r="AD390" s="1">
        <v>0.28000000000000003</v>
      </c>
      <c r="AE390" s="1">
        <v>1.57</v>
      </c>
      <c r="AF390" s="1">
        <v>1.08</v>
      </c>
      <c r="AH390" s="8" t="s">
        <v>2360</v>
      </c>
      <c r="AI390" s="8">
        <v>16</v>
      </c>
      <c r="AJ390" s="8" t="s">
        <v>2361</v>
      </c>
      <c r="AK390" s="8">
        <v>3</v>
      </c>
      <c r="AM390" s="1" t="s">
        <v>2362</v>
      </c>
      <c r="AT390" s="8" t="s">
        <v>1607</v>
      </c>
    </row>
    <row r="391" spans="1:46">
      <c r="A391" s="1" t="s">
        <v>2363</v>
      </c>
      <c r="C391" s="1" t="s">
        <v>2363</v>
      </c>
      <c r="D391" s="1" t="s">
        <v>2364</v>
      </c>
      <c r="E391" s="1" t="s">
        <v>1394</v>
      </c>
      <c r="F391" s="1" t="s">
        <v>2348</v>
      </c>
      <c r="G391" s="1" t="s">
        <v>456</v>
      </c>
      <c r="H391" s="2" t="s">
        <v>2349</v>
      </c>
      <c r="I391" s="1">
        <v>80</v>
      </c>
      <c r="J391" s="1">
        <v>0.2</v>
      </c>
      <c r="K391" s="1">
        <v>200</v>
      </c>
      <c r="L391" s="1" t="s">
        <v>65</v>
      </c>
      <c r="M391" s="1">
        <v>199.989</v>
      </c>
      <c r="N391" s="1">
        <v>2228.1</v>
      </c>
      <c r="O391" s="1">
        <v>73.562833330000004</v>
      </c>
      <c r="P391" s="1">
        <v>-159.71199999999999</v>
      </c>
      <c r="Q391" s="1">
        <v>-1.2639</v>
      </c>
      <c r="R391" s="1">
        <v>32.527700000000003</v>
      </c>
      <c r="S391" s="1">
        <v>304.44063870000002</v>
      </c>
      <c r="W391" s="3">
        <v>0.17519999999999999</v>
      </c>
      <c r="X391" s="1" t="s">
        <v>2365</v>
      </c>
      <c r="AA391" s="1">
        <v>1.839</v>
      </c>
      <c r="AB391" s="1">
        <v>27.5</v>
      </c>
      <c r="AC391" s="1">
        <v>13.4</v>
      </c>
      <c r="AD391" s="1">
        <v>0.01</v>
      </c>
      <c r="AE391" s="1">
        <v>0.1</v>
      </c>
      <c r="AF391" s="1">
        <v>13.41</v>
      </c>
      <c r="AH391" s="8" t="s">
        <v>2366</v>
      </c>
      <c r="AI391" s="8">
        <v>14</v>
      </c>
      <c r="AJ391" s="8" t="s">
        <v>2367</v>
      </c>
      <c r="AK391" s="8">
        <v>3</v>
      </c>
      <c r="AM391" s="1" t="s">
        <v>2365</v>
      </c>
      <c r="AT391" s="8" t="s">
        <v>1607</v>
      </c>
    </row>
    <row r="392" spans="1:46">
      <c r="A392" s="1" t="s">
        <v>2368</v>
      </c>
      <c r="C392" s="1" t="s">
        <v>2368</v>
      </c>
      <c r="D392" s="1" t="s">
        <v>2369</v>
      </c>
      <c r="E392" s="1" t="s">
        <v>1394</v>
      </c>
      <c r="F392" s="1" t="s">
        <v>2348</v>
      </c>
      <c r="G392" s="1" t="s">
        <v>456</v>
      </c>
      <c r="H392" s="2" t="s">
        <v>2349</v>
      </c>
      <c r="I392" s="1">
        <v>80</v>
      </c>
      <c r="J392" s="1">
        <v>0.2</v>
      </c>
      <c r="K392" s="1">
        <v>300</v>
      </c>
      <c r="L392" s="1" t="s">
        <v>65</v>
      </c>
      <c r="M392" s="1">
        <v>299.86799999999999</v>
      </c>
      <c r="N392" s="1">
        <v>2228.1</v>
      </c>
      <c r="O392" s="1">
        <v>73.562833330000004</v>
      </c>
      <c r="P392" s="1">
        <v>-159.71199999999999</v>
      </c>
      <c r="Q392" s="1">
        <v>-7.7249999999999999E-2</v>
      </c>
      <c r="R392" s="1">
        <v>34.504849999999998</v>
      </c>
      <c r="S392" s="1">
        <v>282.23518949999999</v>
      </c>
      <c r="W392" s="3">
        <v>0.1666</v>
      </c>
      <c r="X392" s="1" t="s">
        <v>2370</v>
      </c>
      <c r="AA392" s="1">
        <v>1.0369999999999999</v>
      </c>
      <c r="AB392" s="1">
        <v>12.5</v>
      </c>
      <c r="AC392" s="1">
        <v>12.7</v>
      </c>
      <c r="AD392" s="1">
        <v>0.01</v>
      </c>
      <c r="AE392" s="1">
        <v>0.01</v>
      </c>
      <c r="AF392" s="1">
        <v>12.71</v>
      </c>
      <c r="AH392" s="8" t="s">
        <v>2371</v>
      </c>
      <c r="AI392" s="8">
        <v>12</v>
      </c>
      <c r="AJ392" s="8" t="s">
        <v>2372</v>
      </c>
      <c r="AK392" s="8">
        <v>3</v>
      </c>
      <c r="AM392" s="1" t="s">
        <v>2370</v>
      </c>
      <c r="AT392" s="8" t="s">
        <v>1607</v>
      </c>
    </row>
    <row r="393" spans="1:46">
      <c r="A393" s="1" t="s">
        <v>2373</v>
      </c>
      <c r="C393" s="1" t="s">
        <v>2373</v>
      </c>
      <c r="D393" s="1" t="s">
        <v>2374</v>
      </c>
      <c r="E393" s="1" t="s">
        <v>1394</v>
      </c>
      <c r="F393" s="1" t="s">
        <v>2348</v>
      </c>
      <c r="G393" s="1" t="s">
        <v>456</v>
      </c>
      <c r="H393" s="2" t="s">
        <v>2349</v>
      </c>
      <c r="I393" s="1">
        <v>80</v>
      </c>
      <c r="J393" s="1">
        <v>0.2</v>
      </c>
      <c r="K393" s="1">
        <v>500</v>
      </c>
      <c r="L393" s="1" t="s">
        <v>65</v>
      </c>
      <c r="M393" s="1">
        <v>500.07100000000003</v>
      </c>
      <c r="N393" s="1">
        <v>2228.1</v>
      </c>
      <c r="O393" s="1">
        <v>73.562833330000004</v>
      </c>
      <c r="P393" s="1">
        <v>-159.71199999999999</v>
      </c>
      <c r="Q393" s="1">
        <v>0.71919999999999995</v>
      </c>
      <c r="R393" s="1">
        <v>34.841749999999998</v>
      </c>
      <c r="W393" s="3">
        <v>0.1636</v>
      </c>
      <c r="X393" s="1" t="s">
        <v>1135</v>
      </c>
      <c r="AA393" s="1">
        <v>0.92700000000000005</v>
      </c>
      <c r="AB393" s="1">
        <v>7.9</v>
      </c>
      <c r="AC393" s="1">
        <v>12.7</v>
      </c>
      <c r="AD393" s="1">
        <v>0.01</v>
      </c>
      <c r="AE393" s="1">
        <v>0.02</v>
      </c>
      <c r="AF393" s="1">
        <v>12.71</v>
      </c>
      <c r="AH393" s="8" t="s">
        <v>2375</v>
      </c>
      <c r="AI393" s="8">
        <v>10</v>
      </c>
      <c r="AJ393" s="8" t="s">
        <v>2376</v>
      </c>
      <c r="AK393" s="8">
        <v>3</v>
      </c>
      <c r="AM393" s="1" t="s">
        <v>1135</v>
      </c>
      <c r="AT393" s="8" t="s">
        <v>1607</v>
      </c>
    </row>
    <row r="394" spans="1:46">
      <c r="A394" s="1" t="s">
        <v>2377</v>
      </c>
      <c r="C394" s="1" t="s">
        <v>2377</v>
      </c>
      <c r="D394" s="1" t="s">
        <v>2378</v>
      </c>
      <c r="E394" s="1" t="s">
        <v>1394</v>
      </c>
      <c r="F394" s="1" t="s">
        <v>2348</v>
      </c>
      <c r="G394" s="1" t="s">
        <v>456</v>
      </c>
      <c r="H394" s="2" t="s">
        <v>2349</v>
      </c>
      <c r="I394" s="1">
        <v>80</v>
      </c>
      <c r="J394" s="1">
        <v>0.2</v>
      </c>
      <c r="K394" s="1">
        <v>750</v>
      </c>
      <c r="L394" s="1" t="s">
        <v>65</v>
      </c>
      <c r="M394" s="1">
        <v>749.47699999999998</v>
      </c>
      <c r="N394" s="1">
        <v>2228.1</v>
      </c>
      <c r="O394" s="1">
        <v>73.562833330000004</v>
      </c>
      <c r="P394" s="1">
        <v>-159.71199999999999</v>
      </c>
      <c r="Q394" s="1">
        <v>0.36630000000000001</v>
      </c>
      <c r="R394" s="1">
        <v>34.859499999999997</v>
      </c>
      <c r="W394" s="3">
        <v>0.1658</v>
      </c>
      <c r="X394" s="1" t="s">
        <v>1143</v>
      </c>
      <c r="AA394" s="1">
        <v>0.91900000000000004</v>
      </c>
      <c r="AB394" s="1">
        <v>7.2</v>
      </c>
      <c r="AC394" s="1">
        <v>12.5</v>
      </c>
      <c r="AD394" s="1">
        <v>0</v>
      </c>
      <c r="AE394" s="1">
        <v>0</v>
      </c>
      <c r="AF394" s="1">
        <v>12.5</v>
      </c>
      <c r="AH394" s="8" t="s">
        <v>2379</v>
      </c>
      <c r="AI394" s="8">
        <v>8</v>
      </c>
      <c r="AJ394" s="8" t="s">
        <v>2380</v>
      </c>
      <c r="AK394" s="8">
        <v>3</v>
      </c>
      <c r="AM394" s="1" t="s">
        <v>1143</v>
      </c>
      <c r="AT394" s="8" t="s">
        <v>1607</v>
      </c>
    </row>
    <row r="395" spans="1:46">
      <c r="A395" s="1" t="s">
        <v>2381</v>
      </c>
      <c r="C395" s="1" t="s">
        <v>2381</v>
      </c>
      <c r="D395" s="1" t="s">
        <v>2382</v>
      </c>
      <c r="E395" s="1" t="s">
        <v>1394</v>
      </c>
      <c r="F395" s="1" t="s">
        <v>2348</v>
      </c>
      <c r="G395" s="1" t="s">
        <v>456</v>
      </c>
      <c r="H395" s="2" t="s">
        <v>2349</v>
      </c>
      <c r="I395" s="1">
        <v>80</v>
      </c>
      <c r="J395" s="1">
        <v>0.2</v>
      </c>
      <c r="K395" s="1">
        <v>1000</v>
      </c>
      <c r="L395" s="1" t="s">
        <v>65</v>
      </c>
      <c r="M395" s="1">
        <v>1000.188</v>
      </c>
      <c r="N395" s="1">
        <v>2228.1</v>
      </c>
      <c r="O395" s="1">
        <v>73.562833330000004</v>
      </c>
      <c r="P395" s="1">
        <v>-159.71199999999999</v>
      </c>
      <c r="Q395" s="1">
        <v>8.4250000000000005E-2</v>
      </c>
      <c r="R395" s="1">
        <v>34.870550000000001</v>
      </c>
      <c r="W395" s="3">
        <v>0.1636</v>
      </c>
      <c r="X395" s="1" t="s">
        <v>1141</v>
      </c>
      <c r="AA395" s="1">
        <v>0.93</v>
      </c>
      <c r="AB395" s="1">
        <v>7.2</v>
      </c>
      <c r="AC395" s="1">
        <v>12.6</v>
      </c>
      <c r="AD395" s="1">
        <v>0</v>
      </c>
      <c r="AE395" s="1">
        <v>0.01</v>
      </c>
      <c r="AF395" s="1">
        <v>12.6</v>
      </c>
      <c r="AH395" s="8" t="s">
        <v>2383</v>
      </c>
      <c r="AI395" s="8">
        <v>6</v>
      </c>
      <c r="AJ395" s="8" t="s">
        <v>2384</v>
      </c>
      <c r="AK395" s="8">
        <v>3</v>
      </c>
      <c r="AM395" s="1" t="s">
        <v>1141</v>
      </c>
      <c r="AT395" s="8" t="s">
        <v>1607</v>
      </c>
    </row>
    <row r="396" spans="1:46">
      <c r="A396" s="1" t="s">
        <v>2385</v>
      </c>
      <c r="C396" s="1" t="s">
        <v>2385</v>
      </c>
      <c r="D396" s="1" t="s">
        <v>2386</v>
      </c>
      <c r="E396" s="1" t="s">
        <v>1394</v>
      </c>
      <c r="F396" s="1" t="s">
        <v>2348</v>
      </c>
      <c r="G396" s="1" t="s">
        <v>456</v>
      </c>
      <c r="H396" s="2" t="s">
        <v>2349</v>
      </c>
      <c r="I396" s="1">
        <v>80</v>
      </c>
      <c r="J396" s="1">
        <v>0.2</v>
      </c>
      <c r="K396" s="1">
        <v>1800</v>
      </c>
      <c r="L396" s="1" t="s">
        <v>65</v>
      </c>
      <c r="M396" s="1">
        <v>1800.2360000000001</v>
      </c>
      <c r="N396" s="1">
        <v>2228.1</v>
      </c>
      <c r="O396" s="1">
        <v>73.562833330000004</v>
      </c>
      <c r="P396" s="1">
        <v>-159.71199999999999</v>
      </c>
      <c r="Q396" s="1">
        <v>-0.35220000000000001</v>
      </c>
      <c r="R396" s="1">
        <v>34.918799999999997</v>
      </c>
      <c r="W396" s="3">
        <v>0.16309999999999999</v>
      </c>
      <c r="X396" s="1" t="s">
        <v>2387</v>
      </c>
      <c r="AA396" s="1">
        <v>1.0109999999999999</v>
      </c>
      <c r="AB396" s="1">
        <v>9.6</v>
      </c>
      <c r="AC396" s="1">
        <v>13.7</v>
      </c>
      <c r="AD396" s="1">
        <v>0</v>
      </c>
      <c r="AE396" s="1">
        <v>0.01</v>
      </c>
      <c r="AF396" s="1">
        <v>13.7</v>
      </c>
      <c r="AH396" s="8" t="s">
        <v>2388</v>
      </c>
      <c r="AI396" s="8">
        <v>4</v>
      </c>
      <c r="AJ396" s="8" t="s">
        <v>2389</v>
      </c>
      <c r="AK396" s="8">
        <v>3</v>
      </c>
      <c r="AM396" s="1" t="s">
        <v>2387</v>
      </c>
      <c r="AT396" s="8" t="s">
        <v>1607</v>
      </c>
    </row>
    <row r="397" spans="1:46">
      <c r="A397" s="1" t="s">
        <v>2390</v>
      </c>
      <c r="C397" s="1" t="s">
        <v>2390</v>
      </c>
      <c r="D397" s="1" t="s">
        <v>2391</v>
      </c>
      <c r="E397" s="1" t="s">
        <v>1394</v>
      </c>
      <c r="F397" s="1" t="s">
        <v>2348</v>
      </c>
      <c r="G397" s="1" t="s">
        <v>456</v>
      </c>
      <c r="H397" s="2" t="s">
        <v>2349</v>
      </c>
      <c r="I397" s="1">
        <v>80</v>
      </c>
      <c r="J397" s="1">
        <v>0.2</v>
      </c>
      <c r="K397" s="1">
        <v>2207</v>
      </c>
      <c r="L397" s="1" t="s">
        <v>65</v>
      </c>
      <c r="M397" s="1">
        <v>2206.9789999999998</v>
      </c>
      <c r="N397" s="1">
        <v>2228.1</v>
      </c>
      <c r="O397" s="1">
        <v>73.562833330000004</v>
      </c>
      <c r="P397" s="1">
        <v>-159.71199999999999</v>
      </c>
      <c r="Q397" s="1">
        <v>-0.38724999999999998</v>
      </c>
      <c r="R397" s="1">
        <v>34.942700000000002</v>
      </c>
      <c r="W397" s="3">
        <v>0.1656</v>
      </c>
      <c r="X397" s="1" t="s">
        <v>1151</v>
      </c>
      <c r="AA397" s="1">
        <v>1.0649999999999999</v>
      </c>
      <c r="AB397" s="1">
        <v>12</v>
      </c>
      <c r="AC397" s="1">
        <v>14.4</v>
      </c>
      <c r="AD397" s="1">
        <v>0</v>
      </c>
      <c r="AE397" s="1">
        <v>0.05</v>
      </c>
      <c r="AF397" s="1">
        <v>14.4</v>
      </c>
      <c r="AH397" s="8" t="s">
        <v>2392</v>
      </c>
      <c r="AI397" s="8">
        <v>2</v>
      </c>
      <c r="AJ397" s="8" t="s">
        <v>2393</v>
      </c>
      <c r="AK397" s="8">
        <v>3</v>
      </c>
      <c r="AM397" s="1" t="s">
        <v>1151</v>
      </c>
      <c r="AT397" s="8" t="s">
        <v>1607</v>
      </c>
    </row>
    <row r="398" spans="1:46">
      <c r="A398" s="1" t="s">
        <v>2394</v>
      </c>
      <c r="C398" s="1" t="s">
        <v>2394</v>
      </c>
      <c r="D398" s="1" t="s">
        <v>2395</v>
      </c>
      <c r="E398" s="1" t="s">
        <v>1394</v>
      </c>
      <c r="F398" s="1" t="s">
        <v>2396</v>
      </c>
      <c r="G398" s="1" t="s">
        <v>456</v>
      </c>
      <c r="H398" s="2" t="s">
        <v>2397</v>
      </c>
      <c r="I398" s="1">
        <v>70</v>
      </c>
      <c r="J398" s="1">
        <v>0.2</v>
      </c>
      <c r="K398" s="1">
        <v>3</v>
      </c>
      <c r="L398" s="1" t="s">
        <v>52</v>
      </c>
      <c r="M398" s="1">
        <v>2.7320000000000002</v>
      </c>
      <c r="N398" s="1">
        <v>70.400000000000006</v>
      </c>
      <c r="O398" s="1">
        <v>72.954666669999995</v>
      </c>
      <c r="P398" s="1">
        <v>-160.7488333</v>
      </c>
      <c r="Q398" s="1">
        <v>3.6382500000000002</v>
      </c>
      <c r="R398" s="1">
        <v>29.085750000000001</v>
      </c>
      <c r="S398" s="1">
        <v>252.95990399999999</v>
      </c>
      <c r="W398" s="3">
        <v>0.2848</v>
      </c>
      <c r="X398" s="1" t="s">
        <v>2398</v>
      </c>
      <c r="Y398" s="1">
        <v>0.214</v>
      </c>
      <c r="Z398" s="1">
        <v>0.155</v>
      </c>
      <c r="AA398" s="1">
        <v>0.65800000000000003</v>
      </c>
      <c r="AB398" s="1">
        <v>3</v>
      </c>
      <c r="AC398" s="1">
        <v>0</v>
      </c>
      <c r="AD398" s="1">
        <v>0.01</v>
      </c>
      <c r="AE398" s="1">
        <v>0.26</v>
      </c>
      <c r="AF398" s="1">
        <v>0.01</v>
      </c>
      <c r="AH398" s="8" t="s">
        <v>2399</v>
      </c>
      <c r="AI398" s="8">
        <v>16</v>
      </c>
      <c r="AJ398" s="8" t="s">
        <v>2400</v>
      </c>
      <c r="AK398" s="8">
        <v>2.5</v>
      </c>
      <c r="AM398" s="1" t="s">
        <v>2398</v>
      </c>
      <c r="AT398" s="8" t="s">
        <v>1607</v>
      </c>
    </row>
    <row r="399" spans="1:46">
      <c r="A399" s="1" t="s">
        <v>2401</v>
      </c>
      <c r="C399" s="1" t="s">
        <v>2401</v>
      </c>
      <c r="D399" s="1" t="s">
        <v>2402</v>
      </c>
      <c r="E399" s="1" t="s">
        <v>1394</v>
      </c>
      <c r="F399" s="1" t="s">
        <v>2396</v>
      </c>
      <c r="G399" s="1" t="s">
        <v>456</v>
      </c>
      <c r="H399" s="2" t="s">
        <v>2397</v>
      </c>
      <c r="I399" s="1">
        <v>70</v>
      </c>
      <c r="J399" s="1">
        <v>0.2</v>
      </c>
      <c r="K399" s="1">
        <v>20</v>
      </c>
      <c r="L399" s="1" t="s">
        <v>65</v>
      </c>
      <c r="M399" s="1">
        <v>19.983000000000001</v>
      </c>
      <c r="N399" s="1">
        <v>70.400000000000006</v>
      </c>
      <c r="O399" s="1">
        <v>72.954666669999995</v>
      </c>
      <c r="P399" s="1">
        <v>-160.7488333</v>
      </c>
      <c r="Q399" s="1">
        <v>4.0304000000000002</v>
      </c>
      <c r="R399" s="1">
        <v>30.376200000000001</v>
      </c>
      <c r="S399" s="1">
        <v>342.19704810000002</v>
      </c>
      <c r="W399" s="3">
        <v>0.39460000000000001</v>
      </c>
      <c r="AH399" s="8" t="s">
        <v>2403</v>
      </c>
      <c r="AI399" s="8">
        <v>12</v>
      </c>
      <c r="AJ399" s="8" t="s">
        <v>2404</v>
      </c>
      <c r="AK399" s="8">
        <v>2.5</v>
      </c>
      <c r="AM399" s="1" t="s">
        <v>2405</v>
      </c>
      <c r="AT399" s="8" t="s">
        <v>1607</v>
      </c>
    </row>
    <row r="400" spans="1:46">
      <c r="A400" s="1" t="s">
        <v>2406</v>
      </c>
      <c r="C400" s="1" t="s">
        <v>2406</v>
      </c>
      <c r="D400" s="1" t="s">
        <v>2407</v>
      </c>
      <c r="E400" s="1" t="s">
        <v>1394</v>
      </c>
      <c r="F400" s="1" t="s">
        <v>2396</v>
      </c>
      <c r="G400" s="1" t="s">
        <v>456</v>
      </c>
      <c r="H400" s="2" t="s">
        <v>2397</v>
      </c>
      <c r="I400" s="1">
        <v>70</v>
      </c>
      <c r="J400" s="1">
        <v>0.2</v>
      </c>
      <c r="K400" s="1">
        <v>30</v>
      </c>
      <c r="L400" s="1" t="s">
        <v>65</v>
      </c>
      <c r="M400" s="1">
        <v>30.204000000000001</v>
      </c>
      <c r="N400" s="1">
        <v>70.400000000000006</v>
      </c>
      <c r="O400" s="1">
        <v>72.954666669999995</v>
      </c>
      <c r="P400" s="1">
        <v>-160.7488333</v>
      </c>
      <c r="Q400" s="1">
        <v>5.11815</v>
      </c>
      <c r="R400" s="1">
        <v>31.718450000000001</v>
      </c>
      <c r="S400" s="1">
        <v>332.2287129</v>
      </c>
      <c r="W400" s="3">
        <v>0.48149999999999998</v>
      </c>
      <c r="X400" s="1" t="s">
        <v>1885</v>
      </c>
      <c r="Y400" s="1">
        <v>0.66700000000000004</v>
      </c>
      <c r="Z400" s="1">
        <v>0.29499999999999998</v>
      </c>
      <c r="AA400" s="1">
        <v>0.623</v>
      </c>
      <c r="AB400" s="1">
        <v>2.2000000000000002</v>
      </c>
      <c r="AC400" s="1">
        <v>0.4</v>
      </c>
      <c r="AD400" s="1">
        <v>0.01</v>
      </c>
      <c r="AE400" s="1">
        <v>0.19</v>
      </c>
      <c r="AF400" s="1">
        <v>0.41</v>
      </c>
      <c r="AH400" s="8" t="s">
        <v>2408</v>
      </c>
      <c r="AI400" s="8">
        <v>10</v>
      </c>
      <c r="AJ400" s="8" t="s">
        <v>2409</v>
      </c>
      <c r="AK400" s="8">
        <v>1.5</v>
      </c>
      <c r="AM400" s="1" t="s">
        <v>1885</v>
      </c>
      <c r="AT400" s="8" t="s">
        <v>1607</v>
      </c>
    </row>
    <row r="401" spans="1:46">
      <c r="A401" s="1" t="s">
        <v>2410</v>
      </c>
      <c r="C401" s="1" t="s">
        <v>2410</v>
      </c>
      <c r="D401" s="1" t="s">
        <v>2411</v>
      </c>
      <c r="E401" s="1" t="s">
        <v>1394</v>
      </c>
      <c r="F401" s="1" t="s">
        <v>2396</v>
      </c>
      <c r="G401" s="1" t="s">
        <v>456</v>
      </c>
      <c r="H401" s="2" t="s">
        <v>2397</v>
      </c>
      <c r="I401" s="1">
        <v>70</v>
      </c>
      <c r="J401" s="1">
        <v>0.2</v>
      </c>
      <c r="K401" s="1">
        <v>40</v>
      </c>
      <c r="L401" s="1" t="s">
        <v>65</v>
      </c>
      <c r="M401" s="1">
        <v>39.951999999999998</v>
      </c>
      <c r="N401" s="1">
        <v>70.400000000000006</v>
      </c>
      <c r="O401" s="1">
        <v>72.954666669999995</v>
      </c>
      <c r="P401" s="1">
        <v>-160.7488333</v>
      </c>
      <c r="Q401" s="1">
        <v>-0.26995000000000002</v>
      </c>
      <c r="R401" s="1">
        <v>31.7941</v>
      </c>
      <c r="S401" s="1">
        <v>331.429281</v>
      </c>
      <c r="W401" s="3">
        <v>0.4657</v>
      </c>
      <c r="AH401" s="8" t="s">
        <v>2412</v>
      </c>
      <c r="AI401" s="8">
        <v>8</v>
      </c>
      <c r="AJ401" s="8" t="s">
        <v>2413</v>
      </c>
      <c r="AK401" s="8">
        <v>1.5</v>
      </c>
      <c r="AM401" s="1" t="s">
        <v>2414</v>
      </c>
      <c r="AT401" s="8" t="s">
        <v>1607</v>
      </c>
    </row>
    <row r="402" spans="1:46">
      <c r="A402" s="1" t="s">
        <v>2415</v>
      </c>
      <c r="C402" s="1" t="s">
        <v>2415</v>
      </c>
      <c r="D402" s="1" t="s">
        <v>2416</v>
      </c>
      <c r="E402" s="1" t="s">
        <v>1394</v>
      </c>
      <c r="F402" s="1" t="s">
        <v>2396</v>
      </c>
      <c r="G402" s="1" t="s">
        <v>456</v>
      </c>
      <c r="H402" s="2" t="s">
        <v>2397</v>
      </c>
      <c r="I402" s="1">
        <v>70</v>
      </c>
      <c r="J402" s="1">
        <v>0.2</v>
      </c>
      <c r="K402" s="1">
        <v>50</v>
      </c>
      <c r="L402" s="1" t="s">
        <v>65</v>
      </c>
      <c r="M402" s="1">
        <v>50.603999999999999</v>
      </c>
      <c r="N402" s="1">
        <v>70.400000000000006</v>
      </c>
      <c r="O402" s="1">
        <v>72.954666669999995</v>
      </c>
      <c r="P402" s="1">
        <v>-160.7488333</v>
      </c>
      <c r="Q402" s="1">
        <v>-1.2640499999999999</v>
      </c>
      <c r="R402" s="1">
        <v>32.076250000000002</v>
      </c>
      <c r="S402" s="1">
        <v>247.2745587</v>
      </c>
      <c r="W402" s="3">
        <v>0.26129999999999998</v>
      </c>
      <c r="X402" s="1" t="s">
        <v>1892</v>
      </c>
      <c r="Y402" s="1">
        <v>0.191</v>
      </c>
      <c r="Z402" s="1">
        <v>0.20100000000000001</v>
      </c>
      <c r="AA402" s="1">
        <v>2.0219999999999998</v>
      </c>
      <c r="AB402" s="1">
        <v>40.9</v>
      </c>
      <c r="AC402" s="1">
        <v>12.7</v>
      </c>
      <c r="AD402" s="1">
        <v>7.0000000000000007E-2</v>
      </c>
      <c r="AE402" s="1">
        <v>1.89</v>
      </c>
      <c r="AF402" s="1">
        <v>12.77</v>
      </c>
      <c r="AH402" s="8" t="s">
        <v>2417</v>
      </c>
      <c r="AI402" s="8">
        <v>6</v>
      </c>
      <c r="AJ402" s="8" t="s">
        <v>2418</v>
      </c>
      <c r="AK402" s="8">
        <v>1.5</v>
      </c>
      <c r="AM402" s="1" t="s">
        <v>1892</v>
      </c>
      <c r="AT402" s="8" t="s">
        <v>1607</v>
      </c>
    </row>
    <row r="403" spans="1:46">
      <c r="A403" s="1" t="s">
        <v>2419</v>
      </c>
      <c r="C403" s="1" t="s">
        <v>2419</v>
      </c>
      <c r="D403" s="1" t="s">
        <v>2420</v>
      </c>
      <c r="E403" s="1" t="s">
        <v>1394</v>
      </c>
      <c r="F403" s="1" t="s">
        <v>2396</v>
      </c>
      <c r="G403" s="1" t="s">
        <v>456</v>
      </c>
      <c r="H403" s="2" t="s">
        <v>2397</v>
      </c>
      <c r="I403" s="1">
        <v>70</v>
      </c>
      <c r="J403" s="1">
        <v>0.2</v>
      </c>
      <c r="K403" s="1">
        <v>69</v>
      </c>
      <c r="L403" s="1" t="s">
        <v>78</v>
      </c>
      <c r="M403" s="1">
        <v>68.778000000000006</v>
      </c>
      <c r="N403" s="1">
        <v>70.400000000000006</v>
      </c>
      <c r="O403" s="1">
        <v>72.954666669999995</v>
      </c>
      <c r="P403" s="1">
        <v>-160.7488333</v>
      </c>
      <c r="Q403" s="1">
        <v>0.14630000000000001</v>
      </c>
      <c r="R403" s="1">
        <v>32.451500000000003</v>
      </c>
      <c r="S403" s="1">
        <v>298.7017002</v>
      </c>
      <c r="W403" s="3">
        <v>0.49409999999999998</v>
      </c>
      <c r="X403" s="1" t="s">
        <v>1901</v>
      </c>
      <c r="AA403" s="1">
        <v>1.772</v>
      </c>
      <c r="AB403" s="1">
        <v>26.9</v>
      </c>
      <c r="AC403" s="1">
        <v>7.5</v>
      </c>
      <c r="AD403" s="1">
        <v>0.09</v>
      </c>
      <c r="AE403" s="1">
        <v>3.99</v>
      </c>
      <c r="AF403" s="1">
        <v>7.59</v>
      </c>
      <c r="AH403" s="8" t="s">
        <v>2421</v>
      </c>
      <c r="AI403" s="8">
        <v>4</v>
      </c>
      <c r="AJ403" s="8" t="s">
        <v>2422</v>
      </c>
      <c r="AK403" s="8">
        <v>1.5</v>
      </c>
      <c r="AM403" s="1" t="s">
        <v>1901</v>
      </c>
      <c r="AT403" s="8" t="s">
        <v>1607</v>
      </c>
    </row>
    <row r="404" spans="1:46">
      <c r="A404" s="1" t="s">
        <v>2423</v>
      </c>
      <c r="C404" s="1" t="s">
        <v>2423</v>
      </c>
      <c r="D404" s="1" t="s">
        <v>2424</v>
      </c>
      <c r="E404" s="1" t="s">
        <v>1394</v>
      </c>
      <c r="F404" s="1" t="s">
        <v>2425</v>
      </c>
      <c r="G404" s="1" t="s">
        <v>456</v>
      </c>
      <c r="H404" s="2" t="s">
        <v>2426</v>
      </c>
      <c r="I404" s="1">
        <v>53</v>
      </c>
      <c r="J404" s="1">
        <v>0.2</v>
      </c>
      <c r="K404" s="1">
        <v>3</v>
      </c>
      <c r="L404" s="1" t="s">
        <v>52</v>
      </c>
      <c r="M404" s="1">
        <v>2.6619999999999999</v>
      </c>
      <c r="N404" s="1">
        <v>98.3</v>
      </c>
      <c r="O404" s="1">
        <v>73.039333330000005</v>
      </c>
      <c r="P404" s="1">
        <v>-163.423</v>
      </c>
      <c r="Q404" s="1">
        <v>4.1242000000000001</v>
      </c>
      <c r="R404" s="1">
        <v>30.6267</v>
      </c>
      <c r="S404" s="1">
        <v>345.90391110000002</v>
      </c>
      <c r="W404" s="3">
        <v>0.307</v>
      </c>
      <c r="X404" s="1" t="s">
        <v>2427</v>
      </c>
      <c r="Y404" s="1">
        <v>0.39300000000000002</v>
      </c>
      <c r="Z404" s="1">
        <v>0.20399999999999999</v>
      </c>
      <c r="AA404" s="1">
        <v>0.69399999999999995</v>
      </c>
      <c r="AB404" s="1">
        <v>3</v>
      </c>
      <c r="AC404" s="1">
        <v>0</v>
      </c>
      <c r="AD404" s="1">
        <v>0.01</v>
      </c>
      <c r="AE404" s="1">
        <v>7.0000000000000007E-2</v>
      </c>
      <c r="AF404" s="1">
        <v>0.01</v>
      </c>
      <c r="AH404" s="8" t="s">
        <v>2428</v>
      </c>
      <c r="AI404" s="8">
        <v>18</v>
      </c>
      <c r="AJ404" s="8" t="s">
        <v>2429</v>
      </c>
      <c r="AK404" s="8">
        <v>2.2000000000000002</v>
      </c>
      <c r="AM404" s="1" t="s">
        <v>2427</v>
      </c>
      <c r="AT404" s="8" t="s">
        <v>1607</v>
      </c>
    </row>
    <row r="405" spans="1:46">
      <c r="A405" s="1" t="s">
        <v>2430</v>
      </c>
      <c r="C405" s="1" t="s">
        <v>2430</v>
      </c>
      <c r="D405" s="1" t="s">
        <v>2431</v>
      </c>
      <c r="E405" s="1" t="s">
        <v>1394</v>
      </c>
      <c r="F405" s="1" t="s">
        <v>2425</v>
      </c>
      <c r="G405" s="1" t="s">
        <v>456</v>
      </c>
      <c r="H405" s="2" t="s">
        <v>2426</v>
      </c>
      <c r="I405" s="1">
        <v>53</v>
      </c>
      <c r="J405" s="1">
        <v>0.2</v>
      </c>
      <c r="K405" s="1">
        <v>10</v>
      </c>
      <c r="L405" s="1" t="s">
        <v>65</v>
      </c>
      <c r="M405" s="1">
        <v>9.9819999999999993</v>
      </c>
      <c r="N405" s="1">
        <v>98.3</v>
      </c>
      <c r="O405" s="1">
        <v>73.039333330000005</v>
      </c>
      <c r="P405" s="1">
        <v>-163.423</v>
      </c>
      <c r="Q405" s="1">
        <v>1.39045</v>
      </c>
      <c r="R405" s="1">
        <v>30.97315</v>
      </c>
      <c r="S405" s="1">
        <v>415.26244409999998</v>
      </c>
      <c r="W405" s="3">
        <v>0.43409999999999999</v>
      </c>
      <c r="X405" s="1" t="s">
        <v>2432</v>
      </c>
      <c r="Y405" s="1">
        <v>0.44800000000000001</v>
      </c>
      <c r="Z405" s="1">
        <v>0.23400000000000001</v>
      </c>
      <c r="AA405" s="1">
        <v>0.95899999999999996</v>
      </c>
      <c r="AB405" s="1">
        <v>5.8</v>
      </c>
      <c r="AC405" s="1">
        <v>0.3</v>
      </c>
      <c r="AD405" s="1">
        <v>0.01</v>
      </c>
      <c r="AE405" s="1">
        <v>0.26</v>
      </c>
      <c r="AF405" s="1">
        <v>0.31</v>
      </c>
      <c r="AH405" s="8" t="s">
        <v>2433</v>
      </c>
      <c r="AI405" s="8">
        <v>16</v>
      </c>
      <c r="AJ405" s="8" t="s">
        <v>2434</v>
      </c>
      <c r="AK405" s="8">
        <v>2.2000000000000002</v>
      </c>
      <c r="AM405" s="1" t="s">
        <v>2432</v>
      </c>
      <c r="AT405" s="8" t="s">
        <v>1607</v>
      </c>
    </row>
    <row r="406" spans="1:46">
      <c r="A406" s="1" t="s">
        <v>2435</v>
      </c>
      <c r="C406" s="1" t="s">
        <v>2435</v>
      </c>
      <c r="D406" s="1" t="s">
        <v>2436</v>
      </c>
      <c r="E406" s="1" t="s">
        <v>1394</v>
      </c>
      <c r="F406" s="1" t="s">
        <v>2425</v>
      </c>
      <c r="G406" s="1" t="s">
        <v>456</v>
      </c>
      <c r="H406" s="2" t="s">
        <v>2426</v>
      </c>
      <c r="I406" s="1">
        <v>53</v>
      </c>
      <c r="J406" s="1">
        <v>0.2</v>
      </c>
      <c r="K406" s="1">
        <v>20</v>
      </c>
      <c r="L406" s="1" t="s">
        <v>65</v>
      </c>
      <c r="M406" s="1">
        <v>20.081</v>
      </c>
      <c r="N406" s="1">
        <v>98.3</v>
      </c>
      <c r="O406" s="1">
        <v>73.039333330000005</v>
      </c>
      <c r="P406" s="1">
        <v>-163.423</v>
      </c>
      <c r="Q406" s="1">
        <v>-0.84809999999999997</v>
      </c>
      <c r="R406" s="1">
        <v>31.3155</v>
      </c>
      <c r="S406" s="1">
        <v>417.80365499999999</v>
      </c>
      <c r="W406" s="3">
        <v>0.42449999999999999</v>
      </c>
      <c r="AH406" s="8" t="s">
        <v>2437</v>
      </c>
      <c r="AI406" s="8">
        <v>14</v>
      </c>
      <c r="AJ406" s="8" t="s">
        <v>2438</v>
      </c>
      <c r="AK406" s="8">
        <v>2.2000000000000002</v>
      </c>
      <c r="AM406" s="1" t="s">
        <v>2439</v>
      </c>
      <c r="AT406" s="8" t="s">
        <v>1607</v>
      </c>
    </row>
    <row r="407" spans="1:46">
      <c r="A407" s="1" t="s">
        <v>2440</v>
      </c>
      <c r="C407" s="1" t="s">
        <v>2440</v>
      </c>
      <c r="D407" s="1" t="s">
        <v>2441</v>
      </c>
      <c r="E407" s="1" t="s">
        <v>1394</v>
      </c>
      <c r="F407" s="1" t="s">
        <v>2425</v>
      </c>
      <c r="G407" s="1" t="s">
        <v>456</v>
      </c>
      <c r="H407" s="2" t="s">
        <v>2426</v>
      </c>
      <c r="I407" s="1">
        <v>53</v>
      </c>
      <c r="J407" s="1">
        <v>0.2</v>
      </c>
      <c r="K407" s="1">
        <v>30</v>
      </c>
      <c r="L407" s="1" t="s">
        <v>65</v>
      </c>
      <c r="M407" s="1">
        <v>29.895</v>
      </c>
      <c r="N407" s="1">
        <v>98.3</v>
      </c>
      <c r="O407" s="1">
        <v>73.039333330000005</v>
      </c>
      <c r="P407" s="1">
        <v>-163.423</v>
      </c>
      <c r="Q407" s="1">
        <v>-1.1874499999999999</v>
      </c>
      <c r="R407" s="1">
        <v>31.494900000000001</v>
      </c>
      <c r="S407" s="1">
        <v>405.97295609999998</v>
      </c>
      <c r="W407" s="3">
        <v>0.33429999999999999</v>
      </c>
      <c r="X407" s="1" t="s">
        <v>2442</v>
      </c>
      <c r="Y407" s="1">
        <v>0.182</v>
      </c>
      <c r="Z407" s="1">
        <v>0.13700000000000001</v>
      </c>
      <c r="AA407" s="1">
        <v>1.5660000000000001</v>
      </c>
      <c r="AB407" s="1">
        <v>19.100000000000001</v>
      </c>
      <c r="AC407" s="1">
        <v>5.8</v>
      </c>
      <c r="AD407" s="1">
        <v>0.06</v>
      </c>
      <c r="AE407" s="1">
        <v>1.1399999999999999</v>
      </c>
      <c r="AF407" s="1">
        <v>5.86</v>
      </c>
      <c r="AH407" s="8" t="s">
        <v>2443</v>
      </c>
      <c r="AI407" s="8">
        <v>12</v>
      </c>
      <c r="AJ407" s="8" t="s">
        <v>2444</v>
      </c>
      <c r="AK407" s="8">
        <v>2.2000000000000002</v>
      </c>
      <c r="AM407" s="1" t="s">
        <v>2442</v>
      </c>
      <c r="AT407" s="8" t="s">
        <v>1607</v>
      </c>
    </row>
    <row r="408" spans="1:46">
      <c r="A408" s="1" t="s">
        <v>2445</v>
      </c>
      <c r="C408" s="1" t="s">
        <v>2445</v>
      </c>
      <c r="D408" s="1" t="s">
        <v>2446</v>
      </c>
      <c r="E408" s="1" t="s">
        <v>1394</v>
      </c>
      <c r="F408" s="1" t="s">
        <v>2425</v>
      </c>
      <c r="G408" s="1" t="s">
        <v>456</v>
      </c>
      <c r="H408" s="2" t="s">
        <v>2426</v>
      </c>
      <c r="I408" s="1">
        <v>53</v>
      </c>
      <c r="J408" s="1">
        <v>0.2</v>
      </c>
      <c r="K408" s="1">
        <v>40</v>
      </c>
      <c r="L408" s="1" t="s">
        <v>65</v>
      </c>
      <c r="M408" s="1">
        <v>39.94</v>
      </c>
      <c r="N408" s="1">
        <v>98.3</v>
      </c>
      <c r="O408" s="1">
        <v>73.039333330000005</v>
      </c>
      <c r="P408" s="1">
        <v>-163.423</v>
      </c>
      <c r="Q408" s="1">
        <v>-1.4904999999999999</v>
      </c>
      <c r="R408" s="1">
        <v>31.733550000000001</v>
      </c>
      <c r="S408" s="1">
        <v>359.55231270000002</v>
      </c>
      <c r="W408" s="3">
        <v>0.26569999999999999</v>
      </c>
      <c r="AH408" s="8" t="s">
        <v>2447</v>
      </c>
      <c r="AI408" s="8">
        <v>10</v>
      </c>
      <c r="AJ408" s="8" t="s">
        <v>2448</v>
      </c>
      <c r="AK408" s="8">
        <v>3</v>
      </c>
      <c r="AM408" s="1" t="s">
        <v>2449</v>
      </c>
      <c r="AT408" s="8" t="s">
        <v>1607</v>
      </c>
    </row>
    <row r="409" spans="1:46">
      <c r="A409" s="1" t="s">
        <v>2450</v>
      </c>
      <c r="C409" s="1" t="s">
        <v>2450</v>
      </c>
      <c r="D409" s="1" t="s">
        <v>2451</v>
      </c>
      <c r="E409" s="1" t="s">
        <v>1394</v>
      </c>
      <c r="F409" s="1" t="s">
        <v>2425</v>
      </c>
      <c r="G409" s="1" t="s">
        <v>456</v>
      </c>
      <c r="H409" s="2" t="s">
        <v>2426</v>
      </c>
      <c r="I409" s="1">
        <v>53</v>
      </c>
      <c r="J409" s="1">
        <v>0.2</v>
      </c>
      <c r="K409" s="1">
        <v>50</v>
      </c>
      <c r="L409" s="1" t="s">
        <v>65</v>
      </c>
      <c r="M409" s="1">
        <v>49.984999999999999</v>
      </c>
      <c r="N409" s="1">
        <v>98.3</v>
      </c>
      <c r="O409" s="1">
        <v>73.039333330000005</v>
      </c>
      <c r="P409" s="1">
        <v>-163.423</v>
      </c>
      <c r="Q409" s="1">
        <v>-1.6650499999999999</v>
      </c>
      <c r="R409" s="1">
        <v>31.913799999999998</v>
      </c>
      <c r="S409" s="1">
        <v>312.76991520000001</v>
      </c>
      <c r="W409" s="3">
        <v>0.28520000000000001</v>
      </c>
      <c r="X409" s="1" t="s">
        <v>2452</v>
      </c>
      <c r="Y409" s="1">
        <v>0.217</v>
      </c>
      <c r="Z409" s="1">
        <v>0.126</v>
      </c>
      <c r="AA409" s="1">
        <v>2.1560000000000001</v>
      </c>
      <c r="AB409" s="1">
        <v>41.7</v>
      </c>
      <c r="AC409" s="1">
        <v>13.8</v>
      </c>
      <c r="AD409" s="1">
        <v>0.14000000000000001</v>
      </c>
      <c r="AE409" s="1">
        <v>1.0900000000000001</v>
      </c>
      <c r="AF409" s="1">
        <v>13.94</v>
      </c>
      <c r="AH409" s="8" t="s">
        <v>2453</v>
      </c>
      <c r="AI409" s="8">
        <v>8</v>
      </c>
      <c r="AJ409" s="8" t="s">
        <v>2454</v>
      </c>
      <c r="AK409" s="8">
        <v>3</v>
      </c>
      <c r="AM409" s="1" t="s">
        <v>2452</v>
      </c>
      <c r="AT409" s="8" t="s">
        <v>1607</v>
      </c>
    </row>
    <row r="410" spans="1:46">
      <c r="A410" s="1" t="s">
        <v>2455</v>
      </c>
      <c r="C410" s="1" t="s">
        <v>2455</v>
      </c>
      <c r="D410" s="1" t="s">
        <v>2456</v>
      </c>
      <c r="E410" s="1" t="s">
        <v>1394</v>
      </c>
      <c r="F410" s="1" t="s">
        <v>2425</v>
      </c>
      <c r="G410" s="1" t="s">
        <v>456</v>
      </c>
      <c r="H410" s="2" t="s">
        <v>2426</v>
      </c>
      <c r="I410" s="1">
        <v>53</v>
      </c>
      <c r="J410" s="1">
        <v>0.2</v>
      </c>
      <c r="K410" s="1">
        <v>75</v>
      </c>
      <c r="L410" s="1" t="s">
        <v>65</v>
      </c>
      <c r="M410" s="1">
        <v>74.930000000000007</v>
      </c>
      <c r="N410" s="1">
        <v>98.3</v>
      </c>
      <c r="O410" s="1">
        <v>73.039333330000005</v>
      </c>
      <c r="P410" s="1">
        <v>-163.423</v>
      </c>
      <c r="Q410" s="1">
        <v>-1.5099</v>
      </c>
      <c r="R410" s="1">
        <v>32.066549999999999</v>
      </c>
      <c r="S410" s="1">
        <v>218.1287901</v>
      </c>
      <c r="W410" s="3">
        <v>0.21329999999999999</v>
      </c>
      <c r="X410" s="1" t="s">
        <v>2457</v>
      </c>
      <c r="AA410" s="1">
        <v>2.415</v>
      </c>
      <c r="AB410" s="1">
        <v>52.1</v>
      </c>
      <c r="AC410" s="1">
        <v>15.4</v>
      </c>
      <c r="AD410" s="1">
        <v>0.15</v>
      </c>
      <c r="AE410" s="1">
        <v>2.4</v>
      </c>
      <c r="AF410" s="1">
        <v>15.55</v>
      </c>
      <c r="AH410" s="8" t="s">
        <v>2458</v>
      </c>
      <c r="AI410" s="8">
        <v>6</v>
      </c>
      <c r="AJ410" s="8" t="s">
        <v>2459</v>
      </c>
      <c r="AK410" s="8">
        <v>3</v>
      </c>
      <c r="AM410" s="1" t="s">
        <v>2457</v>
      </c>
      <c r="AT410" s="8" t="s">
        <v>1607</v>
      </c>
    </row>
    <row r="411" spans="1:46">
      <c r="A411" s="1" t="s">
        <v>2460</v>
      </c>
      <c r="C411" s="1" t="s">
        <v>2460</v>
      </c>
      <c r="D411" s="1" t="s">
        <v>2461</v>
      </c>
      <c r="E411" s="1" t="s">
        <v>1394</v>
      </c>
      <c r="F411" s="1" t="s">
        <v>2425</v>
      </c>
      <c r="G411" s="1" t="s">
        <v>456</v>
      </c>
      <c r="H411" s="2" t="s">
        <v>2426</v>
      </c>
      <c r="I411" s="1">
        <v>53</v>
      </c>
      <c r="J411" s="1">
        <v>0.2</v>
      </c>
      <c r="K411" s="1">
        <v>96</v>
      </c>
      <c r="L411" s="1" t="s">
        <v>78</v>
      </c>
      <c r="M411" s="1">
        <v>96.456999999999994</v>
      </c>
      <c r="N411" s="1">
        <v>98.3</v>
      </c>
      <c r="O411" s="1">
        <v>73.039333330000005</v>
      </c>
      <c r="P411" s="1">
        <v>-163.423</v>
      </c>
      <c r="Q411" s="1">
        <v>-0.82530000000000003</v>
      </c>
      <c r="R411" s="1">
        <v>33.800849999999997</v>
      </c>
      <c r="S411" s="1">
        <v>273.1243455</v>
      </c>
      <c r="W411" s="3">
        <v>0.19289999999999999</v>
      </c>
      <c r="X411" s="1" t="s">
        <v>2462</v>
      </c>
      <c r="AA411" s="1">
        <v>1.6719999999999999</v>
      </c>
      <c r="AB411" s="1">
        <v>30</v>
      </c>
      <c r="AC411" s="1">
        <v>13.6</v>
      </c>
      <c r="AD411" s="1">
        <v>0.13</v>
      </c>
      <c r="AE411" s="1">
        <v>0.91</v>
      </c>
      <c r="AF411" s="1">
        <v>13.73</v>
      </c>
      <c r="AH411" s="8" t="s">
        <v>2463</v>
      </c>
      <c r="AI411" s="8">
        <v>4</v>
      </c>
      <c r="AJ411" s="8" t="s">
        <v>2464</v>
      </c>
      <c r="AK411" s="8">
        <v>3</v>
      </c>
      <c r="AM411" s="1" t="s">
        <v>2462</v>
      </c>
      <c r="AT411" s="8" t="s">
        <v>1607</v>
      </c>
    </row>
    <row r="412" spans="1:46">
      <c r="A412" s="1" t="s">
        <v>2465</v>
      </c>
      <c r="C412" s="1" t="s">
        <v>2465</v>
      </c>
      <c r="D412" s="1" t="s">
        <v>2466</v>
      </c>
      <c r="E412" s="1" t="s">
        <v>1394</v>
      </c>
      <c r="F412" s="1" t="s">
        <v>2467</v>
      </c>
      <c r="G412" s="1" t="s">
        <v>49</v>
      </c>
      <c r="H412" s="2" t="s">
        <v>2468</v>
      </c>
      <c r="I412" s="1">
        <v>0</v>
      </c>
      <c r="J412" s="1">
        <v>0.2</v>
      </c>
      <c r="K412" s="1" t="s">
        <v>1688</v>
      </c>
      <c r="L412" s="1" t="s">
        <v>52</v>
      </c>
      <c r="M412" s="1">
        <v>2.15</v>
      </c>
      <c r="N412" s="1">
        <v>39</v>
      </c>
      <c r="O412" s="1">
        <v>64.40433333</v>
      </c>
      <c r="P412" s="1">
        <v>-166.2225</v>
      </c>
      <c r="Q412" s="1">
        <v>10.1206</v>
      </c>
      <c r="R412" s="1">
        <v>28.108450000000001</v>
      </c>
      <c r="S412" s="1">
        <v>301.76991090000001</v>
      </c>
      <c r="W412" s="3">
        <v>0.60799999999999998</v>
      </c>
      <c r="X412" s="1" t="s">
        <v>2469</v>
      </c>
      <c r="Y412" s="1">
        <v>1.819</v>
      </c>
      <c r="Z412" s="1">
        <v>0.81299999999999994</v>
      </c>
      <c r="AA412" s="1">
        <v>0.88500000000000001</v>
      </c>
      <c r="AB412" s="1">
        <v>16.3</v>
      </c>
      <c r="AC412" s="1">
        <v>2.1</v>
      </c>
      <c r="AD412" s="1">
        <v>7.0000000000000007E-2</v>
      </c>
      <c r="AE412" s="1">
        <v>0.46</v>
      </c>
      <c r="AF412" s="1">
        <v>2.17</v>
      </c>
      <c r="AH412" s="8" t="s">
        <v>2470</v>
      </c>
      <c r="AI412" s="8">
        <v>8</v>
      </c>
      <c r="AJ412" s="8" t="s">
        <v>2471</v>
      </c>
      <c r="AK412" s="8">
        <v>2.7</v>
      </c>
      <c r="AM412" s="1" t="s">
        <v>2469</v>
      </c>
      <c r="AT412" s="8" t="s">
        <v>2472</v>
      </c>
    </row>
    <row r="413" spans="1:46">
      <c r="A413" s="1" t="s">
        <v>2473</v>
      </c>
      <c r="C413" s="1" t="s">
        <v>2473</v>
      </c>
      <c r="D413" s="1" t="s">
        <v>2474</v>
      </c>
      <c r="E413" s="1" t="s">
        <v>1394</v>
      </c>
      <c r="F413" s="1" t="s">
        <v>2467</v>
      </c>
      <c r="G413" s="1" t="s">
        <v>49</v>
      </c>
      <c r="I413" s="1">
        <v>0</v>
      </c>
      <c r="J413" s="1">
        <v>20</v>
      </c>
      <c r="K413" s="1" t="s">
        <v>1688</v>
      </c>
      <c r="L413" s="1" t="s">
        <v>52</v>
      </c>
      <c r="M413" s="1">
        <v>2.15</v>
      </c>
      <c r="N413" s="1">
        <v>39</v>
      </c>
      <c r="O413" s="1">
        <v>64.40433333</v>
      </c>
      <c r="P413" s="1">
        <v>-166.2225</v>
      </c>
      <c r="Q413" s="1">
        <v>10.1206</v>
      </c>
      <c r="R413" s="1">
        <v>28.108450000000001</v>
      </c>
      <c r="S413" s="1">
        <v>301.76991090000001</v>
      </c>
      <c r="W413" s="3">
        <v>0.60799999999999998</v>
      </c>
      <c r="X413" s="1" t="s">
        <v>2469</v>
      </c>
      <c r="Y413" s="1">
        <v>1.819</v>
      </c>
      <c r="Z413" s="1">
        <v>0.81299999999999994</v>
      </c>
      <c r="AA413" s="1">
        <v>0.88500000000000001</v>
      </c>
      <c r="AB413" s="1">
        <v>16.3</v>
      </c>
      <c r="AC413" s="1">
        <v>2.1</v>
      </c>
      <c r="AD413" s="1">
        <v>7.0000000000000007E-2</v>
      </c>
      <c r="AE413" s="1">
        <v>0.46</v>
      </c>
      <c r="AF413" s="1">
        <v>2.17</v>
      </c>
      <c r="AH413" s="8" t="s">
        <v>2475</v>
      </c>
      <c r="AI413" s="8">
        <v>8</v>
      </c>
      <c r="AJ413" s="8" t="s">
        <v>2471</v>
      </c>
      <c r="AK413" s="8">
        <v>2.7</v>
      </c>
      <c r="AM413" s="1" t="s">
        <v>2469</v>
      </c>
      <c r="AT413" s="8" t="s">
        <v>2472</v>
      </c>
    </row>
    <row r="414" spans="1:46">
      <c r="A414" s="1" t="s">
        <v>2476</v>
      </c>
      <c r="C414" s="1" t="s">
        <v>2476</v>
      </c>
      <c r="D414" s="1" t="s">
        <v>2477</v>
      </c>
      <c r="E414" s="1" t="s">
        <v>1394</v>
      </c>
      <c r="F414" s="1" t="s">
        <v>2467</v>
      </c>
      <c r="G414" s="1" t="s">
        <v>49</v>
      </c>
      <c r="H414" s="2" t="s">
        <v>2468</v>
      </c>
      <c r="I414" s="1">
        <v>0</v>
      </c>
      <c r="J414" s="1">
        <v>0.2</v>
      </c>
      <c r="K414" s="1">
        <v>10</v>
      </c>
      <c r="L414" s="1" t="s">
        <v>65</v>
      </c>
      <c r="M414" s="1">
        <v>10.33</v>
      </c>
      <c r="N414" s="1">
        <v>39</v>
      </c>
      <c r="O414" s="1">
        <v>64.40433333</v>
      </c>
      <c r="P414" s="1">
        <v>-166.2225</v>
      </c>
      <c r="Q414" s="1">
        <v>5.3455000000000004</v>
      </c>
      <c r="R414" s="1">
        <v>31.998349999999999</v>
      </c>
      <c r="S414" s="1">
        <v>290.52427110000002</v>
      </c>
      <c r="W414" s="3">
        <v>1.0651999999999999</v>
      </c>
      <c r="X414" s="1" t="s">
        <v>2478</v>
      </c>
      <c r="Y414" s="1">
        <v>1.661</v>
      </c>
      <c r="Z414" s="1">
        <v>0.69199999999999995</v>
      </c>
      <c r="AA414" s="1">
        <v>1.389</v>
      </c>
      <c r="AB414" s="1">
        <v>23.7</v>
      </c>
      <c r="AC414" s="1">
        <v>8.1</v>
      </c>
      <c r="AD414" s="1">
        <v>0.15</v>
      </c>
      <c r="AE414" s="1">
        <v>2.2000000000000002</v>
      </c>
      <c r="AF414" s="1">
        <v>8.25</v>
      </c>
      <c r="AH414" s="8" t="s">
        <v>2479</v>
      </c>
      <c r="AI414" s="8">
        <v>6</v>
      </c>
      <c r="AJ414" s="8" t="s">
        <v>2480</v>
      </c>
      <c r="AK414" s="8">
        <v>3.5</v>
      </c>
      <c r="AM414" s="1" t="s">
        <v>2478</v>
      </c>
      <c r="AT414" s="8" t="s">
        <v>2472</v>
      </c>
    </row>
    <row r="415" spans="1:46">
      <c r="A415" s="1" t="s">
        <v>2481</v>
      </c>
      <c r="C415" s="1" t="s">
        <v>2481</v>
      </c>
      <c r="D415" s="1" t="s">
        <v>2482</v>
      </c>
      <c r="E415" s="1" t="s">
        <v>1394</v>
      </c>
      <c r="F415" s="1" t="s">
        <v>2467</v>
      </c>
      <c r="G415" s="1" t="s">
        <v>49</v>
      </c>
      <c r="I415" s="1">
        <v>0</v>
      </c>
      <c r="J415" s="1">
        <v>20</v>
      </c>
      <c r="K415" s="1">
        <v>10</v>
      </c>
      <c r="L415" s="1" t="s">
        <v>65</v>
      </c>
      <c r="M415" s="1">
        <v>10.33</v>
      </c>
      <c r="N415" s="1">
        <v>39</v>
      </c>
      <c r="O415" s="1">
        <v>64.40433333</v>
      </c>
      <c r="P415" s="1">
        <v>-166.2225</v>
      </c>
      <c r="Q415" s="1">
        <v>5.3455000000000004</v>
      </c>
      <c r="R415" s="1">
        <v>31.998349999999999</v>
      </c>
      <c r="S415" s="1">
        <v>290.52427110000002</v>
      </c>
      <c r="W415" s="3">
        <v>1.0651999999999999</v>
      </c>
      <c r="X415" s="1" t="s">
        <v>2478</v>
      </c>
      <c r="Y415" s="1">
        <v>1.661</v>
      </c>
      <c r="Z415" s="1">
        <v>0.69199999999999995</v>
      </c>
      <c r="AA415" s="1">
        <v>1.389</v>
      </c>
      <c r="AB415" s="1">
        <v>23.7</v>
      </c>
      <c r="AC415" s="1">
        <v>8.1</v>
      </c>
      <c r="AD415" s="1">
        <v>0.15</v>
      </c>
      <c r="AE415" s="1">
        <v>2.2000000000000002</v>
      </c>
      <c r="AF415" s="1">
        <v>8.25</v>
      </c>
      <c r="AH415" s="8" t="s">
        <v>2483</v>
      </c>
      <c r="AI415" s="8">
        <v>6</v>
      </c>
      <c r="AJ415" s="8" t="s">
        <v>2480</v>
      </c>
      <c r="AK415" s="8">
        <v>3.5</v>
      </c>
      <c r="AM415" s="1" t="s">
        <v>2478</v>
      </c>
      <c r="AT415" s="8" t="s">
        <v>2472</v>
      </c>
    </row>
    <row r="416" spans="1:46">
      <c r="A416" s="1" t="s">
        <v>2484</v>
      </c>
      <c r="C416" s="1" t="s">
        <v>2484</v>
      </c>
      <c r="D416" s="1" t="s">
        <v>2485</v>
      </c>
      <c r="E416" s="1" t="s">
        <v>1394</v>
      </c>
      <c r="F416" s="1" t="s">
        <v>2467</v>
      </c>
      <c r="G416" s="1" t="s">
        <v>49</v>
      </c>
      <c r="H416" s="2" t="s">
        <v>2468</v>
      </c>
      <c r="I416" s="1">
        <v>0</v>
      </c>
      <c r="J416" s="1">
        <v>0.2</v>
      </c>
      <c r="K416" s="1">
        <v>20</v>
      </c>
      <c r="L416" s="1" t="s">
        <v>65</v>
      </c>
      <c r="M416" s="1">
        <v>20.131</v>
      </c>
      <c r="N416" s="1">
        <v>39</v>
      </c>
      <c r="O416" s="1">
        <v>64.40433333</v>
      </c>
      <c r="P416" s="1">
        <v>-166.2225</v>
      </c>
      <c r="Q416" s="1">
        <v>5.0107499999999998</v>
      </c>
      <c r="R416" s="1">
        <v>32.139899999999997</v>
      </c>
      <c r="S416" s="1">
        <v>282.41829960000001</v>
      </c>
      <c r="W416" s="3">
        <v>0.81730000000000003</v>
      </c>
      <c r="X416" s="1" t="s">
        <v>2486</v>
      </c>
      <c r="Y416" s="1">
        <v>1.4470000000000001</v>
      </c>
      <c r="Z416" s="1">
        <v>0.66900000000000004</v>
      </c>
      <c r="AA416" s="1">
        <v>1.504</v>
      </c>
      <c r="AB416" s="1">
        <v>26.3</v>
      </c>
      <c r="AC416" s="1">
        <v>9.1999999999999993</v>
      </c>
      <c r="AD416" s="1">
        <v>0.16</v>
      </c>
      <c r="AE416" s="1">
        <v>2.99</v>
      </c>
      <c r="AF416" s="1">
        <v>9.36</v>
      </c>
      <c r="AH416" s="8" t="s">
        <v>2487</v>
      </c>
      <c r="AI416" s="8">
        <v>4</v>
      </c>
      <c r="AJ416" s="8" t="s">
        <v>2488</v>
      </c>
      <c r="AK416" s="8">
        <v>5</v>
      </c>
      <c r="AM416" s="1" t="s">
        <v>2486</v>
      </c>
      <c r="AT416" s="8" t="s">
        <v>2472</v>
      </c>
    </row>
    <row r="417" spans="1:46">
      <c r="A417" s="1" t="s">
        <v>2489</v>
      </c>
      <c r="C417" s="1" t="s">
        <v>2489</v>
      </c>
      <c r="D417" s="1" t="s">
        <v>2490</v>
      </c>
      <c r="E417" s="1" t="s">
        <v>1394</v>
      </c>
      <c r="F417" s="1" t="s">
        <v>2467</v>
      </c>
      <c r="G417" s="1" t="s">
        <v>49</v>
      </c>
      <c r="I417" s="1">
        <v>0</v>
      </c>
      <c r="J417" s="1">
        <v>3</v>
      </c>
      <c r="K417" s="1">
        <v>20</v>
      </c>
      <c r="L417" s="1" t="s">
        <v>65</v>
      </c>
      <c r="M417" s="1">
        <v>20.131</v>
      </c>
      <c r="N417" s="1">
        <v>39</v>
      </c>
      <c r="O417" s="1">
        <v>64.40433333</v>
      </c>
      <c r="P417" s="1">
        <v>-166.2225</v>
      </c>
      <c r="Q417" s="1">
        <v>5.0107499999999998</v>
      </c>
      <c r="R417" s="1">
        <v>32.139899999999997</v>
      </c>
      <c r="S417" s="1">
        <v>282.41829960000001</v>
      </c>
      <c r="W417" s="3">
        <v>0.81730000000000003</v>
      </c>
      <c r="X417" s="1" t="s">
        <v>2486</v>
      </c>
      <c r="Y417" s="1">
        <v>1.4470000000000001</v>
      </c>
      <c r="Z417" s="1">
        <v>0.66900000000000004</v>
      </c>
      <c r="AA417" s="1">
        <v>1.504</v>
      </c>
      <c r="AB417" s="1">
        <v>26.3</v>
      </c>
      <c r="AC417" s="1">
        <v>9.1999999999999993</v>
      </c>
      <c r="AD417" s="1">
        <v>0.16</v>
      </c>
      <c r="AE417" s="1">
        <v>2.99</v>
      </c>
      <c r="AF417" s="1">
        <v>9.36</v>
      </c>
      <c r="AH417" s="8" t="s">
        <v>2491</v>
      </c>
      <c r="AI417" s="8">
        <v>4</v>
      </c>
      <c r="AJ417" s="8" t="s">
        <v>2488</v>
      </c>
      <c r="AK417" s="8">
        <v>5</v>
      </c>
      <c r="AM417" s="1" t="s">
        <v>2486</v>
      </c>
      <c r="AT417" s="8" t="s">
        <v>2472</v>
      </c>
    </row>
    <row r="418" spans="1:46">
      <c r="A418" s="1" t="s">
        <v>2492</v>
      </c>
      <c r="C418" s="1" t="s">
        <v>2492</v>
      </c>
      <c r="D418" s="1" t="s">
        <v>2493</v>
      </c>
      <c r="E418" s="1" t="s">
        <v>1394</v>
      </c>
      <c r="F418" s="1" t="s">
        <v>2467</v>
      </c>
      <c r="G418" s="1" t="s">
        <v>49</v>
      </c>
      <c r="I418" s="1">
        <v>0</v>
      </c>
      <c r="J418" s="1">
        <v>20</v>
      </c>
      <c r="K418" s="1">
        <v>20</v>
      </c>
      <c r="L418" s="1" t="s">
        <v>65</v>
      </c>
      <c r="M418" s="1">
        <v>20.131</v>
      </c>
      <c r="N418" s="1">
        <v>39</v>
      </c>
      <c r="O418" s="1">
        <v>64.40433333</v>
      </c>
      <c r="P418" s="1">
        <v>-166.2225</v>
      </c>
      <c r="Q418" s="1">
        <v>5.0107499999999998</v>
      </c>
      <c r="R418" s="1">
        <v>32.139899999999997</v>
      </c>
      <c r="S418" s="1">
        <v>282.41829960000001</v>
      </c>
      <c r="W418" s="3">
        <v>0.81730000000000003</v>
      </c>
      <c r="X418" s="1" t="s">
        <v>2486</v>
      </c>
      <c r="Y418" s="1">
        <v>1.4470000000000001</v>
      </c>
      <c r="Z418" s="1">
        <v>0.66900000000000004</v>
      </c>
      <c r="AA418" s="1">
        <v>1.504</v>
      </c>
      <c r="AB418" s="1">
        <v>26.3</v>
      </c>
      <c r="AC418" s="1">
        <v>9.1999999999999993</v>
      </c>
      <c r="AD418" s="1">
        <v>0.16</v>
      </c>
      <c r="AE418" s="1">
        <v>2.99</v>
      </c>
      <c r="AF418" s="1">
        <v>9.36</v>
      </c>
      <c r="AH418" s="8" t="s">
        <v>2494</v>
      </c>
      <c r="AI418" s="8">
        <v>4</v>
      </c>
      <c r="AJ418" s="8" t="s">
        <v>2488</v>
      </c>
      <c r="AK418" s="8">
        <v>5</v>
      </c>
      <c r="AM418" s="1" t="s">
        <v>2486</v>
      </c>
      <c r="AT418" s="8" t="s">
        <v>2472</v>
      </c>
    </row>
    <row r="419" spans="1:46">
      <c r="A419" s="1" t="s">
        <v>2495</v>
      </c>
      <c r="C419" s="1" t="s">
        <v>2495</v>
      </c>
      <c r="D419" s="1" t="s">
        <v>2496</v>
      </c>
      <c r="E419" s="1" t="s">
        <v>1394</v>
      </c>
      <c r="F419" s="1" t="s">
        <v>2467</v>
      </c>
      <c r="G419" s="1" t="s">
        <v>49</v>
      </c>
      <c r="H419" s="2" t="s">
        <v>2468</v>
      </c>
      <c r="I419" s="1">
        <v>0</v>
      </c>
      <c r="J419" s="1">
        <v>0.2</v>
      </c>
      <c r="K419" s="1" t="s">
        <v>78</v>
      </c>
      <c r="L419" s="1" t="s">
        <v>78</v>
      </c>
      <c r="M419" s="1">
        <v>33.768999999999998</v>
      </c>
      <c r="N419" s="1">
        <v>39</v>
      </c>
      <c r="O419" s="1">
        <v>64.40433333</v>
      </c>
      <c r="P419" s="1">
        <v>-166.2225</v>
      </c>
      <c r="Q419" s="1">
        <v>4.9279999999999999</v>
      </c>
      <c r="R419" s="1">
        <v>32.149349999999998</v>
      </c>
      <c r="S419" s="1">
        <v>281.57867279999999</v>
      </c>
      <c r="W419" s="3">
        <v>0.82330000000000003</v>
      </c>
      <c r="X419" s="1" t="s">
        <v>2497</v>
      </c>
      <c r="Y419" s="1">
        <v>1.2210000000000001</v>
      </c>
      <c r="Z419" s="1">
        <v>0.68300000000000005</v>
      </c>
      <c r="AA419" s="1">
        <v>1.53</v>
      </c>
      <c r="AB419" s="1">
        <v>26.4</v>
      </c>
      <c r="AC419" s="1">
        <v>9.1999999999999993</v>
      </c>
      <c r="AD419" s="1">
        <v>0.16</v>
      </c>
      <c r="AE419" s="1">
        <v>3.09</v>
      </c>
      <c r="AF419" s="1">
        <v>9.36</v>
      </c>
      <c r="AH419" s="8" t="s">
        <v>2498</v>
      </c>
      <c r="AI419" s="8">
        <v>2</v>
      </c>
      <c r="AJ419" s="8" t="s">
        <v>2499</v>
      </c>
      <c r="AK419" s="8">
        <v>4.8</v>
      </c>
      <c r="AM419" s="1" t="s">
        <v>2497</v>
      </c>
      <c r="AT419" s="8" t="s">
        <v>2472</v>
      </c>
    </row>
    <row r="420" spans="1:46">
      <c r="A420" s="1" t="s">
        <v>2500</v>
      </c>
      <c r="C420" s="1" t="s">
        <v>2500</v>
      </c>
      <c r="D420" s="1" t="s">
        <v>2501</v>
      </c>
      <c r="E420" s="1" t="s">
        <v>1394</v>
      </c>
      <c r="F420" s="1" t="s">
        <v>2467</v>
      </c>
      <c r="G420" s="1" t="s">
        <v>49</v>
      </c>
      <c r="I420" s="1">
        <v>0</v>
      </c>
      <c r="J420" s="1">
        <v>3</v>
      </c>
      <c r="K420" s="1" t="s">
        <v>78</v>
      </c>
      <c r="L420" s="1" t="s">
        <v>78</v>
      </c>
      <c r="M420" s="1">
        <v>33.768999999999998</v>
      </c>
      <c r="N420" s="1">
        <v>39</v>
      </c>
      <c r="O420" s="1">
        <v>64.40433333</v>
      </c>
      <c r="P420" s="1">
        <v>-166.2225</v>
      </c>
      <c r="Q420" s="1">
        <v>4.9279999999999999</v>
      </c>
      <c r="R420" s="1">
        <v>32.149349999999998</v>
      </c>
      <c r="S420" s="1">
        <v>281.57867279999999</v>
      </c>
      <c r="W420" s="3">
        <v>0.82330000000000003</v>
      </c>
      <c r="X420" s="1" t="s">
        <v>2497</v>
      </c>
      <c r="Y420" s="1">
        <v>1.2210000000000001</v>
      </c>
      <c r="Z420" s="1">
        <v>0.68300000000000005</v>
      </c>
      <c r="AA420" s="1">
        <v>1.53</v>
      </c>
      <c r="AB420" s="1">
        <v>26.4</v>
      </c>
      <c r="AC420" s="1">
        <v>9.1999999999999993</v>
      </c>
      <c r="AD420" s="1">
        <v>0.16</v>
      </c>
      <c r="AE420" s="1">
        <v>3.09</v>
      </c>
      <c r="AF420" s="1">
        <v>9.36</v>
      </c>
      <c r="AH420" s="8" t="s">
        <v>2502</v>
      </c>
      <c r="AI420" s="8">
        <v>2</v>
      </c>
      <c r="AJ420" s="8" t="s">
        <v>2499</v>
      </c>
      <c r="AK420" s="8">
        <v>4.8</v>
      </c>
      <c r="AM420" s="1" t="s">
        <v>2497</v>
      </c>
      <c r="AT420" s="8" t="s">
        <v>2472</v>
      </c>
    </row>
    <row r="421" spans="1:46">
      <c r="A421" s="1" t="s">
        <v>2503</v>
      </c>
      <c r="C421" s="1" t="s">
        <v>2503</v>
      </c>
      <c r="D421" s="1" t="s">
        <v>2504</v>
      </c>
      <c r="E421" s="1" t="s">
        <v>1394</v>
      </c>
      <c r="F421" s="1" t="s">
        <v>2467</v>
      </c>
      <c r="G421" s="1" t="s">
        <v>49</v>
      </c>
      <c r="I421" s="1">
        <v>0</v>
      </c>
      <c r="J421" s="1">
        <v>20</v>
      </c>
      <c r="K421" s="1" t="s">
        <v>78</v>
      </c>
      <c r="L421" s="1" t="s">
        <v>78</v>
      </c>
      <c r="M421" s="1">
        <v>33.768999999999998</v>
      </c>
      <c r="N421" s="1">
        <v>39</v>
      </c>
      <c r="O421" s="1">
        <v>64.40433333</v>
      </c>
      <c r="P421" s="1">
        <v>-166.2225</v>
      </c>
      <c r="Q421" s="1">
        <v>4.9279999999999999</v>
      </c>
      <c r="R421" s="1">
        <v>32.149349999999998</v>
      </c>
      <c r="S421" s="1">
        <v>281.57867279999999</v>
      </c>
      <c r="W421" s="3">
        <v>0.82330000000000003</v>
      </c>
      <c r="X421" s="1" t="s">
        <v>2497</v>
      </c>
      <c r="Y421" s="1">
        <v>1.2210000000000001</v>
      </c>
      <c r="Z421" s="1">
        <v>0.68300000000000005</v>
      </c>
      <c r="AA421" s="1">
        <v>1.53</v>
      </c>
      <c r="AB421" s="1">
        <v>26.4</v>
      </c>
      <c r="AC421" s="1">
        <v>9.1999999999999993</v>
      </c>
      <c r="AD421" s="1">
        <v>0.16</v>
      </c>
      <c r="AE421" s="1">
        <v>3.09</v>
      </c>
      <c r="AF421" s="1">
        <v>9.36</v>
      </c>
      <c r="AH421" s="8" t="s">
        <v>2505</v>
      </c>
      <c r="AI421" s="8">
        <v>2</v>
      </c>
      <c r="AJ421" s="8" t="s">
        <v>2499</v>
      </c>
      <c r="AK421" s="8">
        <v>4.8</v>
      </c>
      <c r="AM421" s="1" t="s">
        <v>2497</v>
      </c>
      <c r="AT421" s="8" t="s">
        <v>2472</v>
      </c>
    </row>
    <row r="422" spans="1:46">
      <c r="A422" s="1" t="s">
        <v>2506</v>
      </c>
      <c r="C422" s="1" t="s">
        <v>2506</v>
      </c>
      <c r="D422" s="1" t="s">
        <v>2507</v>
      </c>
      <c r="E422" s="1" t="s">
        <v>1394</v>
      </c>
      <c r="F422" s="1" t="s">
        <v>2508</v>
      </c>
      <c r="G422" s="1" t="s">
        <v>456</v>
      </c>
      <c r="H422" s="2" t="s">
        <v>2509</v>
      </c>
      <c r="I422" s="1">
        <v>50</v>
      </c>
      <c r="J422" s="1">
        <v>0.2</v>
      </c>
      <c r="K422" s="1">
        <v>5</v>
      </c>
      <c r="L422" s="1" t="s">
        <v>52</v>
      </c>
      <c r="M422" s="1">
        <v>3.0390000000000001</v>
      </c>
      <c r="N422" s="1">
        <v>52.4</v>
      </c>
      <c r="O422" s="1">
        <v>72.637166669999999</v>
      </c>
      <c r="P422" s="1">
        <v>-166.4495</v>
      </c>
      <c r="Q422" s="1">
        <v>5.4108000000000001</v>
      </c>
      <c r="R422" s="1">
        <v>32.145850000000003</v>
      </c>
      <c r="S422" s="1">
        <v>346.86412259999997</v>
      </c>
      <c r="W422" s="3">
        <v>1.0255000000000001</v>
      </c>
      <c r="X422" s="1" t="s">
        <v>2510</v>
      </c>
      <c r="Y422" s="1">
        <v>4.194</v>
      </c>
      <c r="Z422" s="1">
        <v>0.34399999999999997</v>
      </c>
      <c r="AA422" s="1">
        <v>0.36099999999999999</v>
      </c>
      <c r="AB422" s="1">
        <v>1.4</v>
      </c>
      <c r="AC422" s="1">
        <v>0</v>
      </c>
      <c r="AD422" s="1">
        <v>0.01</v>
      </c>
      <c r="AE422" s="1">
        <v>0.14000000000000001</v>
      </c>
      <c r="AF422" s="1">
        <v>0.01</v>
      </c>
      <c r="AH422" s="8" t="s">
        <v>2511</v>
      </c>
      <c r="AI422" s="8">
        <v>14</v>
      </c>
      <c r="AJ422" s="8" t="s">
        <v>2512</v>
      </c>
      <c r="AK422" s="8">
        <v>3</v>
      </c>
      <c r="AM422" s="1" t="s">
        <v>2510</v>
      </c>
      <c r="AT422" s="8" t="s">
        <v>1607</v>
      </c>
    </row>
    <row r="423" spans="1:46">
      <c r="A423" s="1" t="s">
        <v>2513</v>
      </c>
      <c r="C423" s="1" t="s">
        <v>2513</v>
      </c>
      <c r="D423" s="1" t="s">
        <v>2514</v>
      </c>
      <c r="E423" s="1" t="s">
        <v>1394</v>
      </c>
      <c r="F423" s="1" t="s">
        <v>2508</v>
      </c>
      <c r="G423" s="1" t="s">
        <v>456</v>
      </c>
      <c r="H423" s="2" t="s">
        <v>2509</v>
      </c>
      <c r="I423" s="1">
        <v>50</v>
      </c>
      <c r="J423" s="1">
        <v>0.2</v>
      </c>
      <c r="K423" s="1">
        <v>30</v>
      </c>
      <c r="L423" s="1" t="s">
        <v>65</v>
      </c>
      <c r="M423" s="1">
        <v>30.478000000000002</v>
      </c>
      <c r="N423" s="1">
        <v>52.4</v>
      </c>
      <c r="O423" s="1">
        <v>72.637166669999999</v>
      </c>
      <c r="P423" s="1">
        <v>-166.4495</v>
      </c>
      <c r="Q423" s="1">
        <v>5.6680999999999999</v>
      </c>
      <c r="R423" s="1">
        <v>32.282400000000003</v>
      </c>
      <c r="S423" s="1">
        <v>339.16010010000002</v>
      </c>
      <c r="W423" s="3">
        <v>0.60929999999999995</v>
      </c>
      <c r="X423" s="1" t="s">
        <v>2515</v>
      </c>
      <c r="Y423" s="1">
        <v>1.1060000000000001</v>
      </c>
      <c r="Z423" s="1">
        <v>0.30599999999999999</v>
      </c>
      <c r="AA423" s="1">
        <v>0.51700000000000002</v>
      </c>
      <c r="AB423" s="1">
        <v>2.9</v>
      </c>
      <c r="AC423" s="1">
        <v>0.1</v>
      </c>
      <c r="AD423" s="1">
        <v>0.02</v>
      </c>
      <c r="AE423" s="1">
        <v>0.16</v>
      </c>
      <c r="AF423" s="1">
        <v>0.12</v>
      </c>
      <c r="AH423" s="8" t="s">
        <v>2516</v>
      </c>
      <c r="AI423" s="8">
        <v>8</v>
      </c>
      <c r="AJ423" s="8" t="s">
        <v>2517</v>
      </c>
      <c r="AK423" s="8">
        <v>3</v>
      </c>
      <c r="AM423" s="1" t="s">
        <v>2515</v>
      </c>
      <c r="AT423" s="8" t="s">
        <v>1607</v>
      </c>
    </row>
    <row r="424" spans="1:46">
      <c r="A424" s="1" t="s">
        <v>2518</v>
      </c>
      <c r="C424" s="1" t="s">
        <v>2518</v>
      </c>
      <c r="D424" s="1" t="s">
        <v>2519</v>
      </c>
      <c r="E424" s="1" t="s">
        <v>1394</v>
      </c>
      <c r="F424" s="1" t="s">
        <v>2508</v>
      </c>
      <c r="G424" s="1" t="s">
        <v>456</v>
      </c>
      <c r="H424" s="2" t="s">
        <v>2509</v>
      </c>
      <c r="I424" s="1">
        <v>50</v>
      </c>
      <c r="J424" s="1">
        <v>0.2</v>
      </c>
      <c r="K424" s="1">
        <v>40</v>
      </c>
      <c r="L424" s="1" t="s">
        <v>65</v>
      </c>
      <c r="M424" s="1">
        <v>40.204999999999998</v>
      </c>
      <c r="N424" s="1">
        <v>52.4</v>
      </c>
      <c r="O424" s="1">
        <v>72.637166669999999</v>
      </c>
      <c r="P424" s="1">
        <v>-166.4495</v>
      </c>
      <c r="Q424" s="1">
        <v>2.8702000000000001</v>
      </c>
      <c r="R424" s="1">
        <v>32.713700000000003</v>
      </c>
      <c r="S424" s="1">
        <v>259.6099269</v>
      </c>
      <c r="W424" s="3">
        <v>0.42809999999999998</v>
      </c>
      <c r="X424" s="1" t="s">
        <v>2520</v>
      </c>
      <c r="Y424" s="1">
        <v>0.66700000000000004</v>
      </c>
      <c r="Z424" s="1">
        <v>0.40200000000000002</v>
      </c>
      <c r="AA424" s="1">
        <v>1.514</v>
      </c>
      <c r="AB424" s="1">
        <v>16</v>
      </c>
      <c r="AC424" s="1">
        <v>0.6</v>
      </c>
      <c r="AD424" s="1">
        <v>0.04</v>
      </c>
      <c r="AE424" s="1">
        <v>1.31</v>
      </c>
      <c r="AF424" s="1">
        <v>0.64</v>
      </c>
      <c r="AH424" s="8" t="s">
        <v>2521</v>
      </c>
      <c r="AI424" s="8">
        <v>6</v>
      </c>
      <c r="AJ424" s="8" t="s">
        <v>2522</v>
      </c>
      <c r="AK424" s="8">
        <v>3</v>
      </c>
      <c r="AM424" s="1" t="s">
        <v>2520</v>
      </c>
      <c r="AT424" s="8" t="s">
        <v>1607</v>
      </c>
    </row>
    <row r="425" spans="1:46">
      <c r="A425" s="1" t="s">
        <v>2523</v>
      </c>
      <c r="C425" s="1" t="s">
        <v>2523</v>
      </c>
      <c r="D425" s="1" t="s">
        <v>2524</v>
      </c>
      <c r="E425" s="1" t="s">
        <v>1394</v>
      </c>
      <c r="F425" s="1" t="s">
        <v>2508</v>
      </c>
      <c r="G425" s="1" t="s">
        <v>456</v>
      </c>
      <c r="H425" s="2" t="s">
        <v>2509</v>
      </c>
      <c r="I425" s="1">
        <v>50</v>
      </c>
      <c r="J425" s="1">
        <v>0.2</v>
      </c>
      <c r="K425" s="1">
        <v>50</v>
      </c>
      <c r="L425" s="1" t="s">
        <v>78</v>
      </c>
      <c r="M425" s="1">
        <v>50.116</v>
      </c>
      <c r="N425" s="1">
        <v>52.4</v>
      </c>
      <c r="O425" s="1">
        <v>72.637166669999999</v>
      </c>
      <c r="P425" s="1">
        <v>-166.4495</v>
      </c>
      <c r="Q425" s="1">
        <v>2.3945500000000002</v>
      </c>
      <c r="R425" s="1">
        <v>32.700949999999999</v>
      </c>
      <c r="S425" s="1">
        <v>244.5547038</v>
      </c>
      <c r="W425" s="3">
        <v>0.40860000000000002</v>
      </c>
      <c r="X425" s="1" t="s">
        <v>2525</v>
      </c>
      <c r="Y425" s="1">
        <v>0.80700000000000005</v>
      </c>
      <c r="Z425" s="1">
        <v>0.36499999999999999</v>
      </c>
      <c r="AA425" s="1">
        <v>1.3069999999999999</v>
      </c>
      <c r="AB425" s="1">
        <v>13.9</v>
      </c>
      <c r="AC425" s="1">
        <v>1.1000000000000001</v>
      </c>
      <c r="AD425" s="1">
        <v>0.06</v>
      </c>
      <c r="AE425" s="1">
        <v>1.84</v>
      </c>
      <c r="AF425" s="1">
        <v>1.1599999999999999</v>
      </c>
      <c r="AH425" s="8" t="s">
        <v>2526</v>
      </c>
      <c r="AI425" s="8">
        <v>4</v>
      </c>
      <c r="AJ425" s="8" t="s">
        <v>2527</v>
      </c>
      <c r="AK425" s="8">
        <v>3</v>
      </c>
      <c r="AM425" s="1" t="s">
        <v>2525</v>
      </c>
      <c r="AT425" s="8" t="s">
        <v>1607</v>
      </c>
    </row>
    <row r="426" spans="1:46">
      <c r="A426" s="1" t="s">
        <v>2528</v>
      </c>
      <c r="C426" s="1" t="s">
        <v>2528</v>
      </c>
      <c r="D426" s="1" t="s">
        <v>2529</v>
      </c>
      <c r="E426" s="1" t="s">
        <v>1394</v>
      </c>
      <c r="F426" s="1" t="s">
        <v>2530</v>
      </c>
      <c r="G426" s="1" t="s">
        <v>456</v>
      </c>
      <c r="H426" s="2" t="s">
        <v>2531</v>
      </c>
      <c r="I426" s="1">
        <v>44</v>
      </c>
      <c r="J426" s="1">
        <v>0.2</v>
      </c>
      <c r="K426" s="1">
        <v>3</v>
      </c>
      <c r="L426" s="1" t="s">
        <v>52</v>
      </c>
      <c r="M426" s="1">
        <v>3.3170000000000002</v>
      </c>
      <c r="N426" s="1">
        <v>40.4</v>
      </c>
      <c r="O426" s="1">
        <v>72.210333329999997</v>
      </c>
      <c r="P426" s="1">
        <v>-164.16749999999999</v>
      </c>
      <c r="Q426" s="1">
        <v>4.7294</v>
      </c>
      <c r="R426" s="1">
        <v>31.172699999999999</v>
      </c>
      <c r="S426" s="1">
        <v>330.8978151</v>
      </c>
      <c r="W426" s="3">
        <v>0.28120000000000001</v>
      </c>
      <c r="Y426" s="1">
        <v>0.255</v>
      </c>
      <c r="Z426" s="1">
        <v>0.114</v>
      </c>
      <c r="AA426" s="1">
        <v>0.66200000000000003</v>
      </c>
      <c r="AB426" s="1">
        <v>3.5</v>
      </c>
      <c r="AC426" s="1">
        <v>0</v>
      </c>
      <c r="AD426" s="1">
        <v>0.01</v>
      </c>
      <c r="AE426" s="1">
        <v>0.12</v>
      </c>
      <c r="AF426" s="1">
        <v>0.01</v>
      </c>
      <c r="AH426" s="8" t="s">
        <v>2532</v>
      </c>
      <c r="AI426" s="8">
        <v>13</v>
      </c>
      <c r="AJ426" s="8" t="s">
        <v>2533</v>
      </c>
      <c r="AK426" s="8">
        <v>0.7</v>
      </c>
      <c r="AM426" s="1" t="s">
        <v>2534</v>
      </c>
      <c r="AT426" s="8" t="s">
        <v>1607</v>
      </c>
    </row>
    <row r="427" spans="1:46">
      <c r="A427" s="1" t="s">
        <v>2535</v>
      </c>
      <c r="C427" s="1" t="s">
        <v>2535</v>
      </c>
      <c r="D427" s="1" t="s">
        <v>2536</v>
      </c>
      <c r="E427" s="1" t="s">
        <v>1394</v>
      </c>
      <c r="F427" s="1" t="s">
        <v>2530</v>
      </c>
      <c r="G427" s="1" t="s">
        <v>456</v>
      </c>
      <c r="H427" s="2" t="s">
        <v>2531</v>
      </c>
      <c r="I427" s="1">
        <v>44</v>
      </c>
      <c r="J427" s="1">
        <v>0.2</v>
      </c>
      <c r="K427" s="1">
        <v>10</v>
      </c>
      <c r="L427" s="1" t="s">
        <v>65</v>
      </c>
      <c r="M427" s="1">
        <v>9.9849999999999994</v>
      </c>
      <c r="N427" s="1">
        <v>40.4</v>
      </c>
      <c r="O427" s="1">
        <v>72.210333329999997</v>
      </c>
      <c r="P427" s="1">
        <v>-164.16749999999999</v>
      </c>
      <c r="Q427" s="1">
        <v>4.7271999999999998</v>
      </c>
      <c r="R427" s="1">
        <v>31.172899999999998</v>
      </c>
      <c r="S427" s="1">
        <v>330.91121340000001</v>
      </c>
      <c r="W427" s="3">
        <v>0.29310000000000003</v>
      </c>
      <c r="Y427" s="1">
        <v>0.27800000000000002</v>
      </c>
      <c r="Z427" s="1">
        <v>0.11799999999999999</v>
      </c>
      <c r="AA427" s="1">
        <v>0.65900000000000003</v>
      </c>
      <c r="AB427" s="1">
        <v>3.4</v>
      </c>
      <c r="AC427" s="1">
        <v>0</v>
      </c>
      <c r="AD427" s="1">
        <v>0.02</v>
      </c>
      <c r="AE427" s="1">
        <v>0.14000000000000001</v>
      </c>
      <c r="AF427" s="1">
        <v>0.02</v>
      </c>
      <c r="AH427" s="8" t="s">
        <v>2537</v>
      </c>
      <c r="AI427" s="8">
        <v>11</v>
      </c>
      <c r="AJ427" s="8" t="s">
        <v>2538</v>
      </c>
      <c r="AK427" s="10"/>
      <c r="AM427" s="1" t="s">
        <v>2539</v>
      </c>
      <c r="AT427" s="8" t="s">
        <v>1607</v>
      </c>
    </row>
    <row r="428" spans="1:46">
      <c r="A428" s="1" t="s">
        <v>2540</v>
      </c>
      <c r="C428" s="1" t="s">
        <v>2540</v>
      </c>
      <c r="D428" s="1" t="s">
        <v>2541</v>
      </c>
      <c r="E428" s="1" t="s">
        <v>1394</v>
      </c>
      <c r="F428" s="1" t="s">
        <v>2530</v>
      </c>
      <c r="G428" s="1" t="s">
        <v>456</v>
      </c>
      <c r="H428" s="2" t="s">
        <v>2531</v>
      </c>
      <c r="I428" s="1">
        <v>44</v>
      </c>
      <c r="J428" s="1">
        <v>0.2</v>
      </c>
      <c r="K428" s="1">
        <v>20</v>
      </c>
      <c r="L428" s="1" t="s">
        <v>65</v>
      </c>
      <c r="M428" s="1">
        <v>19.971</v>
      </c>
      <c r="N428" s="1">
        <v>40.4</v>
      </c>
      <c r="O428" s="1">
        <v>72.210333329999997</v>
      </c>
      <c r="P428" s="1">
        <v>-164.16749999999999</v>
      </c>
      <c r="Q428" s="1">
        <v>4.7941500000000001</v>
      </c>
      <c r="R428" s="1">
        <v>31.299099999999999</v>
      </c>
      <c r="S428" s="1">
        <v>329.77235789999997</v>
      </c>
      <c r="W428" s="3">
        <v>0.30969999999999998</v>
      </c>
      <c r="Y428" s="1">
        <v>0.38700000000000001</v>
      </c>
      <c r="Z428" s="1">
        <v>0.123</v>
      </c>
      <c r="AA428" s="1">
        <v>0.59499999999999997</v>
      </c>
      <c r="AB428" s="1">
        <v>2.6</v>
      </c>
      <c r="AC428" s="1">
        <v>0</v>
      </c>
      <c r="AD428" s="1">
        <v>0.01</v>
      </c>
      <c r="AE428" s="1">
        <v>0.11</v>
      </c>
      <c r="AF428" s="1">
        <v>0.01</v>
      </c>
      <c r="AH428" s="8" t="s">
        <v>2542</v>
      </c>
      <c r="AI428" s="8">
        <v>9</v>
      </c>
      <c r="AJ428" s="8" t="s">
        <v>2543</v>
      </c>
      <c r="AK428" s="8">
        <v>2</v>
      </c>
      <c r="AM428" s="1" t="s">
        <v>2544</v>
      </c>
      <c r="AT428" s="8" t="s">
        <v>1607</v>
      </c>
    </row>
    <row r="429" spans="1:46">
      <c r="A429" s="1" t="s">
        <v>2545</v>
      </c>
      <c r="C429" s="1" t="s">
        <v>2545</v>
      </c>
      <c r="D429" s="1" t="s">
        <v>2546</v>
      </c>
      <c r="E429" s="1" t="s">
        <v>1394</v>
      </c>
      <c r="F429" s="1" t="s">
        <v>2530</v>
      </c>
      <c r="G429" s="1" t="s">
        <v>456</v>
      </c>
      <c r="H429" s="2" t="s">
        <v>2531</v>
      </c>
      <c r="I429" s="1">
        <v>44</v>
      </c>
      <c r="J429" s="1">
        <v>0.2</v>
      </c>
      <c r="K429" s="1">
        <v>30</v>
      </c>
      <c r="L429" s="1" t="s">
        <v>65</v>
      </c>
      <c r="M429" s="1">
        <v>29.878</v>
      </c>
      <c r="N429" s="1">
        <v>40.4</v>
      </c>
      <c r="O429" s="1">
        <v>72.210333329999997</v>
      </c>
      <c r="P429" s="1">
        <v>-164.16749999999999</v>
      </c>
      <c r="Q429" s="1">
        <v>5.8577000000000004</v>
      </c>
      <c r="R429" s="1">
        <v>32.029600000000002</v>
      </c>
      <c r="S429" s="1">
        <v>324.85071570000002</v>
      </c>
      <c r="W429" s="3">
        <v>1.1454</v>
      </c>
      <c r="Y429" s="1">
        <v>1.581</v>
      </c>
      <c r="Z429" s="1">
        <v>0.46899999999999997</v>
      </c>
      <c r="AA429" s="1">
        <v>0.502</v>
      </c>
      <c r="AB429" s="1">
        <v>0.2</v>
      </c>
      <c r="AC429" s="1">
        <v>0.1</v>
      </c>
      <c r="AD429" s="1">
        <v>0.03</v>
      </c>
      <c r="AE429" s="1">
        <v>0.08</v>
      </c>
      <c r="AF429" s="1">
        <v>0.13</v>
      </c>
      <c r="AH429" s="8" t="s">
        <v>2547</v>
      </c>
      <c r="AI429" s="8">
        <v>7</v>
      </c>
      <c r="AJ429" s="8" t="s">
        <v>2548</v>
      </c>
      <c r="AK429" s="8">
        <v>2</v>
      </c>
      <c r="AM429" s="1" t="s">
        <v>2549</v>
      </c>
      <c r="AT429" s="8" t="s">
        <v>1607</v>
      </c>
    </row>
    <row r="430" spans="1:46">
      <c r="A430" s="1" t="s">
        <v>2550</v>
      </c>
      <c r="C430" s="1" t="s">
        <v>2550</v>
      </c>
      <c r="D430" s="1" t="s">
        <v>2551</v>
      </c>
      <c r="E430" s="1" t="s">
        <v>1394</v>
      </c>
      <c r="F430" s="1" t="s">
        <v>2530</v>
      </c>
      <c r="G430" s="1" t="s">
        <v>456</v>
      </c>
      <c r="H430" s="2" t="s">
        <v>2531</v>
      </c>
      <c r="I430" s="1">
        <v>44</v>
      </c>
      <c r="J430" s="1">
        <v>0.2</v>
      </c>
      <c r="K430" s="1">
        <v>32</v>
      </c>
      <c r="L430" s="1" t="s">
        <v>78</v>
      </c>
      <c r="M430" s="1">
        <v>33.134999999999998</v>
      </c>
      <c r="N430" s="1">
        <v>40.4</v>
      </c>
      <c r="O430" s="1">
        <v>72.210333329999997</v>
      </c>
      <c r="P430" s="1">
        <v>-164.16749999999999</v>
      </c>
      <c r="Q430" s="1">
        <v>2.6230000000000002</v>
      </c>
      <c r="R430" s="1">
        <v>32.363750000000003</v>
      </c>
      <c r="S430" s="1">
        <v>316.27580369999998</v>
      </c>
      <c r="W430" s="3">
        <v>3.1055000000000001</v>
      </c>
      <c r="Y430" s="1">
        <v>5.78</v>
      </c>
      <c r="Z430" s="1">
        <v>1.3180000000000001</v>
      </c>
      <c r="AA430" s="1">
        <v>1.036</v>
      </c>
      <c r="AB430" s="1">
        <v>1.2</v>
      </c>
      <c r="AC430" s="1">
        <v>2.2999999999999998</v>
      </c>
      <c r="AD430" s="1">
        <v>0.47</v>
      </c>
      <c r="AE430" s="1">
        <v>0.46</v>
      </c>
      <c r="AF430" s="1">
        <v>2.77</v>
      </c>
      <c r="AH430" s="8" t="s">
        <v>2552</v>
      </c>
      <c r="AI430" s="8">
        <v>5</v>
      </c>
      <c r="AJ430" s="8" t="s">
        <v>2553</v>
      </c>
      <c r="AK430" s="8">
        <v>2</v>
      </c>
      <c r="AM430" s="1" t="s">
        <v>2554</v>
      </c>
      <c r="AT430" s="8" t="s">
        <v>1607</v>
      </c>
    </row>
    <row r="431" spans="1:46">
      <c r="A431" s="1" t="s">
        <v>2555</v>
      </c>
      <c r="C431" s="1" t="s">
        <v>2555</v>
      </c>
      <c r="D431" s="1" t="s">
        <v>2556</v>
      </c>
      <c r="E431" s="1" t="s">
        <v>1394</v>
      </c>
      <c r="F431" s="1" t="s">
        <v>2530</v>
      </c>
      <c r="G431" s="1" t="s">
        <v>456</v>
      </c>
      <c r="H431" s="2" t="s">
        <v>2531</v>
      </c>
      <c r="I431" s="1">
        <v>44</v>
      </c>
      <c r="J431" s="1">
        <v>0.2</v>
      </c>
      <c r="K431" s="1">
        <v>38</v>
      </c>
      <c r="L431" s="1" t="s">
        <v>78</v>
      </c>
      <c r="M431" s="1">
        <v>38.505000000000003</v>
      </c>
      <c r="N431" s="1">
        <v>40.4</v>
      </c>
      <c r="O431" s="1">
        <v>72.210333329999997</v>
      </c>
      <c r="P431" s="1">
        <v>-164.16749999999999</v>
      </c>
      <c r="Q431" s="1">
        <v>3.2383999999999999</v>
      </c>
      <c r="R431" s="1">
        <v>32.64725</v>
      </c>
      <c r="S431" s="1">
        <v>253.74147149999999</v>
      </c>
      <c r="W431" s="3">
        <v>0.60799999999999998</v>
      </c>
      <c r="Y431" s="1">
        <v>1.7669999999999999</v>
      </c>
      <c r="Z431" s="1">
        <v>0.66100000000000003</v>
      </c>
      <c r="AA431" s="1">
        <v>1.4890000000000001</v>
      </c>
      <c r="AB431" s="1">
        <v>17.600000000000001</v>
      </c>
      <c r="AC431" s="1">
        <v>3.1</v>
      </c>
      <c r="AD431" s="1">
        <v>0.22</v>
      </c>
      <c r="AE431" s="1">
        <v>4.25</v>
      </c>
      <c r="AF431" s="1">
        <v>3.32</v>
      </c>
      <c r="AH431" s="8" t="s">
        <v>2557</v>
      </c>
      <c r="AI431" s="8">
        <v>3</v>
      </c>
      <c r="AJ431" s="8" t="s">
        <v>2558</v>
      </c>
      <c r="AK431" s="8">
        <v>2</v>
      </c>
      <c r="AM431" s="1" t="s">
        <v>2559</v>
      </c>
      <c r="AT431" s="8" t="s">
        <v>1607</v>
      </c>
    </row>
    <row r="432" spans="1:46">
      <c r="A432" s="1" t="s">
        <v>2560</v>
      </c>
      <c r="C432" s="1" t="s">
        <v>2560</v>
      </c>
      <c r="D432" s="1" t="s">
        <v>2561</v>
      </c>
      <c r="E432" s="1" t="s">
        <v>1466</v>
      </c>
      <c r="F432" s="1" t="s">
        <v>2562</v>
      </c>
      <c r="G432" s="1" t="s">
        <v>456</v>
      </c>
      <c r="H432" s="2" t="s">
        <v>2563</v>
      </c>
      <c r="I432" s="1">
        <v>83</v>
      </c>
      <c r="J432" s="1">
        <v>0.2</v>
      </c>
      <c r="K432" s="1" t="s">
        <v>78</v>
      </c>
      <c r="L432" s="1" t="s">
        <v>78</v>
      </c>
      <c r="M432" s="1">
        <v>13.295</v>
      </c>
      <c r="N432" s="1">
        <v>15</v>
      </c>
      <c r="O432" s="1">
        <v>69.344399999999993</v>
      </c>
      <c r="P432" s="1">
        <v>-163.5094</v>
      </c>
      <c r="Q432" s="1">
        <v>8.9543499999999998</v>
      </c>
      <c r="R432" s="1">
        <v>30.081250000000001</v>
      </c>
      <c r="S432" s="1">
        <v>259.16899999999998</v>
      </c>
      <c r="W432" s="3">
        <v>1.8939999999999999</v>
      </c>
      <c r="X432" s="1" t="s">
        <v>1104</v>
      </c>
      <c r="Y432" s="1">
        <v>1.9</v>
      </c>
      <c r="AA432" s="1">
        <v>0.66</v>
      </c>
      <c r="AB432" s="1">
        <v>8.94</v>
      </c>
      <c r="AE432" s="1">
        <v>0.21</v>
      </c>
      <c r="AF432" s="1">
        <v>0.19</v>
      </c>
      <c r="AI432" s="1">
        <v>1</v>
      </c>
      <c r="AJ432" s="1" t="s">
        <v>1104</v>
      </c>
      <c r="AK432" s="1">
        <v>1.6</v>
      </c>
      <c r="AL432" s="1">
        <v>58.229300000000002</v>
      </c>
      <c r="AM432" s="1" t="s">
        <v>1104</v>
      </c>
      <c r="AP432" s="1" t="s">
        <v>2564</v>
      </c>
      <c r="AR432" s="1">
        <v>11.04</v>
      </c>
      <c r="AT432" s="1">
        <v>12</v>
      </c>
    </row>
    <row r="433" spans="1:46">
      <c r="A433" s="1" t="s">
        <v>2565</v>
      </c>
      <c r="C433" s="1" t="s">
        <v>2565</v>
      </c>
      <c r="D433" s="1" t="s">
        <v>2566</v>
      </c>
      <c r="E433" s="1" t="s">
        <v>1466</v>
      </c>
      <c r="F433" s="1" t="s">
        <v>2562</v>
      </c>
      <c r="G433" s="1" t="s">
        <v>456</v>
      </c>
      <c r="H433" s="2" t="s">
        <v>2563</v>
      </c>
      <c r="I433" s="1">
        <v>83</v>
      </c>
      <c r="J433" s="1">
        <v>0.2</v>
      </c>
      <c r="K433" s="1" t="s">
        <v>78</v>
      </c>
      <c r="L433" s="1" t="s">
        <v>78</v>
      </c>
      <c r="M433" s="1">
        <v>13.295</v>
      </c>
      <c r="N433" s="1">
        <v>15</v>
      </c>
      <c r="O433" s="1">
        <v>69.344399999999993</v>
      </c>
      <c r="P433" s="1">
        <v>-163.5094</v>
      </c>
      <c r="Q433" s="1">
        <v>8.9543499999999998</v>
      </c>
      <c r="R433" s="1">
        <v>30.081250000000001</v>
      </c>
      <c r="S433" s="1">
        <v>259.16899999999998</v>
      </c>
      <c r="W433" s="3">
        <v>1.8939999999999999</v>
      </c>
      <c r="X433" s="1" t="s">
        <v>1104</v>
      </c>
      <c r="Y433" s="1">
        <v>1.9</v>
      </c>
      <c r="AA433" s="1">
        <v>0.66</v>
      </c>
      <c r="AB433" s="1">
        <v>8.94</v>
      </c>
      <c r="AE433" s="1">
        <v>0.21</v>
      </c>
      <c r="AF433" s="1">
        <v>0.19</v>
      </c>
      <c r="AI433" s="1">
        <v>1</v>
      </c>
      <c r="AJ433" s="1" t="s">
        <v>1104</v>
      </c>
      <c r="AK433" s="1">
        <v>1.6</v>
      </c>
      <c r="AL433" s="1">
        <v>58.229300000000002</v>
      </c>
      <c r="AM433" s="1" t="s">
        <v>1104</v>
      </c>
      <c r="AP433" s="1" t="s">
        <v>2564</v>
      </c>
      <c r="AR433" s="1">
        <v>11.04</v>
      </c>
      <c r="AT433" s="1">
        <v>12</v>
      </c>
    </row>
    <row r="434" spans="1:46">
      <c r="A434" s="1" t="s">
        <v>2567</v>
      </c>
      <c r="C434" s="1" t="s">
        <v>2567</v>
      </c>
      <c r="D434" s="1" t="s">
        <v>2568</v>
      </c>
      <c r="E434" s="1" t="s">
        <v>1466</v>
      </c>
      <c r="F434" s="1" t="s">
        <v>2562</v>
      </c>
      <c r="G434" s="1" t="s">
        <v>456</v>
      </c>
      <c r="H434" s="2" t="s">
        <v>2563</v>
      </c>
      <c r="I434" s="1">
        <v>83</v>
      </c>
      <c r="J434" s="1">
        <v>0.2</v>
      </c>
      <c r="K434" s="1" t="s">
        <v>78</v>
      </c>
      <c r="L434" s="1" t="s">
        <v>78</v>
      </c>
      <c r="M434" s="1">
        <v>13.295</v>
      </c>
      <c r="N434" s="1">
        <v>15</v>
      </c>
      <c r="O434" s="1">
        <v>69.344399999999993</v>
      </c>
      <c r="P434" s="1">
        <v>-163.5094</v>
      </c>
      <c r="Q434" s="1">
        <v>8.9543499999999998</v>
      </c>
      <c r="R434" s="1">
        <v>30.081250000000001</v>
      </c>
      <c r="S434" s="1">
        <v>259.16899999999998</v>
      </c>
      <c r="W434" s="3">
        <v>1.8939999999999999</v>
      </c>
      <c r="X434" s="1" t="s">
        <v>1104</v>
      </c>
      <c r="Y434" s="1">
        <v>1.9</v>
      </c>
      <c r="AA434" s="1">
        <v>0.66</v>
      </c>
      <c r="AB434" s="1">
        <v>8.94</v>
      </c>
      <c r="AE434" s="1">
        <v>0.21</v>
      </c>
      <c r="AF434" s="1">
        <v>0.19</v>
      </c>
      <c r="AI434" s="1">
        <v>1</v>
      </c>
      <c r="AJ434" s="1" t="s">
        <v>1104</v>
      </c>
      <c r="AK434" s="1">
        <v>1.6</v>
      </c>
      <c r="AL434" s="1">
        <v>58.229300000000002</v>
      </c>
      <c r="AM434" s="1" t="s">
        <v>1104</v>
      </c>
      <c r="AP434" s="1" t="s">
        <v>2564</v>
      </c>
      <c r="AR434" s="1">
        <v>11.04</v>
      </c>
      <c r="AT434" s="1">
        <v>12</v>
      </c>
    </row>
    <row r="435" spans="1:46">
      <c r="A435" s="1" t="s">
        <v>2569</v>
      </c>
      <c r="C435" s="1" t="s">
        <v>2569</v>
      </c>
      <c r="D435" s="1" t="s">
        <v>2570</v>
      </c>
      <c r="E435" s="1" t="s">
        <v>1466</v>
      </c>
      <c r="F435" s="1" t="s">
        <v>2571</v>
      </c>
      <c r="G435" s="1" t="s">
        <v>456</v>
      </c>
      <c r="H435" s="2" t="s">
        <v>2572</v>
      </c>
      <c r="I435" s="1">
        <v>93</v>
      </c>
      <c r="J435" s="1">
        <v>0.2</v>
      </c>
      <c r="K435" s="1" t="s">
        <v>52</v>
      </c>
      <c r="L435" s="1" t="s">
        <v>52</v>
      </c>
      <c r="M435" s="1">
        <v>4.8129999999999997</v>
      </c>
      <c r="N435" s="1">
        <v>49</v>
      </c>
      <c r="O435" s="1">
        <v>70.280720000000002</v>
      </c>
      <c r="P435" s="1">
        <v>-167.81484</v>
      </c>
      <c r="Q435" s="1">
        <v>6.6544999999999996</v>
      </c>
      <c r="R435" s="1">
        <v>32.028950000000002</v>
      </c>
      <c r="S435" s="1">
        <v>291.66500000000002</v>
      </c>
      <c r="W435" s="3">
        <v>0.64500000000000002</v>
      </c>
      <c r="X435" s="1" t="s">
        <v>2573</v>
      </c>
      <c r="Y435" s="1">
        <v>0.92</v>
      </c>
      <c r="AA435" s="1">
        <v>0.3</v>
      </c>
      <c r="AB435" s="1">
        <v>1.78</v>
      </c>
      <c r="AE435" s="1">
        <v>0.24</v>
      </c>
      <c r="AF435" s="1">
        <v>0.4</v>
      </c>
      <c r="AI435" s="1">
        <v>11</v>
      </c>
      <c r="AJ435" s="1" t="s">
        <v>2573</v>
      </c>
      <c r="AK435" s="1">
        <v>3</v>
      </c>
      <c r="AL435" s="1">
        <v>93.570599999999999</v>
      </c>
      <c r="AM435" s="1" t="s">
        <v>2573</v>
      </c>
      <c r="AP435" s="1" t="s">
        <v>2574</v>
      </c>
      <c r="AR435" s="1">
        <v>37.69</v>
      </c>
      <c r="AT435" s="1">
        <v>5</v>
      </c>
    </row>
    <row r="436" spans="1:46">
      <c r="A436" s="1" t="s">
        <v>2575</v>
      </c>
      <c r="C436" s="1" t="s">
        <v>2575</v>
      </c>
      <c r="D436" s="1" t="s">
        <v>2576</v>
      </c>
      <c r="E436" s="1" t="s">
        <v>1466</v>
      </c>
      <c r="F436" s="1" t="s">
        <v>2571</v>
      </c>
      <c r="G436" s="1" t="s">
        <v>456</v>
      </c>
      <c r="H436" s="2" t="s">
        <v>2577</v>
      </c>
      <c r="I436" s="1">
        <v>93</v>
      </c>
      <c r="J436" s="1">
        <v>0.2</v>
      </c>
      <c r="K436" s="1" t="s">
        <v>1488</v>
      </c>
      <c r="L436" s="1" t="s">
        <v>65</v>
      </c>
      <c r="M436" s="1">
        <v>30.402999999999999</v>
      </c>
      <c r="N436" s="1">
        <v>49</v>
      </c>
      <c r="O436" s="1">
        <v>70.280820000000006</v>
      </c>
      <c r="P436" s="1">
        <v>-167.81518</v>
      </c>
      <c r="Q436" s="1">
        <v>1.5520499999999999</v>
      </c>
      <c r="R436" s="1">
        <v>32.359850000000002</v>
      </c>
      <c r="S436" s="1">
        <v>298.90199999999999</v>
      </c>
      <c r="W436" s="3">
        <v>0.84899999999999998</v>
      </c>
      <c r="X436" s="1" t="s">
        <v>1198</v>
      </c>
      <c r="Y436" s="1">
        <v>1.4</v>
      </c>
      <c r="AA436" s="1">
        <v>1.04</v>
      </c>
      <c r="AB436" s="1">
        <v>8.98</v>
      </c>
      <c r="AE436" s="1">
        <v>2.39</v>
      </c>
      <c r="AF436" s="1">
        <v>2</v>
      </c>
      <c r="AI436" s="1">
        <v>5</v>
      </c>
      <c r="AJ436" s="1" t="s">
        <v>1198</v>
      </c>
      <c r="AK436" s="1">
        <v>3</v>
      </c>
      <c r="AL436" s="1">
        <v>85.124300000000005</v>
      </c>
      <c r="AM436" s="1" t="s">
        <v>1198</v>
      </c>
      <c r="AP436" s="1" t="s">
        <v>2578</v>
      </c>
      <c r="AR436" s="1">
        <v>37.69</v>
      </c>
      <c r="AS436" s="1" t="s">
        <v>2579</v>
      </c>
      <c r="AT436" s="1">
        <v>30</v>
      </c>
    </row>
    <row r="437" spans="1:46">
      <c r="A437" s="1" t="s">
        <v>2580</v>
      </c>
      <c r="C437" s="1" t="s">
        <v>2580</v>
      </c>
      <c r="D437" s="1" t="s">
        <v>2581</v>
      </c>
      <c r="E437" s="1" t="s">
        <v>1466</v>
      </c>
      <c r="F437" s="1" t="s">
        <v>2571</v>
      </c>
      <c r="G437" s="1" t="s">
        <v>456</v>
      </c>
      <c r="H437" s="2" t="s">
        <v>2582</v>
      </c>
      <c r="I437" s="1">
        <v>93</v>
      </c>
      <c r="J437" s="1">
        <v>0.2</v>
      </c>
      <c r="L437" s="1" t="s">
        <v>78</v>
      </c>
      <c r="M437" s="1">
        <v>40.386000000000003</v>
      </c>
      <c r="N437" s="1">
        <v>49</v>
      </c>
      <c r="O437" s="1">
        <v>70.280820000000006</v>
      </c>
      <c r="P437" s="1">
        <v>-167.8152</v>
      </c>
      <c r="Q437" s="1">
        <v>1.6670499999999999</v>
      </c>
      <c r="R437" s="1">
        <v>32.500549999999997</v>
      </c>
      <c r="S437" s="1">
        <v>276.17</v>
      </c>
      <c r="W437" s="3">
        <v>0.47299999999999998</v>
      </c>
      <c r="X437" s="1" t="s">
        <v>1202</v>
      </c>
      <c r="Y437" s="1">
        <v>0.83</v>
      </c>
      <c r="AA437" s="1">
        <v>1.34</v>
      </c>
      <c r="AB437" s="1">
        <v>11.36</v>
      </c>
      <c r="AE437" s="1">
        <v>5.7</v>
      </c>
      <c r="AF437" s="1">
        <v>3.69</v>
      </c>
      <c r="AI437" s="1">
        <v>3</v>
      </c>
      <c r="AJ437" s="1" t="s">
        <v>1202</v>
      </c>
      <c r="AK437" s="1">
        <v>3</v>
      </c>
      <c r="AL437" s="1">
        <v>79.170599999999993</v>
      </c>
      <c r="AM437" s="1" t="s">
        <v>1202</v>
      </c>
      <c r="AP437" s="1" t="s">
        <v>2583</v>
      </c>
      <c r="AR437" s="1">
        <v>37.69</v>
      </c>
      <c r="AT437" s="1">
        <v>40</v>
      </c>
    </row>
    <row r="438" spans="1:46">
      <c r="A438" s="1" t="s">
        <v>2584</v>
      </c>
      <c r="C438" s="1" t="s">
        <v>2584</v>
      </c>
      <c r="D438" s="1" t="s">
        <v>2585</v>
      </c>
      <c r="E438" s="1" t="s">
        <v>1466</v>
      </c>
      <c r="F438" s="1" t="s">
        <v>2571</v>
      </c>
      <c r="G438" s="1" t="s">
        <v>456</v>
      </c>
      <c r="H438" s="2" t="s">
        <v>2586</v>
      </c>
      <c r="I438" s="1">
        <v>93</v>
      </c>
      <c r="J438" s="1">
        <v>0.2</v>
      </c>
      <c r="K438" s="1" t="s">
        <v>78</v>
      </c>
      <c r="L438" s="1" t="s">
        <v>78</v>
      </c>
      <c r="M438" s="1">
        <v>45.744</v>
      </c>
      <c r="N438" s="1">
        <v>49</v>
      </c>
      <c r="O438" s="1">
        <v>70.280860000000004</v>
      </c>
      <c r="P438" s="1">
        <v>-167.81523999999999</v>
      </c>
      <c r="Q438" s="1">
        <v>1.67635</v>
      </c>
      <c r="R438" s="1">
        <v>32.502549999999999</v>
      </c>
      <c r="S438" s="1">
        <v>276.21850000000001</v>
      </c>
      <c r="W438" s="3">
        <v>0.51900000000000002</v>
      </c>
      <c r="X438" s="1" t="s">
        <v>1206</v>
      </c>
      <c r="Y438" s="1">
        <v>0.93</v>
      </c>
      <c r="AA438" s="1">
        <v>1.41</v>
      </c>
      <c r="AB438" s="1">
        <v>13.18</v>
      </c>
      <c r="AE438" s="1">
        <v>3.25</v>
      </c>
      <c r="AF438" s="1">
        <v>3.84</v>
      </c>
      <c r="AI438" s="1">
        <v>1</v>
      </c>
      <c r="AJ438" s="1" t="s">
        <v>1206</v>
      </c>
      <c r="AK438" s="1">
        <v>3</v>
      </c>
      <c r="AL438" s="1">
        <v>78.722499999999997</v>
      </c>
      <c r="AM438" s="1" t="s">
        <v>1206</v>
      </c>
      <c r="AP438" s="1" t="s">
        <v>2587</v>
      </c>
      <c r="AR438" s="1">
        <v>37.69</v>
      </c>
      <c r="AT438" s="1">
        <v>46</v>
      </c>
    </row>
    <row r="439" spans="1:46">
      <c r="A439" s="1" t="s">
        <v>2588</v>
      </c>
      <c r="C439" s="1" t="s">
        <v>2588</v>
      </c>
      <c r="D439" s="1" t="s">
        <v>2589</v>
      </c>
      <c r="E439" s="1" t="s">
        <v>1466</v>
      </c>
      <c r="F439" s="1" t="s">
        <v>2590</v>
      </c>
      <c r="G439" s="1" t="s">
        <v>456</v>
      </c>
      <c r="H439" s="2" t="s">
        <v>2591</v>
      </c>
      <c r="I439" s="1">
        <v>94</v>
      </c>
      <c r="J439" s="1">
        <v>0.2</v>
      </c>
      <c r="K439" s="1" t="s">
        <v>52</v>
      </c>
      <c r="L439" s="1" t="s">
        <v>52</v>
      </c>
      <c r="M439" s="1">
        <v>6.0179999999999998</v>
      </c>
      <c r="N439" s="1">
        <v>46</v>
      </c>
      <c r="O439" s="1">
        <v>70.368179999999995</v>
      </c>
      <c r="P439" s="1">
        <v>-168.28314</v>
      </c>
      <c r="Q439" s="1">
        <v>6.8049499999999998</v>
      </c>
      <c r="R439" s="1">
        <v>31.960850000000001</v>
      </c>
      <c r="S439" s="1">
        <v>290.625</v>
      </c>
      <c r="W439" s="3">
        <v>0.48799999999999999</v>
      </c>
      <c r="X439" s="1" t="s">
        <v>2592</v>
      </c>
      <c r="Y439" s="1">
        <v>0.73</v>
      </c>
      <c r="AA439" s="1">
        <v>0.26</v>
      </c>
      <c r="AB439" s="1">
        <v>5.99</v>
      </c>
      <c r="AE439" s="1">
        <v>3.24</v>
      </c>
      <c r="AF439" s="1">
        <v>1.32</v>
      </c>
      <c r="AI439" s="1">
        <v>9</v>
      </c>
      <c r="AJ439" s="1" t="s">
        <v>2592</v>
      </c>
      <c r="AK439" s="1">
        <v>2</v>
      </c>
      <c r="AL439" s="1">
        <v>93.950500000000005</v>
      </c>
      <c r="AM439" s="1" t="s">
        <v>2592</v>
      </c>
      <c r="AP439" s="1" t="s">
        <v>2593</v>
      </c>
      <c r="AR439" s="1">
        <v>29.94</v>
      </c>
      <c r="AT439" s="1">
        <v>6</v>
      </c>
    </row>
    <row r="440" spans="1:46">
      <c r="A440" s="1" t="s">
        <v>2594</v>
      </c>
      <c r="C440" s="1" t="s">
        <v>2594</v>
      </c>
      <c r="D440" s="1" t="s">
        <v>2595</v>
      </c>
      <c r="E440" s="1" t="s">
        <v>1466</v>
      </c>
      <c r="F440" s="1" t="s">
        <v>2590</v>
      </c>
      <c r="G440" s="1" t="s">
        <v>456</v>
      </c>
      <c r="H440" s="2" t="s">
        <v>2596</v>
      </c>
      <c r="I440" s="1">
        <v>94</v>
      </c>
      <c r="J440" s="1">
        <v>0.2</v>
      </c>
      <c r="L440" s="1" t="s">
        <v>65</v>
      </c>
      <c r="M440" s="1">
        <v>20.946999999999999</v>
      </c>
      <c r="N440" s="1">
        <v>46</v>
      </c>
      <c r="O440" s="1">
        <v>70.368669999999995</v>
      </c>
      <c r="P440" s="1">
        <v>-168.28203999999999</v>
      </c>
      <c r="Q440" s="1">
        <v>6.7498500000000003</v>
      </c>
      <c r="R440" s="1">
        <v>32.012050000000002</v>
      </c>
      <c r="S440" s="1">
        <v>289.76799999999997</v>
      </c>
      <c r="W440" s="3">
        <v>0.76100000000000001</v>
      </c>
      <c r="X440" s="1" t="s">
        <v>2597</v>
      </c>
      <c r="Y440" s="1">
        <v>0.88</v>
      </c>
      <c r="AA440" s="1">
        <v>0.27</v>
      </c>
      <c r="AB440" s="1">
        <v>1.78</v>
      </c>
      <c r="AE440" s="1">
        <v>1.97</v>
      </c>
      <c r="AF440" s="1">
        <v>0.31</v>
      </c>
      <c r="AI440" s="1">
        <v>5</v>
      </c>
      <c r="AJ440" s="1" t="s">
        <v>2597</v>
      </c>
      <c r="AK440" s="1">
        <v>2</v>
      </c>
      <c r="AL440" s="1">
        <v>93.869600000000005</v>
      </c>
      <c r="AM440" s="1" t="s">
        <v>2597</v>
      </c>
      <c r="AP440" s="1" t="s">
        <v>2598</v>
      </c>
      <c r="AR440" s="1">
        <v>29.94</v>
      </c>
      <c r="AT440" s="1">
        <v>20</v>
      </c>
    </row>
    <row r="441" spans="1:46">
      <c r="A441" s="1" t="s">
        <v>2599</v>
      </c>
      <c r="C441" s="1" t="s">
        <v>2599</v>
      </c>
      <c r="D441" s="1" t="s">
        <v>2600</v>
      </c>
      <c r="E441" s="1" t="s">
        <v>1466</v>
      </c>
      <c r="F441" s="1" t="s">
        <v>2590</v>
      </c>
      <c r="G441" s="1" t="s">
        <v>456</v>
      </c>
      <c r="H441" s="2" t="s">
        <v>2601</v>
      </c>
      <c r="I441" s="1">
        <v>94</v>
      </c>
      <c r="J441" s="1">
        <v>0.2</v>
      </c>
      <c r="K441" s="1" t="s">
        <v>1488</v>
      </c>
      <c r="L441" s="1" t="s">
        <v>65</v>
      </c>
      <c r="M441" s="1">
        <v>30.231999999999999</v>
      </c>
      <c r="N441" s="1">
        <v>46</v>
      </c>
      <c r="O441" s="1">
        <v>70.368819999999999</v>
      </c>
      <c r="P441" s="1">
        <v>-168.28165999999999</v>
      </c>
      <c r="Q441" s="1">
        <v>1.7083999999999999</v>
      </c>
      <c r="R441" s="1">
        <v>32.234250000000003</v>
      </c>
      <c r="S441" s="1">
        <v>305.85000000000002</v>
      </c>
      <c r="W441" s="3">
        <v>3.29</v>
      </c>
      <c r="X441" s="1" t="s">
        <v>2602</v>
      </c>
      <c r="Y441" s="1">
        <v>4.08</v>
      </c>
      <c r="AA441" s="1">
        <v>0.93</v>
      </c>
      <c r="AB441" s="1">
        <v>9.75</v>
      </c>
      <c r="AE441" s="1">
        <v>1.38</v>
      </c>
      <c r="AF441" s="1">
        <v>0.5</v>
      </c>
      <c r="AI441" s="1">
        <v>3</v>
      </c>
      <c r="AJ441" s="1" t="s">
        <v>2602</v>
      </c>
      <c r="AK441" s="1">
        <v>2</v>
      </c>
      <c r="AL441" s="1">
        <v>78.875200000000007</v>
      </c>
      <c r="AM441" s="1" t="s">
        <v>2602</v>
      </c>
      <c r="AP441" s="1" t="s">
        <v>2603</v>
      </c>
      <c r="AR441" s="1">
        <v>29.94</v>
      </c>
      <c r="AT441" s="1">
        <v>30</v>
      </c>
    </row>
    <row r="442" spans="1:46">
      <c r="A442" s="1" t="s">
        <v>2604</v>
      </c>
      <c r="C442" s="1" t="s">
        <v>2604</v>
      </c>
      <c r="D442" s="1" t="s">
        <v>2605</v>
      </c>
      <c r="E442" s="1" t="s">
        <v>1466</v>
      </c>
      <c r="F442" s="1" t="s">
        <v>2590</v>
      </c>
      <c r="G442" s="1" t="s">
        <v>456</v>
      </c>
      <c r="H442" s="2" t="s">
        <v>2606</v>
      </c>
      <c r="I442" s="1">
        <v>94</v>
      </c>
      <c r="J442" s="1">
        <v>0.2</v>
      </c>
      <c r="K442" s="1" t="s">
        <v>78</v>
      </c>
      <c r="L442" s="1" t="s">
        <v>78</v>
      </c>
      <c r="M442" s="1">
        <v>43.713000000000001</v>
      </c>
      <c r="N442" s="1">
        <v>46</v>
      </c>
      <c r="O442" s="1">
        <v>70.369039999999998</v>
      </c>
      <c r="P442" s="1">
        <v>-168.28133</v>
      </c>
      <c r="Q442" s="1">
        <v>1.4942</v>
      </c>
      <c r="R442" s="1">
        <v>32.347900000000003</v>
      </c>
      <c r="S442" s="1">
        <v>270.56549999999999</v>
      </c>
      <c r="W442" s="3">
        <v>0.85</v>
      </c>
      <c r="X442" s="1" t="s">
        <v>2607</v>
      </c>
      <c r="Y442" s="1">
        <v>1.76</v>
      </c>
      <c r="AA442" s="1">
        <v>1.27</v>
      </c>
      <c r="AB442" s="1">
        <v>17.54</v>
      </c>
      <c r="AE442" s="1">
        <v>3.34</v>
      </c>
      <c r="AF442" s="1">
        <v>2.29</v>
      </c>
      <c r="AI442" s="1">
        <v>1</v>
      </c>
      <c r="AJ442" s="1" t="s">
        <v>2607</v>
      </c>
      <c r="AK442" s="1">
        <v>2</v>
      </c>
      <c r="AL442" s="1">
        <v>68.587900000000005</v>
      </c>
      <c r="AM442" s="1" t="s">
        <v>2607</v>
      </c>
      <c r="AP442" s="1" t="s">
        <v>2608</v>
      </c>
      <c r="AR442" s="1">
        <v>29.94</v>
      </c>
      <c r="AT442" s="1">
        <v>44</v>
      </c>
    </row>
    <row r="443" spans="1:46">
      <c r="A443" s="1" t="s">
        <v>2609</v>
      </c>
      <c r="C443" s="1" t="s">
        <v>2609</v>
      </c>
      <c r="D443" s="1" t="s">
        <v>2610</v>
      </c>
      <c r="E443" s="1" t="s">
        <v>1466</v>
      </c>
      <c r="F443" s="1" t="s">
        <v>2611</v>
      </c>
      <c r="G443" s="1" t="s">
        <v>456</v>
      </c>
      <c r="H443" s="2" t="s">
        <v>2612</v>
      </c>
      <c r="I443" s="1">
        <v>89</v>
      </c>
      <c r="J443" s="1">
        <v>0.2</v>
      </c>
      <c r="K443" s="1" t="s">
        <v>52</v>
      </c>
      <c r="L443" s="1" t="s">
        <v>52</v>
      </c>
      <c r="M443" s="1">
        <v>4.8490000000000002</v>
      </c>
      <c r="N443" s="1">
        <v>45</v>
      </c>
      <c r="O443" s="1">
        <v>69.917169999999999</v>
      </c>
      <c r="P443" s="1">
        <v>-166.05588</v>
      </c>
      <c r="Q443" s="1">
        <v>8.4422499999999996</v>
      </c>
      <c r="R443" s="1">
        <v>31.282699999999998</v>
      </c>
      <c r="S443" s="1">
        <v>282.42599999999999</v>
      </c>
      <c r="T443" s="1">
        <v>151.30933469999999</v>
      </c>
      <c r="U443" s="1">
        <v>22.041313540000001</v>
      </c>
      <c r="V443" s="1">
        <v>5533.3333329999996</v>
      </c>
      <c r="W443" s="3">
        <v>1.252</v>
      </c>
      <c r="X443" s="1" t="s">
        <v>2613</v>
      </c>
      <c r="Y443" s="1">
        <v>1.27</v>
      </c>
      <c r="AA443" s="1">
        <v>0.56000000000000005</v>
      </c>
      <c r="AB443" s="1">
        <v>1.78</v>
      </c>
      <c r="AE443" s="1">
        <v>0.44</v>
      </c>
      <c r="AF443" s="1">
        <v>1.21</v>
      </c>
      <c r="AI443" s="1">
        <v>9</v>
      </c>
      <c r="AJ443" s="1" t="s">
        <v>2613</v>
      </c>
      <c r="AL443" s="1">
        <v>85.967600000000004</v>
      </c>
      <c r="AM443" s="1" t="s">
        <v>2613</v>
      </c>
      <c r="AN443" s="1">
        <v>6.8648056943343096</v>
      </c>
      <c r="AO443" s="1">
        <v>1.03619708593725</v>
      </c>
      <c r="AP443" s="1" t="s">
        <v>2614</v>
      </c>
      <c r="AR443" s="1">
        <v>21.92</v>
      </c>
      <c r="AS443" s="1" t="s">
        <v>2615</v>
      </c>
      <c r="AT443" s="1">
        <v>5</v>
      </c>
    </row>
    <row r="444" spans="1:46">
      <c r="A444" s="1" t="s">
        <v>2616</v>
      </c>
      <c r="C444" s="1" t="s">
        <v>2616</v>
      </c>
      <c r="D444" s="1" t="s">
        <v>2617</v>
      </c>
      <c r="E444" s="1" t="s">
        <v>1466</v>
      </c>
      <c r="F444" s="1" t="s">
        <v>2611</v>
      </c>
      <c r="G444" s="1" t="s">
        <v>456</v>
      </c>
      <c r="H444" s="2" t="s">
        <v>2618</v>
      </c>
      <c r="I444" s="1">
        <v>89</v>
      </c>
      <c r="J444" s="1">
        <v>0.2</v>
      </c>
      <c r="L444" s="1" t="s">
        <v>65</v>
      </c>
      <c r="M444" s="1">
        <v>10.441000000000001</v>
      </c>
      <c r="N444" s="1">
        <v>45</v>
      </c>
      <c r="O444" s="1">
        <v>69.917000000000002</v>
      </c>
      <c r="P444" s="1">
        <v>-166.05575999999999</v>
      </c>
      <c r="Q444" s="1">
        <v>8.4352</v>
      </c>
      <c r="R444" s="1">
        <v>31.286300000000001</v>
      </c>
      <c r="S444" s="1">
        <v>281.488</v>
      </c>
      <c r="W444" s="3">
        <v>1.1819999999999999</v>
      </c>
      <c r="X444" s="1" t="s">
        <v>2619</v>
      </c>
      <c r="Y444" s="1">
        <v>1.2</v>
      </c>
      <c r="AA444" s="1">
        <v>0.43</v>
      </c>
      <c r="AB444" s="1">
        <v>3.82</v>
      </c>
      <c r="AE444" s="1">
        <v>0.23</v>
      </c>
      <c r="AF444" s="1">
        <v>0.72</v>
      </c>
      <c r="AI444" s="1">
        <v>7</v>
      </c>
      <c r="AJ444" s="1" t="s">
        <v>2619</v>
      </c>
      <c r="AL444" s="1">
        <v>86.047899999999998</v>
      </c>
      <c r="AM444" s="1" t="s">
        <v>2619</v>
      </c>
      <c r="AP444" s="1" t="s">
        <v>2620</v>
      </c>
      <c r="AR444" s="1">
        <v>21.92</v>
      </c>
      <c r="AT444" s="1">
        <v>10</v>
      </c>
    </row>
    <row r="445" spans="1:46">
      <c r="A445" s="1" t="s">
        <v>2621</v>
      </c>
      <c r="C445" s="1" t="s">
        <v>2621</v>
      </c>
      <c r="D445" s="1" t="s">
        <v>2622</v>
      </c>
      <c r="E445" s="1" t="s">
        <v>1466</v>
      </c>
      <c r="F445" s="1" t="s">
        <v>2611</v>
      </c>
      <c r="G445" s="1" t="s">
        <v>456</v>
      </c>
      <c r="H445" s="2" t="s">
        <v>2623</v>
      </c>
      <c r="I445" s="1">
        <v>89</v>
      </c>
      <c r="J445" s="1">
        <v>0.2</v>
      </c>
      <c r="L445" s="1" t="s">
        <v>65</v>
      </c>
      <c r="M445" s="1">
        <v>20.355</v>
      </c>
      <c r="N445" s="1">
        <v>45</v>
      </c>
      <c r="O445" s="1">
        <v>69.917119999999997</v>
      </c>
      <c r="P445" s="1">
        <v>-166.05572000000001</v>
      </c>
      <c r="Q445" s="1">
        <v>7.9113499999999997</v>
      </c>
      <c r="R445" s="1">
        <v>31.730350000000001</v>
      </c>
      <c r="S445" s="1">
        <v>279.887</v>
      </c>
      <c r="W445" s="3">
        <v>1.915</v>
      </c>
      <c r="X445" s="1" t="s">
        <v>2624</v>
      </c>
      <c r="Y445" s="1">
        <v>3.91</v>
      </c>
      <c r="AA445" s="1">
        <v>0.47</v>
      </c>
      <c r="AB445" s="1">
        <v>3.68</v>
      </c>
      <c r="AE445" s="1">
        <v>0.62</v>
      </c>
      <c r="AF445" s="1">
        <v>0.62</v>
      </c>
      <c r="AI445" s="1">
        <v>5</v>
      </c>
      <c r="AJ445" s="1" t="s">
        <v>2624</v>
      </c>
      <c r="AL445" s="1">
        <v>88.632999999999996</v>
      </c>
      <c r="AM445" s="1" t="s">
        <v>2624</v>
      </c>
      <c r="AP445" s="1" t="s">
        <v>2625</v>
      </c>
      <c r="AR445" s="1">
        <v>21.92</v>
      </c>
      <c r="AT445" s="1">
        <v>20</v>
      </c>
    </row>
    <row r="446" spans="1:46">
      <c r="A446" s="1" t="s">
        <v>2626</v>
      </c>
      <c r="C446" s="1" t="s">
        <v>2626</v>
      </c>
      <c r="D446" s="1" t="s">
        <v>2622</v>
      </c>
      <c r="E446" s="1" t="s">
        <v>1466</v>
      </c>
      <c r="F446" s="1" t="s">
        <v>2611</v>
      </c>
      <c r="G446" s="1" t="s">
        <v>456</v>
      </c>
      <c r="H446" s="2" t="s">
        <v>2623</v>
      </c>
      <c r="I446" s="1">
        <v>89</v>
      </c>
      <c r="J446" s="1">
        <v>0.2</v>
      </c>
      <c r="L446" s="1" t="s">
        <v>65</v>
      </c>
      <c r="M446" s="1">
        <v>20.355</v>
      </c>
      <c r="N446" s="1">
        <v>45</v>
      </c>
      <c r="O446" s="1">
        <v>69.917119999999997</v>
      </c>
      <c r="P446" s="1">
        <v>-166.05572000000001</v>
      </c>
      <c r="Q446" s="1">
        <v>7.9113499999999997</v>
      </c>
      <c r="R446" s="1">
        <v>31.730350000000001</v>
      </c>
      <c r="S446" s="1">
        <v>279.887</v>
      </c>
      <c r="W446" s="3">
        <v>1.915</v>
      </c>
      <c r="X446" s="1" t="s">
        <v>2624</v>
      </c>
      <c r="Y446" s="1">
        <v>3.91</v>
      </c>
      <c r="AA446" s="1">
        <v>0.47</v>
      </c>
      <c r="AB446" s="1">
        <v>3.68</v>
      </c>
      <c r="AE446" s="1">
        <v>0.62</v>
      </c>
      <c r="AF446" s="1">
        <v>0.62</v>
      </c>
      <c r="AI446" s="1">
        <v>5</v>
      </c>
      <c r="AJ446" s="1" t="s">
        <v>2624</v>
      </c>
      <c r="AL446" s="1">
        <v>88.632999999999996</v>
      </c>
      <c r="AM446" s="1" t="s">
        <v>2624</v>
      </c>
      <c r="AP446" s="1" t="s">
        <v>2625</v>
      </c>
      <c r="AR446" s="1">
        <v>21.92</v>
      </c>
      <c r="AT446" s="1">
        <v>20</v>
      </c>
    </row>
    <row r="447" spans="1:46">
      <c r="A447" s="1" t="s">
        <v>2627</v>
      </c>
      <c r="C447" s="1" t="s">
        <v>2627</v>
      </c>
      <c r="D447" s="1" t="s">
        <v>2628</v>
      </c>
      <c r="E447" s="1" t="s">
        <v>1466</v>
      </c>
      <c r="F447" s="1" t="s">
        <v>2611</v>
      </c>
      <c r="G447" s="1" t="s">
        <v>456</v>
      </c>
      <c r="H447" s="2" t="s">
        <v>2629</v>
      </c>
      <c r="I447" s="1">
        <v>89</v>
      </c>
      <c r="J447" s="1">
        <v>0.2</v>
      </c>
      <c r="L447" s="1" t="s">
        <v>65</v>
      </c>
      <c r="M447" s="1">
        <v>29.149000000000001</v>
      </c>
      <c r="N447" s="1">
        <v>45</v>
      </c>
      <c r="O447" s="1">
        <v>69.917190000000005</v>
      </c>
      <c r="P447" s="1">
        <v>-166.05562</v>
      </c>
      <c r="Q447" s="1">
        <v>5.7228500000000002</v>
      </c>
      <c r="R447" s="1">
        <v>32.203949999999999</v>
      </c>
      <c r="S447" s="1">
        <v>274.82900000000001</v>
      </c>
      <c r="W447" s="3">
        <v>0.23699999999999999</v>
      </c>
      <c r="X447" s="1" t="s">
        <v>1157</v>
      </c>
      <c r="Y447" s="1">
        <v>0.44</v>
      </c>
      <c r="AA447" s="1">
        <v>1</v>
      </c>
      <c r="AB447" s="1">
        <v>11.28</v>
      </c>
      <c r="AE447" s="1">
        <v>3.39</v>
      </c>
      <c r="AF447" s="1">
        <v>2.41</v>
      </c>
      <c r="AI447" s="1">
        <v>3</v>
      </c>
      <c r="AJ447" s="1" t="s">
        <v>1157</v>
      </c>
      <c r="AL447" s="1">
        <v>79.989599999999996</v>
      </c>
      <c r="AM447" s="1" t="s">
        <v>1157</v>
      </c>
      <c r="AP447" s="1" t="s">
        <v>2630</v>
      </c>
      <c r="AR447" s="1">
        <v>21.92</v>
      </c>
      <c r="AT447" s="1">
        <v>30</v>
      </c>
    </row>
    <row r="448" spans="1:46">
      <c r="A448" s="1" t="s">
        <v>2631</v>
      </c>
      <c r="C448" s="1" t="s">
        <v>2631</v>
      </c>
      <c r="D448" s="1" t="s">
        <v>2632</v>
      </c>
      <c r="E448" s="1" t="s">
        <v>1466</v>
      </c>
      <c r="F448" s="1" t="s">
        <v>2611</v>
      </c>
      <c r="G448" s="1" t="s">
        <v>456</v>
      </c>
      <c r="H448" s="2" t="s">
        <v>2633</v>
      </c>
      <c r="I448" s="1">
        <v>89</v>
      </c>
      <c r="J448" s="1">
        <v>0.2</v>
      </c>
      <c r="K448" s="1" t="s">
        <v>78</v>
      </c>
      <c r="L448" s="1" t="s">
        <v>78</v>
      </c>
      <c r="M448" s="1">
        <v>41.671999999999997</v>
      </c>
      <c r="N448" s="1">
        <v>45</v>
      </c>
      <c r="O448" s="1">
        <v>69.917100000000005</v>
      </c>
      <c r="P448" s="1">
        <v>-166.05527000000001</v>
      </c>
      <c r="Q448" s="1">
        <v>5.5336499999999997</v>
      </c>
      <c r="R448" s="1">
        <v>32.223849999999999</v>
      </c>
      <c r="S448" s="1">
        <v>271.33550000000002</v>
      </c>
      <c r="W448" s="3">
        <v>0.28799999999999998</v>
      </c>
      <c r="X448" s="1" t="s">
        <v>1165</v>
      </c>
      <c r="Y448" s="1">
        <v>0.55000000000000004</v>
      </c>
      <c r="AA448" s="1">
        <v>1.1100000000000001</v>
      </c>
      <c r="AB448" s="1">
        <v>14.31</v>
      </c>
      <c r="AE448" s="1">
        <v>2.08</v>
      </c>
      <c r="AF448" s="1">
        <v>1.6</v>
      </c>
      <c r="AI448" s="1">
        <v>1</v>
      </c>
      <c r="AJ448" s="1" t="s">
        <v>1165</v>
      </c>
      <c r="AL448" s="1">
        <v>61.629199999999997</v>
      </c>
      <c r="AM448" s="1" t="s">
        <v>1165</v>
      </c>
      <c r="AP448" s="1" t="s">
        <v>2634</v>
      </c>
      <c r="AR448" s="1">
        <v>21.92</v>
      </c>
      <c r="AS448" s="1" t="s">
        <v>1494</v>
      </c>
      <c r="AT448" s="1">
        <v>42</v>
      </c>
    </row>
    <row r="449" spans="1:46">
      <c r="A449" s="1" t="s">
        <v>2635</v>
      </c>
      <c r="C449" s="1" t="s">
        <v>2635</v>
      </c>
      <c r="D449" s="1" t="s">
        <v>2636</v>
      </c>
      <c r="E449" s="1" t="s">
        <v>1466</v>
      </c>
      <c r="F449" s="1" t="s">
        <v>2637</v>
      </c>
      <c r="G449" s="1" t="s">
        <v>456</v>
      </c>
      <c r="H449" s="2" t="s">
        <v>2638</v>
      </c>
      <c r="I449" s="1">
        <v>91</v>
      </c>
      <c r="J449" s="1">
        <v>0.2</v>
      </c>
      <c r="L449" s="1" t="s">
        <v>52</v>
      </c>
      <c r="M449" s="1">
        <v>4.7779999999999996</v>
      </c>
      <c r="N449" s="1">
        <v>48</v>
      </c>
      <c r="O449" s="1">
        <v>70.096699999999998</v>
      </c>
      <c r="P449" s="1">
        <v>-166.90844000000001</v>
      </c>
      <c r="Q449" s="1">
        <v>7.4584000000000001</v>
      </c>
      <c r="R449" s="1">
        <v>31.99</v>
      </c>
      <c r="S449" s="1">
        <v>290.78800000000001</v>
      </c>
      <c r="T449" s="1">
        <v>262.9667101</v>
      </c>
      <c r="U449" s="1">
        <v>35.011758319999998</v>
      </c>
      <c r="V449" s="1">
        <v>3138.461538</v>
      </c>
      <c r="W449" s="3">
        <v>1.1890000000000001</v>
      </c>
      <c r="X449" s="1" t="s">
        <v>2639</v>
      </c>
      <c r="AI449" s="1">
        <v>14</v>
      </c>
      <c r="AJ449" s="1" t="s">
        <v>2639</v>
      </c>
      <c r="AK449" s="1">
        <v>4</v>
      </c>
      <c r="AL449" s="1">
        <v>87.509</v>
      </c>
      <c r="AM449" s="1" t="s">
        <v>2639</v>
      </c>
      <c r="AN449" s="1">
        <v>7.5108113022071201</v>
      </c>
      <c r="AO449" s="1">
        <v>1.1337073663708901</v>
      </c>
      <c r="AP449" s="1" t="s">
        <v>2640</v>
      </c>
      <c r="AR449" s="1">
        <v>45.26</v>
      </c>
      <c r="AT449" s="1">
        <v>5</v>
      </c>
    </row>
    <row r="450" spans="1:46">
      <c r="A450" s="1" t="s">
        <v>2641</v>
      </c>
      <c r="C450" s="1" t="s">
        <v>2641</v>
      </c>
      <c r="D450" s="1" t="s">
        <v>2642</v>
      </c>
      <c r="E450" s="1" t="s">
        <v>1466</v>
      </c>
      <c r="F450" s="1" t="s">
        <v>2637</v>
      </c>
      <c r="G450" s="1" t="s">
        <v>456</v>
      </c>
      <c r="H450" s="2" t="s">
        <v>2643</v>
      </c>
      <c r="I450" s="1">
        <v>91</v>
      </c>
      <c r="J450" s="1">
        <v>0.2</v>
      </c>
      <c r="L450" s="1" t="s">
        <v>65</v>
      </c>
      <c r="M450" s="1">
        <v>9.4169999999999998</v>
      </c>
      <c r="N450" s="1">
        <v>48</v>
      </c>
      <c r="O450" s="1">
        <v>70.096680000000006</v>
      </c>
      <c r="P450" s="1">
        <v>-166.90855999999999</v>
      </c>
      <c r="Q450" s="1">
        <v>7.4600999999999997</v>
      </c>
      <c r="R450" s="1">
        <v>31.99015</v>
      </c>
      <c r="S450" s="1">
        <v>290.41250000000002</v>
      </c>
      <c r="T450" s="1">
        <v>227.00198209999999</v>
      </c>
      <c r="U450" s="1">
        <v>33.165102279999999</v>
      </c>
      <c r="W450" s="3">
        <v>1.1850000000000001</v>
      </c>
      <c r="X450" s="1" t="s">
        <v>2644</v>
      </c>
      <c r="Y450" s="1">
        <v>1.56</v>
      </c>
      <c r="AA450" s="1">
        <v>0.25</v>
      </c>
      <c r="AB450" s="1">
        <v>1.87</v>
      </c>
      <c r="AE450" s="1">
        <v>0.41</v>
      </c>
      <c r="AF450" s="1">
        <v>1.0900000000000001</v>
      </c>
      <c r="AI450" s="1">
        <v>13</v>
      </c>
      <c r="AJ450" s="1" t="s">
        <v>2644</v>
      </c>
      <c r="AK450" s="1">
        <v>4</v>
      </c>
      <c r="AL450" s="1">
        <v>87.3643</v>
      </c>
      <c r="AM450" s="1" t="s">
        <v>2644</v>
      </c>
      <c r="AN450" s="1">
        <v>6.8446037097522296</v>
      </c>
      <c r="AO450" s="1">
        <v>1.03314772977392</v>
      </c>
      <c r="AP450" s="1" t="s">
        <v>2645</v>
      </c>
      <c r="AR450" s="1">
        <v>45.26</v>
      </c>
      <c r="AT450" s="1">
        <v>9.9</v>
      </c>
    </row>
    <row r="451" spans="1:46">
      <c r="A451" s="1" t="s">
        <v>2646</v>
      </c>
      <c r="C451" s="1" t="s">
        <v>2646</v>
      </c>
      <c r="D451" s="1" t="s">
        <v>2647</v>
      </c>
      <c r="E451" s="1" t="s">
        <v>1466</v>
      </c>
      <c r="F451" s="1" t="s">
        <v>2637</v>
      </c>
      <c r="G451" s="1" t="s">
        <v>456</v>
      </c>
      <c r="H451" s="2" t="s">
        <v>2648</v>
      </c>
      <c r="I451" s="1">
        <v>91</v>
      </c>
      <c r="J451" s="1">
        <v>0.2</v>
      </c>
      <c r="L451" s="1" t="s">
        <v>65</v>
      </c>
      <c r="M451" s="1">
        <v>11.593999999999999</v>
      </c>
      <c r="N451" s="1">
        <v>48</v>
      </c>
      <c r="O451" s="1">
        <v>70.096720000000005</v>
      </c>
      <c r="P451" s="1">
        <v>-166.90872999999999</v>
      </c>
      <c r="Q451" s="1">
        <v>7.4499500000000003</v>
      </c>
      <c r="R451" s="1">
        <v>32.001199999999997</v>
      </c>
      <c r="S451" s="1">
        <v>289.98849999999999</v>
      </c>
      <c r="W451" s="3">
        <v>1.1970000000000001</v>
      </c>
      <c r="X451" s="1" t="s">
        <v>2644</v>
      </c>
      <c r="Y451" s="1">
        <v>1.56</v>
      </c>
      <c r="AA451" s="1">
        <v>0.25</v>
      </c>
      <c r="AB451" s="1">
        <v>1.87</v>
      </c>
      <c r="AE451" s="1">
        <v>0.41</v>
      </c>
      <c r="AF451" s="1">
        <v>1.0900000000000001</v>
      </c>
      <c r="AI451" s="1">
        <v>12</v>
      </c>
      <c r="AJ451" s="1" t="s">
        <v>2649</v>
      </c>
      <c r="AK451" s="1">
        <v>4</v>
      </c>
      <c r="AL451" s="1">
        <v>86.669899999999998</v>
      </c>
      <c r="AM451" s="1" t="s">
        <v>2644</v>
      </c>
      <c r="AP451" s="1" t="s">
        <v>2650</v>
      </c>
      <c r="AR451" s="1">
        <v>45.26</v>
      </c>
      <c r="AT451" s="1">
        <v>12.4</v>
      </c>
    </row>
    <row r="452" spans="1:46">
      <c r="A452" s="1" t="s">
        <v>2651</v>
      </c>
      <c r="C452" s="1" t="s">
        <v>2651</v>
      </c>
      <c r="D452" s="1" t="s">
        <v>2652</v>
      </c>
      <c r="E452" s="1" t="s">
        <v>1466</v>
      </c>
      <c r="F452" s="1" t="s">
        <v>2637</v>
      </c>
      <c r="G452" s="1" t="s">
        <v>456</v>
      </c>
      <c r="H452" s="2" t="s">
        <v>2648</v>
      </c>
      <c r="I452" s="1">
        <v>91</v>
      </c>
      <c r="J452" s="1">
        <v>0.2</v>
      </c>
      <c r="L452" s="1" t="s">
        <v>65</v>
      </c>
      <c r="M452" s="1">
        <v>14.183999999999999</v>
      </c>
      <c r="N452" s="1">
        <v>48</v>
      </c>
      <c r="O452" s="1">
        <v>70.096720000000005</v>
      </c>
      <c r="P452" s="1">
        <v>-166.90871999999999</v>
      </c>
      <c r="Q452" s="1">
        <v>7.2721999999999998</v>
      </c>
      <c r="R452" s="1">
        <v>32.091900000000003</v>
      </c>
      <c r="S452" s="1">
        <v>290.37</v>
      </c>
      <c r="W452" s="3">
        <v>1.462</v>
      </c>
      <c r="X452" s="1" t="s">
        <v>2653</v>
      </c>
      <c r="AI452" s="1">
        <v>11</v>
      </c>
      <c r="AJ452" s="1" t="s">
        <v>2653</v>
      </c>
      <c r="AK452" s="1">
        <v>4</v>
      </c>
      <c r="AL452" s="1">
        <v>86.491299999999995</v>
      </c>
      <c r="AM452" s="1" t="s">
        <v>2653</v>
      </c>
      <c r="AP452" s="1" t="s">
        <v>2654</v>
      </c>
      <c r="AR452" s="1">
        <v>45.26</v>
      </c>
      <c r="AT452" s="1">
        <v>14.8</v>
      </c>
    </row>
    <row r="453" spans="1:46">
      <c r="A453" s="1" t="s">
        <v>2655</v>
      </c>
      <c r="C453" s="1" t="s">
        <v>2655</v>
      </c>
      <c r="D453" s="1" t="s">
        <v>2656</v>
      </c>
      <c r="E453" s="1" t="s">
        <v>1466</v>
      </c>
      <c r="F453" s="1" t="s">
        <v>2637</v>
      </c>
      <c r="G453" s="1" t="s">
        <v>456</v>
      </c>
      <c r="H453" s="2" t="s">
        <v>2648</v>
      </c>
      <c r="I453" s="1">
        <v>91</v>
      </c>
      <c r="J453" s="1">
        <v>0.2</v>
      </c>
      <c r="L453" s="1" t="s">
        <v>65</v>
      </c>
      <c r="M453" s="1">
        <v>16.134</v>
      </c>
      <c r="N453" s="1">
        <v>48</v>
      </c>
      <c r="O453" s="1">
        <v>70.096720000000005</v>
      </c>
      <c r="P453" s="1">
        <v>-166.90868</v>
      </c>
      <c r="Q453" s="1">
        <v>7.1345499999999999</v>
      </c>
      <c r="R453" s="1">
        <v>32.15795</v>
      </c>
      <c r="S453" s="1">
        <v>295.37650000000002</v>
      </c>
      <c r="W453" s="3">
        <v>1.5149999999999999</v>
      </c>
      <c r="X453" s="1" t="s">
        <v>2657</v>
      </c>
      <c r="AI453" s="1">
        <v>10</v>
      </c>
      <c r="AJ453" s="1" t="s">
        <v>2657</v>
      </c>
      <c r="AK453" s="1">
        <v>4</v>
      </c>
      <c r="AL453" s="1">
        <v>87.196799999999996</v>
      </c>
      <c r="AM453" s="1" t="s">
        <v>2657</v>
      </c>
      <c r="AP453" s="1" t="s">
        <v>2658</v>
      </c>
      <c r="AR453" s="1">
        <v>45.26</v>
      </c>
      <c r="AT453" s="1">
        <v>16.899999999999999</v>
      </c>
    </row>
    <row r="454" spans="1:46">
      <c r="A454" s="1" t="s">
        <v>2659</v>
      </c>
      <c r="C454" s="1" t="s">
        <v>2659</v>
      </c>
      <c r="D454" s="1" t="s">
        <v>2660</v>
      </c>
      <c r="E454" s="1" t="s">
        <v>1466</v>
      </c>
      <c r="F454" s="1" t="s">
        <v>2637</v>
      </c>
      <c r="G454" s="1" t="s">
        <v>456</v>
      </c>
      <c r="H454" s="2" t="s">
        <v>2648</v>
      </c>
      <c r="I454" s="1">
        <v>91</v>
      </c>
      <c r="J454" s="1">
        <v>0.2</v>
      </c>
      <c r="L454" s="1" t="s">
        <v>65</v>
      </c>
      <c r="M454" s="1">
        <v>17.808</v>
      </c>
      <c r="N454" s="1">
        <v>48</v>
      </c>
      <c r="O454" s="1">
        <v>70.096729999999994</v>
      </c>
      <c r="P454" s="1">
        <v>-166.90870000000001</v>
      </c>
      <c r="Q454" s="1">
        <v>7.0639000000000003</v>
      </c>
      <c r="R454" s="1">
        <v>32.186</v>
      </c>
      <c r="S454" s="1">
        <v>301.94049999999999</v>
      </c>
      <c r="T454" s="1">
        <v>280.69575350000002</v>
      </c>
      <c r="U454" s="1">
        <v>37.217591429999999</v>
      </c>
      <c r="W454" s="3">
        <v>1.264</v>
      </c>
      <c r="X454" s="1" t="s">
        <v>2661</v>
      </c>
      <c r="Y454" s="1">
        <v>2.04</v>
      </c>
      <c r="AA454" s="1">
        <v>0.28999999999999998</v>
      </c>
      <c r="AB454" s="1">
        <v>2.88</v>
      </c>
      <c r="AE454" s="1">
        <v>0.56000000000000005</v>
      </c>
      <c r="AF454" s="1">
        <v>0.51</v>
      </c>
      <c r="AI454" s="1">
        <v>9</v>
      </c>
      <c r="AJ454" s="1" t="s">
        <v>2662</v>
      </c>
      <c r="AK454" s="1">
        <v>4</v>
      </c>
      <c r="AL454" s="1">
        <v>88.189599999999999</v>
      </c>
      <c r="AM454" s="1" t="s">
        <v>2661</v>
      </c>
      <c r="AN454" s="1">
        <v>7.5420182423126798</v>
      </c>
      <c r="AO454" s="1">
        <v>1.1384178478962499</v>
      </c>
      <c r="AP454" s="1" t="s">
        <v>2663</v>
      </c>
      <c r="AR454" s="1">
        <v>45.26</v>
      </c>
      <c r="AT454" s="1">
        <v>19</v>
      </c>
    </row>
    <row r="455" spans="1:46">
      <c r="A455" s="1" t="s">
        <v>2664</v>
      </c>
      <c r="C455" s="1" t="s">
        <v>2664</v>
      </c>
      <c r="D455" s="1" t="s">
        <v>2665</v>
      </c>
      <c r="E455" s="1" t="s">
        <v>1466</v>
      </c>
      <c r="F455" s="1" t="s">
        <v>2637</v>
      </c>
      <c r="G455" s="1" t="s">
        <v>456</v>
      </c>
      <c r="H455" s="2" t="s">
        <v>2666</v>
      </c>
      <c r="I455" s="1">
        <v>91</v>
      </c>
      <c r="J455" s="1">
        <v>0.2</v>
      </c>
      <c r="L455" s="1" t="s">
        <v>65</v>
      </c>
      <c r="M455" s="1">
        <v>20.335000000000001</v>
      </c>
      <c r="N455" s="1">
        <v>48</v>
      </c>
      <c r="O455" s="1">
        <v>70.096779999999995</v>
      </c>
      <c r="P455" s="1">
        <v>-166.90876</v>
      </c>
      <c r="Q455" s="1">
        <v>6.9804000000000004</v>
      </c>
      <c r="R455" s="1">
        <v>32.225299999999997</v>
      </c>
      <c r="S455" s="1">
        <v>298.20249999999999</v>
      </c>
      <c r="T455" s="1">
        <v>171.4822202</v>
      </c>
      <c r="U455" s="1">
        <v>22.418470429999999</v>
      </c>
      <c r="V455" s="1">
        <v>3354.166667</v>
      </c>
      <c r="W455" s="3">
        <v>1.129</v>
      </c>
      <c r="X455" s="1" t="s">
        <v>2661</v>
      </c>
      <c r="Y455" s="1">
        <v>2.04</v>
      </c>
      <c r="AA455" s="1">
        <v>0.28999999999999998</v>
      </c>
      <c r="AB455" s="1">
        <v>2.88</v>
      </c>
      <c r="AE455" s="1">
        <v>0.56000000000000005</v>
      </c>
      <c r="AF455" s="1">
        <v>0.51</v>
      </c>
      <c r="AI455" s="1">
        <v>8</v>
      </c>
      <c r="AJ455" s="1" t="s">
        <v>2661</v>
      </c>
      <c r="AK455" s="1">
        <v>4</v>
      </c>
      <c r="AL455" s="1">
        <v>89.691400000000002</v>
      </c>
      <c r="AM455" s="1" t="s">
        <v>2661</v>
      </c>
      <c r="AN455" s="1">
        <v>7.6491489789832201</v>
      </c>
      <c r="AO455" s="1">
        <v>1.15458852512954</v>
      </c>
      <c r="AP455" s="1" t="s">
        <v>2667</v>
      </c>
      <c r="AR455" s="1">
        <v>45.26</v>
      </c>
      <c r="AT455" s="1">
        <v>20.6</v>
      </c>
    </row>
    <row r="456" spans="1:46">
      <c r="A456" s="1" t="s">
        <v>2668</v>
      </c>
      <c r="C456" s="1" t="s">
        <v>2668</v>
      </c>
      <c r="D456" s="1" t="s">
        <v>2669</v>
      </c>
      <c r="E456" s="1" t="s">
        <v>1466</v>
      </c>
      <c r="F456" s="1" t="s">
        <v>2637</v>
      </c>
      <c r="G456" s="1" t="s">
        <v>456</v>
      </c>
      <c r="H456" s="2" t="s">
        <v>2670</v>
      </c>
      <c r="I456" s="1">
        <v>91</v>
      </c>
      <c r="J456" s="1">
        <v>0.2</v>
      </c>
      <c r="L456" s="1" t="s">
        <v>65</v>
      </c>
      <c r="M456" s="1">
        <v>21.649000000000001</v>
      </c>
      <c r="N456" s="1">
        <v>48</v>
      </c>
      <c r="O456" s="1">
        <v>70.096819999999994</v>
      </c>
      <c r="P456" s="1">
        <v>-166.90866</v>
      </c>
      <c r="Q456" s="1">
        <v>6.8169500000000003</v>
      </c>
      <c r="R456" s="1">
        <v>32.300600000000003</v>
      </c>
      <c r="S456" s="1">
        <v>305.40350000000001</v>
      </c>
      <c r="T456" s="1">
        <v>115.4838397</v>
      </c>
      <c r="U456" s="1">
        <v>15.586174679999999</v>
      </c>
      <c r="V456" s="1">
        <v>5460</v>
      </c>
      <c r="W456" s="3">
        <v>0.17299999999999999</v>
      </c>
      <c r="X456" s="1" t="s">
        <v>2661</v>
      </c>
      <c r="Y456" s="1">
        <v>2.04</v>
      </c>
      <c r="AA456" s="1">
        <v>0.28999999999999998</v>
      </c>
      <c r="AB456" s="1">
        <v>2.88</v>
      </c>
      <c r="AE456" s="1">
        <v>0.56000000000000005</v>
      </c>
      <c r="AF456" s="1">
        <v>0.51</v>
      </c>
      <c r="AI456" s="1">
        <v>7</v>
      </c>
      <c r="AJ456" s="1" t="s">
        <v>2671</v>
      </c>
      <c r="AK456" s="1">
        <v>4</v>
      </c>
      <c r="AL456" s="1">
        <v>93.945700000000002</v>
      </c>
      <c r="AM456" s="1" t="s">
        <v>2661</v>
      </c>
      <c r="AN456" s="1">
        <v>7.4093767117975098</v>
      </c>
      <c r="AO456" s="1">
        <v>1.1183964847996199</v>
      </c>
      <c r="AP456" s="1" t="s">
        <v>2672</v>
      </c>
      <c r="AR456" s="1">
        <v>45.26</v>
      </c>
      <c r="AT456" s="1">
        <v>22.9</v>
      </c>
    </row>
    <row r="457" spans="1:46">
      <c r="A457" s="1" t="s">
        <v>2673</v>
      </c>
      <c r="C457" s="1" t="s">
        <v>2673</v>
      </c>
      <c r="D457" s="1" t="s">
        <v>2674</v>
      </c>
      <c r="E457" s="1" t="s">
        <v>1466</v>
      </c>
      <c r="F457" s="1" t="s">
        <v>2637</v>
      </c>
      <c r="G457" s="1" t="s">
        <v>456</v>
      </c>
      <c r="H457" s="2" t="s">
        <v>2670</v>
      </c>
      <c r="I457" s="1">
        <v>91</v>
      </c>
      <c r="J457" s="1">
        <v>0.2</v>
      </c>
      <c r="L457" s="1" t="s">
        <v>65</v>
      </c>
      <c r="M457" s="1">
        <v>23.369</v>
      </c>
      <c r="N457" s="1">
        <v>48</v>
      </c>
      <c r="O457" s="1">
        <v>70.096819999999994</v>
      </c>
      <c r="P457" s="1">
        <v>-166.90862000000001</v>
      </c>
      <c r="Q457" s="1">
        <v>6.6517499999999998</v>
      </c>
      <c r="R457" s="1">
        <v>32.333750000000002</v>
      </c>
      <c r="S457" s="1">
        <v>307.75049999999999</v>
      </c>
      <c r="W457" s="3">
        <v>0.156</v>
      </c>
      <c r="X457" s="1" t="s">
        <v>2661</v>
      </c>
      <c r="Y457" s="1">
        <v>2.04</v>
      </c>
      <c r="AA457" s="1">
        <v>0.28999999999999998</v>
      </c>
      <c r="AB457" s="1">
        <v>2.88</v>
      </c>
      <c r="AE457" s="1">
        <v>0.56000000000000005</v>
      </c>
      <c r="AF457" s="1">
        <v>0.51</v>
      </c>
      <c r="AI457" s="1">
        <v>6</v>
      </c>
      <c r="AJ457" s="1" t="s">
        <v>2675</v>
      </c>
      <c r="AK457" s="1">
        <v>4</v>
      </c>
      <c r="AL457" s="1">
        <v>93.770300000000006</v>
      </c>
      <c r="AM457" s="1" t="s">
        <v>2661</v>
      </c>
      <c r="AP457" s="1" t="s">
        <v>2676</v>
      </c>
      <c r="AR457" s="1">
        <v>45.26</v>
      </c>
      <c r="AT457" s="1">
        <v>24.4</v>
      </c>
    </row>
    <row r="458" spans="1:46">
      <c r="A458" s="1" t="s">
        <v>2677</v>
      </c>
      <c r="C458" s="1" t="s">
        <v>2677</v>
      </c>
      <c r="D458" s="1" t="s">
        <v>2678</v>
      </c>
      <c r="E458" s="1" t="s">
        <v>1466</v>
      </c>
      <c r="F458" s="1" t="s">
        <v>2637</v>
      </c>
      <c r="G458" s="1" t="s">
        <v>456</v>
      </c>
      <c r="H458" s="2" t="s">
        <v>2670</v>
      </c>
      <c r="I458" s="1">
        <v>91</v>
      </c>
      <c r="J458" s="1">
        <v>0.2</v>
      </c>
      <c r="L458" s="1" t="s">
        <v>65</v>
      </c>
      <c r="M458" s="1">
        <v>25.143999999999998</v>
      </c>
      <c r="N458" s="1">
        <v>48</v>
      </c>
      <c r="O458" s="1">
        <v>70.09684</v>
      </c>
      <c r="P458" s="1">
        <v>-166.90860000000001</v>
      </c>
      <c r="Q458" s="1">
        <v>6.4816500000000001</v>
      </c>
      <c r="R458" s="1">
        <v>32.351849999999999</v>
      </c>
      <c r="S458" s="1">
        <v>308.3245</v>
      </c>
      <c r="T458" s="1">
        <v>85.289841100000004</v>
      </c>
      <c r="U458" s="1">
        <v>10.40217028</v>
      </c>
      <c r="V458" s="1">
        <v>6240</v>
      </c>
      <c r="W458" s="3">
        <v>0.153</v>
      </c>
      <c r="X458" s="1" t="s">
        <v>2679</v>
      </c>
      <c r="AI458" s="1">
        <v>5</v>
      </c>
      <c r="AJ458" s="1" t="s">
        <v>2679</v>
      </c>
      <c r="AK458" s="1">
        <v>4</v>
      </c>
      <c r="AL458" s="1">
        <v>93.070599999999999</v>
      </c>
      <c r="AM458" s="1" t="s">
        <v>2679</v>
      </c>
      <c r="AN458" s="1">
        <v>8.1992352368990407</v>
      </c>
      <c r="AO458" s="1">
        <v>1.23762041311684</v>
      </c>
      <c r="AP458" s="1" t="s">
        <v>2680</v>
      </c>
      <c r="AR458" s="1">
        <v>45.26</v>
      </c>
      <c r="AT458" s="1">
        <v>25.9</v>
      </c>
    </row>
    <row r="459" spans="1:46">
      <c r="A459" s="1" t="s">
        <v>2681</v>
      </c>
      <c r="C459" s="1" t="s">
        <v>2681</v>
      </c>
      <c r="D459" s="1" t="s">
        <v>2682</v>
      </c>
      <c r="E459" s="1" t="s">
        <v>1466</v>
      </c>
      <c r="F459" s="1" t="s">
        <v>2637</v>
      </c>
      <c r="G459" s="1" t="s">
        <v>456</v>
      </c>
      <c r="H459" s="2" t="s">
        <v>2670</v>
      </c>
      <c r="I459" s="1">
        <v>91</v>
      </c>
      <c r="J459" s="1">
        <v>0.2</v>
      </c>
      <c r="L459" s="1" t="s">
        <v>65</v>
      </c>
      <c r="M459" s="1">
        <v>27.225000000000001</v>
      </c>
      <c r="N459" s="1">
        <v>48</v>
      </c>
      <c r="O459" s="1">
        <v>70.09684</v>
      </c>
      <c r="P459" s="1">
        <v>-166.90855999999999</v>
      </c>
      <c r="Q459" s="1">
        <v>6.1489000000000003</v>
      </c>
      <c r="R459" s="1">
        <v>32.385449999999999</v>
      </c>
      <c r="S459" s="1">
        <v>295.48399999999998</v>
      </c>
      <c r="T459" s="1">
        <v>82.874873600000001</v>
      </c>
      <c r="U459" s="1">
        <v>9.2016417110000006</v>
      </c>
      <c r="V459" s="1">
        <v>6166.6666670000004</v>
      </c>
      <c r="W459" s="3">
        <v>0.16700000000000001</v>
      </c>
      <c r="X459" s="1" t="s">
        <v>2683</v>
      </c>
      <c r="Y459" s="1">
        <v>0.27</v>
      </c>
      <c r="AA459" s="1">
        <v>0.84</v>
      </c>
      <c r="AB459" s="1">
        <v>13.94</v>
      </c>
      <c r="AE459" s="1">
        <v>0.93</v>
      </c>
      <c r="AF459" s="1">
        <v>1.51</v>
      </c>
      <c r="AI459" s="1">
        <v>4</v>
      </c>
      <c r="AJ459" s="1" t="s">
        <v>1184</v>
      </c>
      <c r="AK459" s="1">
        <v>4</v>
      </c>
      <c r="AL459" s="1">
        <v>89.892200000000003</v>
      </c>
      <c r="AM459" s="1" t="s">
        <v>2683</v>
      </c>
      <c r="AN459" s="1">
        <v>9.0065312476716102</v>
      </c>
      <c r="AO459" s="1">
        <v>1.3594764147428899</v>
      </c>
      <c r="AP459" s="1" t="s">
        <v>2684</v>
      </c>
      <c r="AR459" s="1">
        <v>45.26</v>
      </c>
      <c r="AT459" s="1">
        <v>27.9</v>
      </c>
    </row>
    <row r="460" spans="1:46">
      <c r="A460" s="1" t="s">
        <v>2685</v>
      </c>
      <c r="C460" s="1" t="s">
        <v>2685</v>
      </c>
      <c r="D460" s="1" t="s">
        <v>2686</v>
      </c>
      <c r="E460" s="1" t="s">
        <v>1466</v>
      </c>
      <c r="F460" s="1" t="s">
        <v>2637</v>
      </c>
      <c r="G460" s="1" t="s">
        <v>456</v>
      </c>
      <c r="H460" s="2" t="s">
        <v>2687</v>
      </c>
      <c r="I460" s="1">
        <v>91</v>
      </c>
      <c r="J460" s="1">
        <v>0.2</v>
      </c>
      <c r="L460" s="1" t="s">
        <v>65</v>
      </c>
      <c r="M460" s="1">
        <v>30.85</v>
      </c>
      <c r="N460" s="1">
        <v>48</v>
      </c>
      <c r="O460" s="1">
        <v>70.096879999999999</v>
      </c>
      <c r="P460" s="1">
        <v>-166.90836999999999</v>
      </c>
      <c r="Q460" s="1">
        <v>5.3602499999999997</v>
      </c>
      <c r="R460" s="1">
        <v>32.447400000000002</v>
      </c>
      <c r="S460" s="1">
        <v>282.04450000000003</v>
      </c>
      <c r="T460" s="1">
        <v>141.58511350000001</v>
      </c>
      <c r="U460" s="1">
        <v>18.339607390000001</v>
      </c>
      <c r="V460" s="1">
        <v>6708.3333329999996</v>
      </c>
      <c r="W460" s="3">
        <v>0.13700000000000001</v>
      </c>
      <c r="X460" s="1" t="s">
        <v>2683</v>
      </c>
      <c r="Y460" s="1">
        <v>0.27</v>
      </c>
      <c r="AA460" s="1">
        <v>0.84</v>
      </c>
      <c r="AB460" s="1">
        <v>13.94</v>
      </c>
      <c r="AE460" s="1">
        <v>0.93</v>
      </c>
      <c r="AF460" s="1">
        <v>1.51</v>
      </c>
      <c r="AI460" s="1">
        <v>3</v>
      </c>
      <c r="AJ460" s="1" t="s">
        <v>2683</v>
      </c>
      <c r="AK460" s="1">
        <v>4</v>
      </c>
      <c r="AL460" s="1">
        <v>84.757599999999996</v>
      </c>
      <c r="AM460" s="1" t="s">
        <v>2683</v>
      </c>
      <c r="AN460" s="1">
        <v>7.7201823620936301</v>
      </c>
      <c r="AO460" s="1">
        <v>1.1653105452216801</v>
      </c>
      <c r="AP460" s="1" t="s">
        <v>2688</v>
      </c>
      <c r="AR460" s="1">
        <v>45.26</v>
      </c>
      <c r="AT460" s="1">
        <v>30.9</v>
      </c>
    </row>
    <row r="461" spans="1:46">
      <c r="A461" s="1" t="s">
        <v>2689</v>
      </c>
      <c r="C461" s="1" t="s">
        <v>2689</v>
      </c>
      <c r="D461" s="1" t="s">
        <v>2690</v>
      </c>
      <c r="E461" s="1" t="s">
        <v>1466</v>
      </c>
      <c r="F461" s="1" t="s">
        <v>2637</v>
      </c>
      <c r="G461" s="1" t="s">
        <v>456</v>
      </c>
      <c r="H461" s="2" t="s">
        <v>2691</v>
      </c>
      <c r="I461" s="1">
        <v>91</v>
      </c>
      <c r="J461" s="1">
        <v>0.2</v>
      </c>
      <c r="L461" s="1" t="s">
        <v>78</v>
      </c>
      <c r="M461" s="1">
        <v>41.081000000000003</v>
      </c>
      <c r="N461" s="1">
        <v>48</v>
      </c>
      <c r="O461" s="1">
        <v>70.096919999999997</v>
      </c>
      <c r="P461" s="1">
        <v>-166.90872999999999</v>
      </c>
      <c r="Q461" s="1">
        <v>5.2052500000000004</v>
      </c>
      <c r="R461" s="1">
        <v>32.455500000000001</v>
      </c>
      <c r="S461" s="1">
        <v>277.25</v>
      </c>
      <c r="T461" s="1">
        <v>309.92945859999998</v>
      </c>
      <c r="U461" s="1">
        <v>54.917706420000002</v>
      </c>
      <c r="V461" s="1">
        <v>3320</v>
      </c>
      <c r="W461" s="3">
        <v>0.14699999999999999</v>
      </c>
      <c r="X461" s="1" t="s">
        <v>1188</v>
      </c>
      <c r="Y461" s="1">
        <v>0.26</v>
      </c>
      <c r="AA461" s="1">
        <v>1.01</v>
      </c>
      <c r="AB461" s="1">
        <v>12.74</v>
      </c>
      <c r="AE461" s="1">
        <v>1.41</v>
      </c>
      <c r="AF461" s="1">
        <v>1.1000000000000001</v>
      </c>
      <c r="AI461" s="1">
        <v>2</v>
      </c>
      <c r="AJ461" s="1" t="s">
        <v>1188</v>
      </c>
      <c r="AK461" s="1">
        <v>4</v>
      </c>
      <c r="AL461" s="1">
        <v>73.072599999999994</v>
      </c>
      <c r="AM461" s="1" t="s">
        <v>1188</v>
      </c>
      <c r="AN461" s="1">
        <v>5.6435251725503504</v>
      </c>
      <c r="AO461" s="1">
        <v>0.85185285623401497</v>
      </c>
      <c r="AP461" s="1" t="s">
        <v>2692</v>
      </c>
      <c r="AR461" s="1">
        <v>45.26</v>
      </c>
      <c r="AS461" s="1" t="s">
        <v>2693</v>
      </c>
      <c r="AT461" s="1">
        <v>41.3</v>
      </c>
    </row>
    <row r="462" spans="1:46">
      <c r="A462" s="1" t="s">
        <v>2694</v>
      </c>
      <c r="C462" s="1" t="s">
        <v>2694</v>
      </c>
      <c r="D462" s="1" t="s">
        <v>2695</v>
      </c>
      <c r="E462" s="1" t="s">
        <v>1466</v>
      </c>
      <c r="F462" s="1" t="s">
        <v>2637</v>
      </c>
      <c r="G462" s="1" t="s">
        <v>456</v>
      </c>
      <c r="H462" s="2" t="s">
        <v>2696</v>
      </c>
      <c r="I462" s="1">
        <v>91</v>
      </c>
      <c r="J462" s="1">
        <v>0.2</v>
      </c>
      <c r="L462" s="1" t="s">
        <v>78</v>
      </c>
      <c r="M462" s="1">
        <v>45.024000000000001</v>
      </c>
      <c r="N462" s="1">
        <v>48</v>
      </c>
      <c r="O462" s="1">
        <v>70.096959999999996</v>
      </c>
      <c r="P462" s="1">
        <v>-166.90906000000001</v>
      </c>
      <c r="Q462" s="1">
        <v>5.2042999999999999</v>
      </c>
      <c r="R462" s="1">
        <v>32.455449999999999</v>
      </c>
      <c r="S462" s="1">
        <v>277.24599999999998</v>
      </c>
      <c r="T462" s="1">
        <v>96.776688390000004</v>
      </c>
      <c r="U462" s="1">
        <v>13.27173449</v>
      </c>
      <c r="V462" s="1">
        <v>9662.5</v>
      </c>
      <c r="W462" s="3">
        <v>0.152</v>
      </c>
      <c r="X462" s="1" t="s">
        <v>1192</v>
      </c>
      <c r="Y462" s="1">
        <v>0.3</v>
      </c>
      <c r="AA462" s="1">
        <v>0.98</v>
      </c>
      <c r="AB462" s="1">
        <v>12.5</v>
      </c>
      <c r="AE462" s="1">
        <v>1.45</v>
      </c>
      <c r="AF462" s="1">
        <v>1.36</v>
      </c>
      <c r="AI462" s="1">
        <v>1</v>
      </c>
      <c r="AJ462" s="1" t="s">
        <v>1192</v>
      </c>
      <c r="AK462" s="1">
        <v>4</v>
      </c>
      <c r="AL462" s="1">
        <v>72.480199999999996</v>
      </c>
      <c r="AM462" s="1" t="s">
        <v>1192</v>
      </c>
      <c r="AN462" s="1">
        <v>7.2919397583578398</v>
      </c>
      <c r="AO462" s="1">
        <v>1.10067015220496</v>
      </c>
      <c r="AP462" s="1" t="s">
        <v>2697</v>
      </c>
      <c r="AR462" s="1">
        <v>45.26</v>
      </c>
      <c r="AS462" s="1" t="s">
        <v>2698</v>
      </c>
      <c r="AT462" s="1">
        <v>45.7</v>
      </c>
    </row>
    <row r="463" spans="1:46">
      <c r="A463" s="1" t="s">
        <v>453</v>
      </c>
      <c r="B463" s="1">
        <v>28</v>
      </c>
      <c r="C463" s="1" t="s">
        <v>453</v>
      </c>
      <c r="D463" s="1" t="s">
        <v>454</v>
      </c>
      <c r="E463" s="1" t="s">
        <v>47</v>
      </c>
      <c r="F463" s="1" t="s">
        <v>455</v>
      </c>
      <c r="G463" s="1" t="s">
        <v>456</v>
      </c>
      <c r="H463" s="2" t="s">
        <v>457</v>
      </c>
      <c r="I463" s="1">
        <v>13</v>
      </c>
      <c r="J463" s="1">
        <v>0.2</v>
      </c>
      <c r="K463" s="1" t="s">
        <v>52</v>
      </c>
      <c r="L463" s="1" t="s">
        <v>52</v>
      </c>
      <c r="M463" s="1">
        <v>3.89</v>
      </c>
      <c r="N463" s="1">
        <v>49</v>
      </c>
      <c r="O463" s="1">
        <v>64.145060000000001</v>
      </c>
      <c r="P463" s="1">
        <v>-171.8913</v>
      </c>
      <c r="Q463" s="1">
        <v>5.1275000000000004</v>
      </c>
      <c r="R463" s="1">
        <v>32.692999999999998</v>
      </c>
      <c r="S463" s="1">
        <v>322.55200000000002</v>
      </c>
      <c r="W463" s="3">
        <v>0.24840000000000001</v>
      </c>
      <c r="X463" s="1" t="s">
        <v>458</v>
      </c>
      <c r="AA463" s="1">
        <v>0.56599999999999995</v>
      </c>
      <c r="AB463" s="1">
        <v>8</v>
      </c>
      <c r="AC463" s="1">
        <v>4.2</v>
      </c>
      <c r="AD463" s="1">
        <v>0.05</v>
      </c>
      <c r="AE463" s="1">
        <v>0.78</v>
      </c>
      <c r="AF463" s="1">
        <v>4.25</v>
      </c>
      <c r="AH463" s="1" t="s">
        <v>459</v>
      </c>
      <c r="AI463" s="1">
        <v>6</v>
      </c>
      <c r="AJ463" s="1" t="s">
        <v>458</v>
      </c>
      <c r="AK463" s="1">
        <v>1.3</v>
      </c>
      <c r="AL463" s="1">
        <v>89.534000000000006</v>
      </c>
      <c r="AM463" s="1" t="s">
        <v>458</v>
      </c>
      <c r="AS463" s="1" t="s">
        <v>460</v>
      </c>
    </row>
    <row r="464" spans="1:46">
      <c r="A464" s="1" t="s">
        <v>461</v>
      </c>
      <c r="B464" s="1">
        <v>29</v>
      </c>
      <c r="C464" s="1" t="s">
        <v>461</v>
      </c>
      <c r="D464" s="1" t="s">
        <v>462</v>
      </c>
      <c r="E464" s="1" t="s">
        <v>47</v>
      </c>
      <c r="F464" s="1" t="s">
        <v>455</v>
      </c>
      <c r="G464" s="1" t="s">
        <v>456</v>
      </c>
      <c r="H464" s="2" t="s">
        <v>457</v>
      </c>
      <c r="I464" s="1">
        <v>13</v>
      </c>
      <c r="J464" s="1">
        <v>0.2</v>
      </c>
      <c r="K464" s="1" t="s">
        <v>150</v>
      </c>
      <c r="L464" s="1" t="s">
        <v>78</v>
      </c>
      <c r="M464" s="1">
        <v>45.81</v>
      </c>
      <c r="N464" s="1">
        <v>49</v>
      </c>
      <c r="O464" s="1">
        <v>64.145060000000001</v>
      </c>
      <c r="P464" s="1">
        <v>-171.89138</v>
      </c>
      <c r="Q464" s="1">
        <v>2.3069999999999999</v>
      </c>
      <c r="R464" s="1">
        <v>32.843499999999999</v>
      </c>
      <c r="S464" s="1">
        <v>312.35599999999999</v>
      </c>
      <c r="W464" s="3">
        <v>0.1928</v>
      </c>
      <c r="X464" s="1" t="s">
        <v>463</v>
      </c>
      <c r="AA464" s="1">
        <v>1.708</v>
      </c>
      <c r="AB464" s="1">
        <v>27.8</v>
      </c>
      <c r="AC464" s="1">
        <v>17</v>
      </c>
      <c r="AD464" s="1">
        <v>0.19</v>
      </c>
      <c r="AE464" s="1">
        <v>1.99</v>
      </c>
      <c r="AF464" s="1">
        <v>17.190000000000001</v>
      </c>
      <c r="AH464" s="1" t="s">
        <v>464</v>
      </c>
      <c r="AI464" s="1">
        <v>1</v>
      </c>
      <c r="AJ464" s="1" t="s">
        <v>463</v>
      </c>
      <c r="AK464" s="1">
        <v>1.3</v>
      </c>
      <c r="AL464" s="1">
        <v>82.1755</v>
      </c>
      <c r="AM464" s="1" t="s">
        <v>463</v>
      </c>
    </row>
    <row r="465" spans="1:45">
      <c r="A465" s="1" t="s">
        <v>465</v>
      </c>
      <c r="B465" s="1">
        <v>268</v>
      </c>
      <c r="C465" s="1" t="s">
        <v>465</v>
      </c>
      <c r="D465" s="1" t="s">
        <v>466</v>
      </c>
      <c r="E465" s="1" t="s">
        <v>47</v>
      </c>
      <c r="F465" s="1" t="s">
        <v>48</v>
      </c>
      <c r="G465" s="1" t="s">
        <v>456</v>
      </c>
      <c r="H465" s="2" t="s">
        <v>467</v>
      </c>
      <c r="I465" s="1">
        <v>160</v>
      </c>
      <c r="J465" s="1">
        <v>0.2</v>
      </c>
      <c r="K465" s="1" t="s">
        <v>52</v>
      </c>
      <c r="L465" s="1" t="s">
        <v>52</v>
      </c>
      <c r="M465" s="1">
        <v>3.86</v>
      </c>
      <c r="N465" s="1">
        <v>40</v>
      </c>
      <c r="O465" s="1">
        <v>63.295560000000002</v>
      </c>
      <c r="P465" s="1">
        <v>-168.45084</v>
      </c>
      <c r="Q465" s="1">
        <v>3.669</v>
      </c>
      <c r="R465" s="1">
        <v>32.0535</v>
      </c>
      <c r="S465" s="1">
        <v>332.07799999999997</v>
      </c>
      <c r="T465" s="1">
        <v>51.52</v>
      </c>
      <c r="U465" s="1">
        <v>44.84</v>
      </c>
      <c r="V465" s="1">
        <v>3620</v>
      </c>
      <c r="W465" s="3">
        <v>5.1014999999999997</v>
      </c>
      <c r="X465" s="1" t="s">
        <v>468</v>
      </c>
      <c r="Y465" s="1">
        <v>6.43</v>
      </c>
      <c r="Z465" s="1">
        <v>1.1399999999999999</v>
      </c>
      <c r="AA465" s="1">
        <v>1.006</v>
      </c>
      <c r="AB465" s="1">
        <v>4.5</v>
      </c>
      <c r="AC465" s="1">
        <v>3.8</v>
      </c>
      <c r="AD465" s="1">
        <v>0.09</v>
      </c>
      <c r="AE465" s="1">
        <v>1.1000000000000001</v>
      </c>
      <c r="AF465" s="1">
        <v>3.89</v>
      </c>
      <c r="AH465" s="1" t="s">
        <v>469</v>
      </c>
      <c r="AI465" s="1">
        <v>5</v>
      </c>
      <c r="AJ465" s="1" t="s">
        <v>468</v>
      </c>
      <c r="AK465" s="1">
        <v>1.8</v>
      </c>
      <c r="AL465" s="1">
        <v>79.691299999999998</v>
      </c>
      <c r="AM465" s="1" t="s">
        <v>468</v>
      </c>
      <c r="AN465" s="1">
        <v>1.14897413024086</v>
      </c>
      <c r="AO465" s="1">
        <v>0.17343005739484599</v>
      </c>
    </row>
    <row r="466" spans="1:45">
      <c r="A466" s="1" t="s">
        <v>470</v>
      </c>
      <c r="B466" s="1">
        <v>269</v>
      </c>
      <c r="C466" s="1" t="s">
        <v>470</v>
      </c>
      <c r="D466" s="1" t="s">
        <v>471</v>
      </c>
      <c r="E466" s="1" t="s">
        <v>47</v>
      </c>
      <c r="F466" s="1" t="s">
        <v>48</v>
      </c>
      <c r="G466" s="1" t="s">
        <v>456</v>
      </c>
      <c r="H466" s="2" t="s">
        <v>467</v>
      </c>
      <c r="I466" s="1">
        <v>160</v>
      </c>
      <c r="J466" s="1">
        <v>0.2</v>
      </c>
      <c r="K466" s="1" t="s">
        <v>65</v>
      </c>
      <c r="L466" s="1" t="s">
        <v>65</v>
      </c>
      <c r="M466" s="1">
        <v>10.199999999999999</v>
      </c>
      <c r="N466" s="1">
        <v>40</v>
      </c>
      <c r="O466" s="1">
        <v>63.295560000000002</v>
      </c>
      <c r="P466" s="1">
        <v>-168.45084</v>
      </c>
      <c r="Q466" s="1">
        <v>1.1294999999999999</v>
      </c>
      <c r="R466" s="1">
        <v>32.3765</v>
      </c>
      <c r="S466" s="1">
        <v>313.77100000000002</v>
      </c>
      <c r="W466" s="3">
        <v>5.4040999999999997</v>
      </c>
      <c r="X466" s="1" t="s">
        <v>472</v>
      </c>
      <c r="Y466" s="1">
        <v>8.89</v>
      </c>
      <c r="Z466" s="1">
        <v>1.25</v>
      </c>
      <c r="AA466" s="1">
        <v>1.3080000000000001</v>
      </c>
      <c r="AB466" s="1">
        <v>5.5</v>
      </c>
      <c r="AC466" s="1">
        <v>7.5</v>
      </c>
      <c r="AD466" s="1">
        <v>0.12</v>
      </c>
      <c r="AE466" s="1">
        <v>2.2200000000000002</v>
      </c>
      <c r="AF466" s="1">
        <v>7.62</v>
      </c>
      <c r="AH466" s="1" t="s">
        <v>473</v>
      </c>
      <c r="AI466" s="1">
        <v>4</v>
      </c>
      <c r="AJ466" s="1" t="s">
        <v>472</v>
      </c>
      <c r="AK466" s="1">
        <v>1.8</v>
      </c>
      <c r="AL466" s="1">
        <v>75.210999999999999</v>
      </c>
      <c r="AM466" s="1" t="s">
        <v>472</v>
      </c>
    </row>
    <row r="467" spans="1:45">
      <c r="A467" s="1" t="s">
        <v>474</v>
      </c>
      <c r="B467" s="1">
        <v>270</v>
      </c>
      <c r="C467" s="1" t="s">
        <v>474</v>
      </c>
      <c r="D467" s="1" t="s">
        <v>475</v>
      </c>
      <c r="E467" s="1" t="s">
        <v>47</v>
      </c>
      <c r="F467" s="1" t="s">
        <v>48</v>
      </c>
      <c r="G467" s="1" t="s">
        <v>456</v>
      </c>
      <c r="H467" s="2" t="s">
        <v>467</v>
      </c>
      <c r="I467" s="1">
        <v>160</v>
      </c>
      <c r="J467" s="1">
        <v>0.2</v>
      </c>
      <c r="K467" s="1" t="s">
        <v>150</v>
      </c>
      <c r="L467" s="1" t="s">
        <v>78</v>
      </c>
      <c r="M467" s="1">
        <v>35.83</v>
      </c>
      <c r="N467" s="1">
        <v>40</v>
      </c>
      <c r="O467" s="1">
        <v>63.295560000000002</v>
      </c>
      <c r="P467" s="1">
        <v>-168.45084</v>
      </c>
      <c r="Q467" s="1">
        <v>0.63800000000000001</v>
      </c>
      <c r="R467" s="1">
        <v>32.418999999999997</v>
      </c>
      <c r="S467" s="1">
        <v>306.67700000000002</v>
      </c>
      <c r="T467" s="1">
        <v>473.46</v>
      </c>
      <c r="U467" s="1">
        <v>68.58</v>
      </c>
      <c r="V467" s="1">
        <v>8400.0000000000091</v>
      </c>
      <c r="W467" s="3">
        <v>6.1977000000000002</v>
      </c>
      <c r="X467" s="1" t="s">
        <v>476</v>
      </c>
      <c r="Y467" s="1">
        <v>10.220000000000001</v>
      </c>
      <c r="Z467" s="1">
        <v>1.86</v>
      </c>
      <c r="AA467" s="1">
        <v>1.4279999999999999</v>
      </c>
      <c r="AB467" s="1">
        <v>5.6</v>
      </c>
      <c r="AC467" s="1">
        <v>8.3000000000000007</v>
      </c>
      <c r="AD467" s="1">
        <v>0.13</v>
      </c>
      <c r="AE467" s="1">
        <v>2.7</v>
      </c>
      <c r="AF467" s="1">
        <v>8.43</v>
      </c>
      <c r="AH467" s="1" t="s">
        <v>477</v>
      </c>
      <c r="AI467" s="1">
        <v>1</v>
      </c>
      <c r="AJ467" s="1" t="s">
        <v>476</v>
      </c>
      <c r="AK467" s="1">
        <v>1.8</v>
      </c>
      <c r="AL467" s="1">
        <v>70.223600000000005</v>
      </c>
      <c r="AM467" s="1" t="s">
        <v>476</v>
      </c>
      <c r="AN467" s="1">
        <v>6.9037620297462796</v>
      </c>
      <c r="AO467" s="1">
        <v>1.04207728750887</v>
      </c>
    </row>
    <row r="468" spans="1:45">
      <c r="A468" s="1" t="s">
        <v>478</v>
      </c>
      <c r="B468" s="1">
        <v>256</v>
      </c>
      <c r="C468" s="1" t="s">
        <v>478</v>
      </c>
      <c r="D468" s="1" t="s">
        <v>479</v>
      </c>
      <c r="E468" s="1" t="s">
        <v>47</v>
      </c>
      <c r="F468" s="1" t="s">
        <v>480</v>
      </c>
      <c r="G468" s="1" t="s">
        <v>456</v>
      </c>
      <c r="H468" s="2" t="s">
        <v>481</v>
      </c>
      <c r="I468" s="1">
        <v>151</v>
      </c>
      <c r="J468" s="1">
        <v>0.2</v>
      </c>
      <c r="K468" s="1" t="s">
        <v>52</v>
      </c>
      <c r="L468" s="1" t="s">
        <v>52</v>
      </c>
      <c r="M468" s="1">
        <v>3.55</v>
      </c>
      <c r="N468" s="1">
        <v>27</v>
      </c>
      <c r="O468" s="1">
        <v>64.525260000000003</v>
      </c>
      <c r="P468" s="1">
        <v>-166.87968000000001</v>
      </c>
      <c r="Q468" s="1">
        <v>8.7065000000000001</v>
      </c>
      <c r="R468" s="1">
        <v>30.890499999999999</v>
      </c>
      <c r="S468" s="1">
        <v>285.94400000000002</v>
      </c>
      <c r="T468" s="1">
        <v>130.91999999999999</v>
      </c>
      <c r="U468" s="1">
        <v>20.059999999999999</v>
      </c>
      <c r="V468" s="1">
        <v>2520.00000000001</v>
      </c>
      <c r="W468" s="3">
        <v>0.43609999999999999</v>
      </c>
      <c r="X468" s="1" t="s">
        <v>482</v>
      </c>
      <c r="Y468" s="1">
        <v>0.33</v>
      </c>
      <c r="Z468" s="1">
        <v>0.15</v>
      </c>
      <c r="AA468" s="1">
        <v>0.38100000000000001</v>
      </c>
      <c r="AB468" s="1">
        <v>2.4</v>
      </c>
      <c r="AC468" s="1">
        <v>0</v>
      </c>
      <c r="AD468" s="1">
        <v>0</v>
      </c>
      <c r="AE468" s="1">
        <v>0.08</v>
      </c>
      <c r="AF468" s="1">
        <v>0</v>
      </c>
      <c r="AH468" s="1" t="s">
        <v>483</v>
      </c>
      <c r="AI468" s="1">
        <v>3</v>
      </c>
      <c r="AJ468" s="1" t="s">
        <v>482</v>
      </c>
      <c r="AK468" s="1">
        <v>2</v>
      </c>
      <c r="AL468" s="1">
        <v>91.621300000000005</v>
      </c>
      <c r="AM468" s="1" t="s">
        <v>482</v>
      </c>
      <c r="AN468" s="1">
        <v>6.5264207377866397</v>
      </c>
      <c r="AO468" s="1">
        <v>0.985120111364021</v>
      </c>
    </row>
    <row r="469" spans="1:45">
      <c r="A469" s="1" t="s">
        <v>484</v>
      </c>
      <c r="B469" s="1">
        <v>257</v>
      </c>
      <c r="C469" s="1" t="s">
        <v>484</v>
      </c>
      <c r="D469" s="1" t="s">
        <v>485</v>
      </c>
      <c r="E469" s="1" t="s">
        <v>47</v>
      </c>
      <c r="F469" s="1" t="s">
        <v>480</v>
      </c>
      <c r="G469" s="1" t="s">
        <v>456</v>
      </c>
      <c r="H469" s="2" t="s">
        <v>481</v>
      </c>
      <c r="I469" s="1">
        <v>151</v>
      </c>
      <c r="J469" s="1">
        <v>0.2</v>
      </c>
      <c r="K469" s="1" t="s">
        <v>486</v>
      </c>
      <c r="L469" s="1" t="s">
        <v>65</v>
      </c>
      <c r="M469" s="1">
        <v>10</v>
      </c>
      <c r="N469" s="1">
        <v>27</v>
      </c>
      <c r="O469" s="1">
        <v>64.525260000000003</v>
      </c>
      <c r="P469" s="1">
        <v>-166.87968000000001</v>
      </c>
      <c r="Q469" s="1">
        <v>2.6110000000000002</v>
      </c>
      <c r="R469" s="1">
        <v>31.766500000000001</v>
      </c>
      <c r="S469" s="1">
        <v>392.69200000000001</v>
      </c>
      <c r="W469" s="3">
        <v>0.99229999999999996</v>
      </c>
      <c r="X469" s="1" t="s">
        <v>487</v>
      </c>
      <c r="Y469" s="1">
        <v>0.74</v>
      </c>
      <c r="Z469" s="1">
        <v>0.65</v>
      </c>
      <c r="AA469" s="1">
        <v>0.754</v>
      </c>
      <c r="AB469" s="1">
        <v>1.9</v>
      </c>
      <c r="AC469" s="1">
        <v>0</v>
      </c>
      <c r="AD469" s="1">
        <v>0.01</v>
      </c>
      <c r="AE469" s="1">
        <v>0.26</v>
      </c>
      <c r="AF469" s="1">
        <v>0.01</v>
      </c>
      <c r="AH469" s="1" t="s">
        <v>488</v>
      </c>
      <c r="AI469" s="1">
        <v>2</v>
      </c>
      <c r="AJ469" s="1" t="s">
        <v>487</v>
      </c>
      <c r="AK469" s="1">
        <v>2</v>
      </c>
      <c r="AL469" s="1">
        <v>79.027900000000002</v>
      </c>
      <c r="AM469" s="1" t="s">
        <v>487</v>
      </c>
      <c r="AS469" s="1" t="s">
        <v>489</v>
      </c>
    </row>
    <row r="470" spans="1:45">
      <c r="A470" s="1" t="s">
        <v>490</v>
      </c>
      <c r="B470" s="1">
        <v>258</v>
      </c>
      <c r="C470" s="1" t="s">
        <v>490</v>
      </c>
      <c r="D470" s="1" t="s">
        <v>491</v>
      </c>
      <c r="E470" s="1" t="s">
        <v>47</v>
      </c>
      <c r="F470" s="1" t="s">
        <v>480</v>
      </c>
      <c r="G470" s="1" t="s">
        <v>456</v>
      </c>
      <c r="H470" s="2" t="s">
        <v>481</v>
      </c>
      <c r="I470" s="1">
        <v>151</v>
      </c>
      <c r="J470" s="1">
        <v>0.2</v>
      </c>
      <c r="K470" s="1" t="s">
        <v>150</v>
      </c>
      <c r="L470" s="1" t="s">
        <v>78</v>
      </c>
      <c r="M470" s="1">
        <v>22.97</v>
      </c>
      <c r="N470" s="1">
        <v>27</v>
      </c>
      <c r="O470" s="1">
        <v>64.525260000000003</v>
      </c>
      <c r="P470" s="1">
        <v>-166.87968000000001</v>
      </c>
      <c r="Q470" s="1">
        <v>1.5109999999999999</v>
      </c>
      <c r="R470" s="1">
        <v>31.936</v>
      </c>
      <c r="S470" s="1">
        <v>404.19200000000001</v>
      </c>
      <c r="T470" s="1">
        <v>157.26</v>
      </c>
      <c r="U470" s="1">
        <v>23.46</v>
      </c>
      <c r="V470" s="1">
        <v>4840</v>
      </c>
      <c r="W470" s="3">
        <v>0.99470000000000003</v>
      </c>
      <c r="X470" s="1" t="s">
        <v>492</v>
      </c>
      <c r="Y470" s="1">
        <v>0.96</v>
      </c>
      <c r="Z470" s="1">
        <v>0.59</v>
      </c>
      <c r="AA470" s="1">
        <v>0.77900000000000003</v>
      </c>
      <c r="AB470" s="1">
        <v>1.9</v>
      </c>
      <c r="AC470" s="1">
        <v>0</v>
      </c>
      <c r="AD470" s="1">
        <v>0.01</v>
      </c>
      <c r="AE470" s="1">
        <v>0.3</v>
      </c>
      <c r="AF470" s="1">
        <v>0.01</v>
      </c>
      <c r="AH470" s="1" t="s">
        <v>493</v>
      </c>
      <c r="AI470" s="1">
        <v>1</v>
      </c>
      <c r="AJ470" s="1" t="s">
        <v>492</v>
      </c>
      <c r="AK470" s="1">
        <v>2</v>
      </c>
      <c r="AL470" s="1">
        <v>74.046899999999994</v>
      </c>
      <c r="AM470" s="1" t="s">
        <v>492</v>
      </c>
      <c r="AN470" s="1">
        <v>6.7033248081841403</v>
      </c>
      <c r="AO470" s="1">
        <v>1.0118226125561001</v>
      </c>
    </row>
    <row r="471" spans="1:45">
      <c r="A471" s="1" t="s">
        <v>494</v>
      </c>
      <c r="B471" s="1">
        <v>255</v>
      </c>
      <c r="C471" s="1" t="s">
        <v>494</v>
      </c>
      <c r="D471" s="1" t="s">
        <v>495</v>
      </c>
      <c r="E471" s="1" t="s">
        <v>47</v>
      </c>
      <c r="F471" s="1" t="s">
        <v>496</v>
      </c>
      <c r="G471" s="1" t="s">
        <v>456</v>
      </c>
      <c r="H471" s="2" t="s">
        <v>497</v>
      </c>
      <c r="I471" s="1">
        <v>150</v>
      </c>
      <c r="J471" s="1">
        <v>0.2</v>
      </c>
      <c r="K471" s="1" t="s">
        <v>52</v>
      </c>
      <c r="L471" s="1" t="s">
        <v>52</v>
      </c>
      <c r="M471" s="1">
        <v>3.37</v>
      </c>
      <c r="N471" s="1">
        <v>22</v>
      </c>
      <c r="O471" s="1">
        <v>64.670439999999999</v>
      </c>
      <c r="P471" s="1">
        <v>-166.69994</v>
      </c>
      <c r="Q471" s="1">
        <v>7.8869999999999996</v>
      </c>
      <c r="R471" s="1">
        <v>30.187999999999999</v>
      </c>
      <c r="S471" s="1">
        <v>294.98099999999999</v>
      </c>
      <c r="T471" s="1">
        <v>159.6</v>
      </c>
      <c r="U471" s="1">
        <v>25.24</v>
      </c>
      <c r="V471" s="1">
        <v>14120</v>
      </c>
      <c r="W471" s="3">
        <v>0.64480000000000004</v>
      </c>
      <c r="X471" s="1" t="s">
        <v>498</v>
      </c>
      <c r="Y471" s="1">
        <v>0.55000000000000004</v>
      </c>
      <c r="Z471" s="1">
        <v>0.37</v>
      </c>
      <c r="AA471" s="1">
        <v>0.57899999999999996</v>
      </c>
      <c r="AB471" s="1">
        <v>3.9</v>
      </c>
      <c r="AC471" s="1">
        <v>0.1</v>
      </c>
      <c r="AD471" s="1">
        <v>0.01</v>
      </c>
      <c r="AE471" s="1">
        <v>0.14000000000000001</v>
      </c>
      <c r="AF471" s="1">
        <v>0.11</v>
      </c>
      <c r="AH471" s="1" t="s">
        <v>499</v>
      </c>
      <c r="AI471" s="1">
        <v>3</v>
      </c>
      <c r="AJ471" s="1" t="s">
        <v>498</v>
      </c>
      <c r="AK471" s="1">
        <v>2</v>
      </c>
      <c r="AL471" s="1">
        <v>86.464299999999994</v>
      </c>
      <c r="AM471" s="1" t="s">
        <v>498</v>
      </c>
      <c r="AN471" s="1">
        <v>6.3232963549920802</v>
      </c>
      <c r="AO471" s="1">
        <v>0.95445982716861499</v>
      </c>
    </row>
    <row r="472" spans="1:45">
      <c r="A472" s="1" t="s">
        <v>500</v>
      </c>
      <c r="B472" s="1">
        <v>254</v>
      </c>
      <c r="C472" s="1" t="s">
        <v>500</v>
      </c>
      <c r="D472" s="1" t="s">
        <v>501</v>
      </c>
      <c r="E472" s="1" t="s">
        <v>47</v>
      </c>
      <c r="F472" s="1" t="s">
        <v>496</v>
      </c>
      <c r="G472" s="1" t="s">
        <v>456</v>
      </c>
      <c r="H472" s="2" t="s">
        <v>497</v>
      </c>
      <c r="I472" s="1">
        <v>150</v>
      </c>
      <c r="J472" s="1">
        <v>0.2</v>
      </c>
      <c r="K472" s="1" t="s">
        <v>150</v>
      </c>
      <c r="L472" s="1" t="s">
        <v>78</v>
      </c>
      <c r="M472" s="1">
        <v>19.72</v>
      </c>
      <c r="N472" s="1">
        <v>22</v>
      </c>
      <c r="O472" s="1">
        <v>64.670439999999999</v>
      </c>
      <c r="P472" s="1">
        <v>-166.69996</v>
      </c>
      <c r="Q472" s="1">
        <v>7.327</v>
      </c>
      <c r="R472" s="1">
        <v>30.126000000000001</v>
      </c>
      <c r="S472" s="1">
        <v>297.99299999999999</v>
      </c>
      <c r="T472" s="1">
        <v>184.4</v>
      </c>
      <c r="U472" s="1">
        <v>28.94</v>
      </c>
      <c r="V472" s="1">
        <v>3699.99999999999</v>
      </c>
      <c r="W472" s="3">
        <v>0.74590000000000001</v>
      </c>
      <c r="X472" s="1" t="s">
        <v>502</v>
      </c>
      <c r="Y472" s="1">
        <v>0.91</v>
      </c>
      <c r="Z472" s="1">
        <v>0.56000000000000005</v>
      </c>
      <c r="AA472" s="1">
        <v>0.61699999999999999</v>
      </c>
      <c r="AB472" s="1">
        <v>4.8</v>
      </c>
      <c r="AC472" s="1">
        <v>0.1</v>
      </c>
      <c r="AD472" s="1">
        <v>0.01</v>
      </c>
      <c r="AE472" s="1">
        <v>0.14000000000000001</v>
      </c>
      <c r="AF472" s="1">
        <v>0.11</v>
      </c>
      <c r="AH472" s="1" t="s">
        <v>503</v>
      </c>
      <c r="AI472" s="1">
        <v>1</v>
      </c>
      <c r="AJ472" s="1" t="s">
        <v>502</v>
      </c>
      <c r="AK472" s="1">
        <v>2</v>
      </c>
      <c r="AL472" s="1">
        <v>79.330299999999994</v>
      </c>
      <c r="AM472" s="1" t="s">
        <v>502</v>
      </c>
      <c r="AN472" s="1">
        <v>6.3718037318590204</v>
      </c>
      <c r="AO472" s="1">
        <v>0.96178169537494596</v>
      </c>
    </row>
    <row r="473" spans="1:45">
      <c r="A473" s="1" t="s">
        <v>504</v>
      </c>
      <c r="B473" s="1">
        <v>265</v>
      </c>
      <c r="C473" s="1" t="s">
        <v>504</v>
      </c>
      <c r="D473" s="1" t="s">
        <v>505</v>
      </c>
      <c r="E473" s="1" t="s">
        <v>47</v>
      </c>
      <c r="F473" s="1" t="s">
        <v>506</v>
      </c>
      <c r="G473" s="1" t="s">
        <v>456</v>
      </c>
      <c r="H473" s="2" t="s">
        <v>507</v>
      </c>
      <c r="I473" s="1">
        <v>159</v>
      </c>
      <c r="J473" s="1">
        <v>0.2</v>
      </c>
      <c r="K473" s="1" t="s">
        <v>52</v>
      </c>
      <c r="L473" s="1" t="s">
        <v>52</v>
      </c>
      <c r="M473" s="1">
        <v>4.09</v>
      </c>
      <c r="N473" s="1">
        <v>39</v>
      </c>
      <c r="O473" s="1">
        <v>63.369199999999999</v>
      </c>
      <c r="P473" s="1">
        <v>-168.35952</v>
      </c>
      <c r="Q473" s="1">
        <v>6.4154999999999998</v>
      </c>
      <c r="R473" s="1">
        <v>31.5595</v>
      </c>
      <c r="S473" s="1">
        <v>324.64800000000002</v>
      </c>
      <c r="T473" s="1">
        <v>35.5</v>
      </c>
      <c r="U473" s="1">
        <v>30.9</v>
      </c>
      <c r="V473" s="1">
        <v>2980</v>
      </c>
      <c r="W473" s="3">
        <v>1.2972999999999999</v>
      </c>
      <c r="X473" s="1" t="s">
        <v>508</v>
      </c>
      <c r="Y473" s="1">
        <v>2.06</v>
      </c>
      <c r="Z473" s="1">
        <v>0.28000000000000003</v>
      </c>
      <c r="AA473" s="1">
        <v>0.498</v>
      </c>
      <c r="AB473" s="1">
        <v>1.9</v>
      </c>
      <c r="AC473" s="1">
        <v>0.1</v>
      </c>
      <c r="AD473" s="1">
        <v>0.01</v>
      </c>
      <c r="AE473" s="1">
        <v>0.13</v>
      </c>
      <c r="AF473" s="1">
        <v>0.11</v>
      </c>
      <c r="AH473" s="1" t="s">
        <v>509</v>
      </c>
      <c r="AI473" s="1">
        <v>7</v>
      </c>
      <c r="AJ473" s="1" t="s">
        <v>508</v>
      </c>
      <c r="AK473" s="1">
        <v>1</v>
      </c>
      <c r="AL473" s="1">
        <v>86.515000000000001</v>
      </c>
      <c r="AM473" s="1" t="s">
        <v>508</v>
      </c>
      <c r="AN473" s="1">
        <v>1.1488673139158601</v>
      </c>
      <c r="AO473" s="1">
        <v>0.173413934175979</v>
      </c>
    </row>
    <row r="474" spans="1:45">
      <c r="A474" s="1" t="s">
        <v>510</v>
      </c>
      <c r="B474" s="1">
        <v>266</v>
      </c>
      <c r="C474" s="1" t="s">
        <v>510</v>
      </c>
      <c r="D474" s="1" t="s">
        <v>511</v>
      </c>
      <c r="E474" s="1" t="s">
        <v>47</v>
      </c>
      <c r="F474" s="1" t="s">
        <v>506</v>
      </c>
      <c r="G474" s="1" t="s">
        <v>456</v>
      </c>
      <c r="H474" s="2" t="s">
        <v>507</v>
      </c>
      <c r="I474" s="1">
        <v>159</v>
      </c>
      <c r="J474" s="1">
        <v>0.2</v>
      </c>
      <c r="K474" s="1" t="s">
        <v>512</v>
      </c>
      <c r="L474" s="1" t="s">
        <v>65</v>
      </c>
      <c r="M474" s="1">
        <v>11.4</v>
      </c>
      <c r="N474" s="1">
        <v>39</v>
      </c>
      <c r="O474" s="1">
        <v>63.369199999999999</v>
      </c>
      <c r="P474" s="1">
        <v>-168.35952</v>
      </c>
      <c r="Q474" s="1">
        <v>3.1745000000000001</v>
      </c>
      <c r="R474" s="1">
        <v>32.055999999999997</v>
      </c>
      <c r="S474" s="1">
        <v>360.66899999999998</v>
      </c>
      <c r="T474" s="1">
        <v>69.959999999999994</v>
      </c>
      <c r="U474" s="1">
        <v>52.96</v>
      </c>
      <c r="V474" s="1">
        <v>4540</v>
      </c>
      <c r="W474" s="3">
        <v>20.860399999999998</v>
      </c>
      <c r="X474" s="1" t="s">
        <v>513</v>
      </c>
      <c r="Y474" s="1">
        <v>13.87</v>
      </c>
      <c r="Z474" s="1">
        <v>1.3</v>
      </c>
      <c r="AA474" s="1">
        <v>1.0149999999999999</v>
      </c>
      <c r="AB474" s="1">
        <v>3.5</v>
      </c>
      <c r="AC474" s="1">
        <v>3.8</v>
      </c>
      <c r="AD474" s="1">
        <v>7.0000000000000007E-2</v>
      </c>
      <c r="AE474" s="1">
        <v>1.01</v>
      </c>
      <c r="AF474" s="1">
        <v>3.87</v>
      </c>
      <c r="AH474" s="1" t="s">
        <v>514</v>
      </c>
      <c r="AI474" s="1">
        <v>4</v>
      </c>
      <c r="AJ474" s="1" t="s">
        <v>513</v>
      </c>
      <c r="AK474" s="1">
        <v>1</v>
      </c>
      <c r="AL474" s="1">
        <v>59.789000000000001</v>
      </c>
      <c r="AM474" s="1" t="s">
        <v>513</v>
      </c>
      <c r="AN474" s="1">
        <v>1.32099697885196</v>
      </c>
      <c r="AO474" s="1">
        <v>0.199395770392749</v>
      </c>
    </row>
    <row r="475" spans="1:45">
      <c r="A475" s="1" t="s">
        <v>515</v>
      </c>
      <c r="B475" s="1">
        <v>267</v>
      </c>
      <c r="C475" s="1" t="s">
        <v>515</v>
      </c>
      <c r="D475" s="1" t="s">
        <v>516</v>
      </c>
      <c r="E475" s="1" t="s">
        <v>47</v>
      </c>
      <c r="F475" s="1" t="s">
        <v>506</v>
      </c>
      <c r="G475" s="1" t="s">
        <v>456</v>
      </c>
      <c r="H475" s="2" t="s">
        <v>507</v>
      </c>
      <c r="I475" s="1">
        <v>159</v>
      </c>
      <c r="J475" s="1">
        <v>0.2</v>
      </c>
      <c r="K475" s="1" t="s">
        <v>150</v>
      </c>
      <c r="L475" s="1" t="s">
        <v>78</v>
      </c>
      <c r="M475" s="1">
        <v>34.909999999999997</v>
      </c>
      <c r="N475" s="1">
        <v>39</v>
      </c>
      <c r="O475" s="1">
        <v>63.369199999999999</v>
      </c>
      <c r="P475" s="1">
        <v>-168.35952</v>
      </c>
      <c r="Q475" s="1">
        <v>0.47599999999999998</v>
      </c>
      <c r="R475" s="1">
        <v>32.3675</v>
      </c>
      <c r="S475" s="1">
        <v>324.58499999999998</v>
      </c>
      <c r="T475" s="1">
        <v>30.72</v>
      </c>
      <c r="U475" s="1">
        <v>28.74</v>
      </c>
      <c r="V475" s="1">
        <v>4820.00000000001</v>
      </c>
      <c r="W475" s="3">
        <v>6.5266000000000002</v>
      </c>
      <c r="X475" s="1" t="s">
        <v>517</v>
      </c>
      <c r="Y475" s="1">
        <v>8.09</v>
      </c>
      <c r="Z475" s="1">
        <v>1.35</v>
      </c>
      <c r="AA475" s="1">
        <v>1.4039999999999999</v>
      </c>
      <c r="AB475" s="1">
        <v>6.2</v>
      </c>
      <c r="AC475" s="1">
        <v>6.7</v>
      </c>
      <c r="AD475" s="1">
        <v>0.13</v>
      </c>
      <c r="AE475" s="1">
        <v>1.93</v>
      </c>
      <c r="AF475" s="1">
        <v>6.83</v>
      </c>
      <c r="AH475" s="1" t="s">
        <v>518</v>
      </c>
      <c r="AI475" s="1">
        <v>1</v>
      </c>
      <c r="AJ475" s="1" t="s">
        <v>517</v>
      </c>
      <c r="AK475" s="1">
        <v>1</v>
      </c>
      <c r="AL475" s="1">
        <v>75.799800000000005</v>
      </c>
      <c r="AM475" s="1" t="s">
        <v>517</v>
      </c>
      <c r="AN475" s="1">
        <v>1.06889352818372</v>
      </c>
      <c r="AO475" s="1">
        <v>0.16134241934848501</v>
      </c>
    </row>
    <row r="476" spans="1:45">
      <c r="A476" s="1" t="s">
        <v>519</v>
      </c>
      <c r="B476" s="1">
        <v>262</v>
      </c>
      <c r="C476" s="1" t="s">
        <v>519</v>
      </c>
      <c r="D476" s="1" t="s">
        <v>520</v>
      </c>
      <c r="E476" s="1" t="s">
        <v>47</v>
      </c>
      <c r="F476" s="1" t="s">
        <v>521</v>
      </c>
      <c r="G476" s="1" t="s">
        <v>456</v>
      </c>
      <c r="H476" s="2" t="s">
        <v>522</v>
      </c>
      <c r="I476" s="1">
        <v>158</v>
      </c>
      <c r="J476" s="1">
        <v>0.2</v>
      </c>
      <c r="K476" s="1" t="s">
        <v>52</v>
      </c>
      <c r="L476" s="1" t="s">
        <v>52</v>
      </c>
      <c r="M476" s="1">
        <v>3.79</v>
      </c>
      <c r="N476" s="1">
        <v>32</v>
      </c>
      <c r="O476" s="1">
        <v>63.513339999999999</v>
      </c>
      <c r="P476" s="1">
        <v>-168.17920000000001</v>
      </c>
      <c r="Q476" s="1">
        <v>5.9580000000000002</v>
      </c>
      <c r="R476" s="1">
        <v>31.752500000000001</v>
      </c>
      <c r="S476" s="1">
        <v>328.75799999999998</v>
      </c>
      <c r="T476" s="1">
        <v>30.96</v>
      </c>
      <c r="U476" s="1">
        <v>26.5</v>
      </c>
      <c r="V476" s="1">
        <v>3000</v>
      </c>
      <c r="W476" s="3">
        <v>0.40329999999999999</v>
      </c>
      <c r="X476" s="1" t="s">
        <v>523</v>
      </c>
      <c r="Y476" s="1">
        <v>1.1499999999999999</v>
      </c>
      <c r="Z476" s="1">
        <v>0.19</v>
      </c>
      <c r="AA476" s="1">
        <v>0.42299999999999999</v>
      </c>
      <c r="AB476" s="1">
        <v>1.7</v>
      </c>
      <c r="AC476" s="1">
        <v>0.1</v>
      </c>
      <c r="AD476" s="1">
        <v>0.01</v>
      </c>
      <c r="AE476" s="1">
        <v>0.53</v>
      </c>
      <c r="AF476" s="1">
        <v>0.11</v>
      </c>
      <c r="AH476" s="1" t="s">
        <v>524</v>
      </c>
      <c r="AI476" s="1">
        <v>5</v>
      </c>
      <c r="AJ476" s="1" t="s">
        <v>523</v>
      </c>
      <c r="AK476" s="1">
        <v>1</v>
      </c>
      <c r="AL476" s="1">
        <v>88.047700000000006</v>
      </c>
      <c r="AM476" s="1" t="s">
        <v>523</v>
      </c>
      <c r="AN476" s="1">
        <v>1.16830188679245</v>
      </c>
      <c r="AO476" s="1">
        <v>0.176347454610182</v>
      </c>
    </row>
    <row r="477" spans="1:45">
      <c r="A477" s="1" t="s">
        <v>525</v>
      </c>
      <c r="B477" s="1">
        <v>263</v>
      </c>
      <c r="C477" s="1" t="s">
        <v>525</v>
      </c>
      <c r="D477" s="1" t="s">
        <v>526</v>
      </c>
      <c r="E477" s="1" t="s">
        <v>47</v>
      </c>
      <c r="F477" s="1" t="s">
        <v>521</v>
      </c>
      <c r="G477" s="1" t="s">
        <v>456</v>
      </c>
      <c r="H477" s="2" t="s">
        <v>522</v>
      </c>
      <c r="I477" s="1">
        <v>158</v>
      </c>
      <c r="J477" s="1">
        <v>0.2</v>
      </c>
      <c r="K477" s="1" t="s">
        <v>512</v>
      </c>
      <c r="L477" s="1" t="s">
        <v>65</v>
      </c>
      <c r="M477" s="1">
        <v>16.23</v>
      </c>
      <c r="N477" s="1">
        <v>32</v>
      </c>
      <c r="O477" s="1">
        <v>63.513339999999999</v>
      </c>
      <c r="P477" s="1">
        <v>-168.17920000000001</v>
      </c>
      <c r="Q477" s="1">
        <v>1.2230000000000001</v>
      </c>
      <c r="R477" s="1">
        <v>32.329000000000001</v>
      </c>
      <c r="S477" s="1">
        <v>329.40199999999999</v>
      </c>
      <c r="W477" s="3">
        <v>3.1244000000000001</v>
      </c>
      <c r="X477" s="1" t="s">
        <v>527</v>
      </c>
      <c r="Y477" s="1">
        <v>4.4400000000000004</v>
      </c>
      <c r="Z477" s="1">
        <v>0.92</v>
      </c>
      <c r="AA477" s="1">
        <v>1.0880000000000001</v>
      </c>
      <c r="AB477" s="1">
        <v>7</v>
      </c>
      <c r="AC477" s="1">
        <v>4.4000000000000004</v>
      </c>
      <c r="AD477" s="1">
        <v>0.09</v>
      </c>
      <c r="AE477" s="1">
        <v>1.51</v>
      </c>
      <c r="AF477" s="1">
        <v>4.49</v>
      </c>
      <c r="AH477" s="1" t="s">
        <v>528</v>
      </c>
      <c r="AI477" s="1">
        <v>3</v>
      </c>
      <c r="AJ477" s="1" t="s">
        <v>527</v>
      </c>
      <c r="AK477" s="1">
        <v>1</v>
      </c>
      <c r="AL477" s="1">
        <v>78.680199999999999</v>
      </c>
      <c r="AM477" s="1" t="s">
        <v>527</v>
      </c>
    </row>
    <row r="478" spans="1:45">
      <c r="A478" s="1" t="s">
        <v>529</v>
      </c>
      <c r="B478" s="1">
        <v>264</v>
      </c>
      <c r="C478" s="1" t="s">
        <v>529</v>
      </c>
      <c r="D478" s="1" t="s">
        <v>530</v>
      </c>
      <c r="E478" s="1" t="s">
        <v>47</v>
      </c>
      <c r="F478" s="1" t="s">
        <v>521</v>
      </c>
      <c r="G478" s="1" t="s">
        <v>456</v>
      </c>
      <c r="H478" s="2" t="s">
        <v>522</v>
      </c>
      <c r="I478" s="1">
        <v>158</v>
      </c>
      <c r="J478" s="1">
        <v>0.2</v>
      </c>
      <c r="K478" s="1" t="s">
        <v>150</v>
      </c>
      <c r="L478" s="1" t="s">
        <v>78</v>
      </c>
      <c r="M478" s="1">
        <v>28</v>
      </c>
      <c r="N478" s="1">
        <v>32</v>
      </c>
      <c r="O478" s="1">
        <v>63.513339999999999</v>
      </c>
      <c r="P478" s="1">
        <v>-168.17920000000001</v>
      </c>
      <c r="Q478" s="1">
        <v>0.90749999999999997</v>
      </c>
      <c r="R478" s="1">
        <v>32.359499999999997</v>
      </c>
      <c r="S478" s="1">
        <v>322.87700000000001</v>
      </c>
      <c r="T478" s="1">
        <v>30.88</v>
      </c>
      <c r="U478" s="1">
        <v>27.32</v>
      </c>
      <c r="V478" s="1">
        <v>4980</v>
      </c>
      <c r="W478" s="3">
        <v>3.8359999999999999</v>
      </c>
      <c r="X478" s="1" t="s">
        <v>531</v>
      </c>
      <c r="Y478" s="1">
        <v>4.03</v>
      </c>
      <c r="Z478" s="1">
        <v>1.91</v>
      </c>
      <c r="AA478" s="1">
        <v>1.2210000000000001</v>
      </c>
      <c r="AB478" s="1">
        <v>9.1999999999999993</v>
      </c>
      <c r="AC478" s="1">
        <v>5.9</v>
      </c>
      <c r="AD478" s="1">
        <v>0.11</v>
      </c>
      <c r="AE478" s="1">
        <v>2.15</v>
      </c>
      <c r="AF478" s="1">
        <v>6.01</v>
      </c>
      <c r="AH478" s="1" t="s">
        <v>532</v>
      </c>
      <c r="AI478" s="1">
        <v>1</v>
      </c>
      <c r="AJ478" s="1" t="s">
        <v>531</v>
      </c>
      <c r="AK478" s="1">
        <v>1</v>
      </c>
      <c r="AL478" s="1">
        <v>74.376999999999995</v>
      </c>
      <c r="AM478" s="1" t="s">
        <v>531</v>
      </c>
      <c r="AN478" s="1">
        <v>1.1303074670571001</v>
      </c>
      <c r="AO478" s="1">
        <v>0.17061244785767599</v>
      </c>
    </row>
    <row r="479" spans="1:45">
      <c r="A479" s="1" t="s">
        <v>533</v>
      </c>
      <c r="B479" s="1">
        <v>259</v>
      </c>
      <c r="C479" s="1" t="s">
        <v>533</v>
      </c>
      <c r="D479" s="1" t="s">
        <v>534</v>
      </c>
      <c r="E479" s="1" t="s">
        <v>47</v>
      </c>
      <c r="F479" s="1" t="s">
        <v>535</v>
      </c>
      <c r="G479" s="1" t="s">
        <v>456</v>
      </c>
      <c r="H479" s="2" t="s">
        <v>536</v>
      </c>
      <c r="I479" s="1">
        <v>156</v>
      </c>
      <c r="J479" s="1">
        <v>0.2</v>
      </c>
      <c r="K479" s="1" t="s">
        <v>52</v>
      </c>
      <c r="L479" s="1" t="s">
        <v>52</v>
      </c>
      <c r="M479" s="1">
        <v>3.09</v>
      </c>
      <c r="N479" s="1">
        <v>32</v>
      </c>
      <c r="O479" s="1">
        <v>63.803199999999997</v>
      </c>
      <c r="P479" s="1">
        <v>-167.81088</v>
      </c>
      <c r="Q479" s="1">
        <v>7.0865</v>
      </c>
      <c r="R479" s="1">
        <v>31.968</v>
      </c>
      <c r="S479" s="1">
        <v>300.99</v>
      </c>
      <c r="T479" s="1">
        <v>163.5</v>
      </c>
      <c r="U479" s="1">
        <v>26.54</v>
      </c>
      <c r="V479" s="1">
        <v>2100</v>
      </c>
      <c r="W479" s="3">
        <v>0.1497</v>
      </c>
      <c r="X479" s="1" t="s">
        <v>537</v>
      </c>
      <c r="Y479" s="1">
        <v>0.49</v>
      </c>
      <c r="Z479" s="1">
        <v>0.2</v>
      </c>
      <c r="AA479" s="1">
        <v>0.36799999999999999</v>
      </c>
      <c r="AB479" s="1">
        <v>2.6</v>
      </c>
      <c r="AC479" s="1">
        <v>0.1</v>
      </c>
      <c r="AD479" s="1">
        <v>0.01</v>
      </c>
      <c r="AE479" s="1">
        <v>0.23</v>
      </c>
      <c r="AF479" s="1">
        <v>0.11</v>
      </c>
      <c r="AH479" s="1" t="s">
        <v>538</v>
      </c>
      <c r="AI479" s="1">
        <v>4</v>
      </c>
      <c r="AJ479" s="1" t="s">
        <v>537</v>
      </c>
      <c r="AK479" s="1">
        <v>1.5</v>
      </c>
      <c r="AL479" s="1">
        <v>90.604900000000001</v>
      </c>
      <c r="AM479" s="1" t="s">
        <v>537</v>
      </c>
      <c r="AN479" s="1">
        <v>6.1605124340617898</v>
      </c>
      <c r="AO479" s="1">
        <v>0.92988866929234604</v>
      </c>
    </row>
    <row r="480" spans="1:45">
      <c r="A480" s="1" t="s">
        <v>539</v>
      </c>
      <c r="B480" s="1">
        <v>260</v>
      </c>
      <c r="C480" s="1" t="s">
        <v>539</v>
      </c>
      <c r="D480" s="1" t="s">
        <v>540</v>
      </c>
      <c r="E480" s="1" t="s">
        <v>47</v>
      </c>
      <c r="F480" s="1" t="s">
        <v>535</v>
      </c>
      <c r="G480" s="1" t="s">
        <v>456</v>
      </c>
      <c r="H480" s="2" t="s">
        <v>536</v>
      </c>
      <c r="I480" s="1">
        <v>156</v>
      </c>
      <c r="J480" s="1">
        <v>0.2</v>
      </c>
      <c r="K480" s="1" t="s">
        <v>65</v>
      </c>
      <c r="L480" s="1" t="s">
        <v>65</v>
      </c>
      <c r="M480" s="1">
        <v>20.190000000000001</v>
      </c>
      <c r="N480" s="1">
        <v>32</v>
      </c>
      <c r="O480" s="1">
        <v>63.803199999999997</v>
      </c>
      <c r="P480" s="1">
        <v>-167.81088</v>
      </c>
      <c r="Q480" s="1">
        <v>1.3320000000000001</v>
      </c>
      <c r="R480" s="1">
        <v>32.337499999999999</v>
      </c>
      <c r="S480" s="1">
        <v>326.86</v>
      </c>
      <c r="W480" s="3">
        <v>2.2069000000000001</v>
      </c>
      <c r="X480" s="1" t="s">
        <v>541</v>
      </c>
      <c r="Y480" s="1">
        <v>1.43</v>
      </c>
      <c r="Z480" s="1">
        <v>1.0900000000000001</v>
      </c>
      <c r="AA480" s="1">
        <v>1.107</v>
      </c>
      <c r="AB480" s="1">
        <v>11.8</v>
      </c>
      <c r="AC480" s="1">
        <v>4.0999999999999996</v>
      </c>
      <c r="AD480" s="1">
        <v>0.08</v>
      </c>
      <c r="AE480" s="1">
        <v>1.95</v>
      </c>
      <c r="AF480" s="1">
        <v>4.18</v>
      </c>
      <c r="AH480" s="1" t="s">
        <v>542</v>
      </c>
      <c r="AI480" s="1">
        <v>2</v>
      </c>
      <c r="AJ480" s="1" t="s">
        <v>541</v>
      </c>
      <c r="AK480" s="1">
        <v>1.5</v>
      </c>
      <c r="AL480" s="1">
        <v>79.099900000000005</v>
      </c>
      <c r="AM480" s="1" t="s">
        <v>541</v>
      </c>
    </row>
    <row r="481" spans="1:45">
      <c r="A481" s="1" t="s">
        <v>543</v>
      </c>
      <c r="B481" s="1">
        <v>261</v>
      </c>
      <c r="C481" s="1" t="s">
        <v>543</v>
      </c>
      <c r="D481" s="1" t="s">
        <v>544</v>
      </c>
      <c r="E481" s="1" t="s">
        <v>47</v>
      </c>
      <c r="F481" s="1" t="s">
        <v>535</v>
      </c>
      <c r="G481" s="1" t="s">
        <v>456</v>
      </c>
      <c r="H481" s="2" t="s">
        <v>536</v>
      </c>
      <c r="I481" s="1">
        <v>156</v>
      </c>
      <c r="J481" s="1">
        <v>0.2</v>
      </c>
      <c r="K481" s="1" t="s">
        <v>150</v>
      </c>
      <c r="L481" s="1" t="s">
        <v>78</v>
      </c>
      <c r="M481" s="1">
        <v>27.94</v>
      </c>
      <c r="N481" s="1">
        <v>32</v>
      </c>
      <c r="O481" s="1">
        <v>63.803199999999997</v>
      </c>
      <c r="P481" s="1">
        <v>-167.81088</v>
      </c>
      <c r="Q481" s="1">
        <v>1.218</v>
      </c>
      <c r="R481" s="1">
        <v>32.344999999999999</v>
      </c>
      <c r="S481" s="1">
        <v>326.47699999999998</v>
      </c>
      <c r="T481" s="1">
        <v>223.9</v>
      </c>
      <c r="U481" s="1">
        <v>46.4</v>
      </c>
      <c r="V481" s="1">
        <v>2620</v>
      </c>
      <c r="W481" s="3">
        <v>2.0024000000000002</v>
      </c>
      <c r="X481" s="1" t="s">
        <v>545</v>
      </c>
      <c r="Y481" s="1">
        <v>1.49</v>
      </c>
      <c r="Z481" s="1">
        <v>1.04</v>
      </c>
      <c r="AA481" s="1">
        <v>1.155</v>
      </c>
      <c r="AB481" s="1">
        <v>13.8</v>
      </c>
      <c r="AC481" s="1">
        <v>4.9000000000000004</v>
      </c>
      <c r="AD481" s="1">
        <v>0.1</v>
      </c>
      <c r="AE481" s="1">
        <v>2.09</v>
      </c>
      <c r="AF481" s="1">
        <v>5</v>
      </c>
      <c r="AH481" s="1" t="s">
        <v>546</v>
      </c>
      <c r="AI481" s="1">
        <v>1</v>
      </c>
      <c r="AJ481" s="1" t="s">
        <v>545</v>
      </c>
      <c r="AK481" s="1">
        <v>1.5</v>
      </c>
      <c r="AL481" s="1">
        <v>79.282799999999995</v>
      </c>
      <c r="AM481" s="1" t="s">
        <v>545</v>
      </c>
      <c r="AN481" s="1">
        <v>4.8254310344827598</v>
      </c>
      <c r="AO481" s="1">
        <v>0.72836694860117102</v>
      </c>
    </row>
    <row r="482" spans="1:45">
      <c r="A482" s="1" t="s">
        <v>547</v>
      </c>
      <c r="B482" s="1">
        <v>215</v>
      </c>
      <c r="C482" s="1" t="s">
        <v>547</v>
      </c>
      <c r="D482" s="1" t="s">
        <v>548</v>
      </c>
      <c r="E482" s="1" t="s">
        <v>47</v>
      </c>
      <c r="F482" s="1" t="s">
        <v>549</v>
      </c>
      <c r="G482" s="1" t="s">
        <v>456</v>
      </c>
      <c r="H482" s="2" t="s">
        <v>550</v>
      </c>
      <c r="I482" s="1">
        <v>127</v>
      </c>
      <c r="J482" s="1">
        <v>0.2</v>
      </c>
      <c r="K482" s="1" t="s">
        <v>52</v>
      </c>
      <c r="L482" s="1" t="s">
        <v>52</v>
      </c>
      <c r="M482" s="1">
        <v>4.05</v>
      </c>
      <c r="N482" s="1">
        <v>52</v>
      </c>
      <c r="O482" s="1">
        <v>65.095920000000007</v>
      </c>
      <c r="P482" s="1">
        <v>-169.61766</v>
      </c>
      <c r="Q482" s="1">
        <v>3.125</v>
      </c>
      <c r="R482" s="1">
        <v>32.898499999999999</v>
      </c>
      <c r="S482" s="1">
        <v>317.05900000000003</v>
      </c>
      <c r="T482" s="1">
        <v>226.5</v>
      </c>
      <c r="U482" s="1">
        <v>36.24</v>
      </c>
      <c r="V482" s="1">
        <v>3680</v>
      </c>
      <c r="W482" s="3">
        <v>1.4964999999999999</v>
      </c>
      <c r="X482" s="1" t="s">
        <v>551</v>
      </c>
      <c r="Y482" s="1">
        <v>1.87</v>
      </c>
      <c r="Z482" s="1">
        <v>0.26</v>
      </c>
      <c r="AA482" s="1">
        <v>1.6240000000000001</v>
      </c>
      <c r="AB482" s="1">
        <v>28</v>
      </c>
      <c r="AC482" s="1">
        <v>16.2</v>
      </c>
      <c r="AD482" s="1">
        <v>0.2</v>
      </c>
      <c r="AE482" s="1">
        <v>2.0499999999999998</v>
      </c>
      <c r="AF482" s="1">
        <v>16.399999999999999</v>
      </c>
      <c r="AH482" s="1" t="s">
        <v>552</v>
      </c>
      <c r="AI482" s="1">
        <v>6</v>
      </c>
      <c r="AJ482" s="1" t="s">
        <v>551</v>
      </c>
      <c r="AK482" s="1">
        <v>1.5</v>
      </c>
      <c r="AL482" s="1">
        <v>76.058499999999995</v>
      </c>
      <c r="AM482" s="1" t="s">
        <v>551</v>
      </c>
      <c r="AN482" s="1">
        <v>6.25</v>
      </c>
      <c r="AO482" s="1">
        <v>0.94339622641509402</v>
      </c>
    </row>
    <row r="483" spans="1:45">
      <c r="A483" s="1" t="s">
        <v>553</v>
      </c>
      <c r="B483" s="1">
        <v>216</v>
      </c>
      <c r="C483" s="1" t="s">
        <v>553</v>
      </c>
      <c r="D483" s="1" t="s">
        <v>554</v>
      </c>
      <c r="E483" s="1" t="s">
        <v>47</v>
      </c>
      <c r="F483" s="1" t="s">
        <v>549</v>
      </c>
      <c r="G483" s="1" t="s">
        <v>456</v>
      </c>
      <c r="H483" s="2" t="s">
        <v>550</v>
      </c>
      <c r="I483" s="1">
        <v>127</v>
      </c>
      <c r="J483" s="1">
        <v>0.2</v>
      </c>
      <c r="K483" s="1" t="s">
        <v>150</v>
      </c>
      <c r="L483" s="1" t="s">
        <v>78</v>
      </c>
      <c r="M483" s="1">
        <v>48.12</v>
      </c>
      <c r="N483" s="1">
        <v>52</v>
      </c>
      <c r="O483" s="1">
        <v>65.096119999999999</v>
      </c>
      <c r="P483" s="1">
        <v>-169.61928</v>
      </c>
      <c r="Q483" s="1">
        <v>3.1240000000000001</v>
      </c>
      <c r="R483" s="1">
        <v>32.899500000000003</v>
      </c>
      <c r="S483" s="1">
        <v>316.29199999999997</v>
      </c>
      <c r="T483" s="1">
        <v>206.84</v>
      </c>
      <c r="U483" s="1">
        <v>35.78</v>
      </c>
      <c r="V483" s="1">
        <v>3680</v>
      </c>
      <c r="W483" s="3">
        <v>1.2853000000000001</v>
      </c>
      <c r="X483" s="1" t="s">
        <v>555</v>
      </c>
      <c r="Y483" s="1">
        <v>0.55000000000000004</v>
      </c>
      <c r="Z483" s="1">
        <v>2.12</v>
      </c>
      <c r="AA483" s="1">
        <v>1.63</v>
      </c>
      <c r="AB483" s="1">
        <v>27.6</v>
      </c>
      <c r="AC483" s="1">
        <v>16.100000000000001</v>
      </c>
      <c r="AD483" s="1">
        <v>0.2</v>
      </c>
      <c r="AE483" s="1">
        <v>2.0099999999999998</v>
      </c>
      <c r="AF483" s="1">
        <v>16.3</v>
      </c>
      <c r="AH483" s="1" t="s">
        <v>556</v>
      </c>
      <c r="AI483" s="1">
        <v>1</v>
      </c>
      <c r="AJ483" s="1" t="s">
        <v>555</v>
      </c>
      <c r="AK483" s="1">
        <v>1.5</v>
      </c>
      <c r="AL483" s="1">
        <v>75.245199999999997</v>
      </c>
      <c r="AM483" s="1" t="s">
        <v>555</v>
      </c>
      <c r="AN483" s="1">
        <v>5.7808831749580802</v>
      </c>
      <c r="AO483" s="1">
        <v>0.87258613961631404</v>
      </c>
    </row>
    <row r="484" spans="1:45">
      <c r="A484" s="1" t="s">
        <v>557</v>
      </c>
      <c r="B484" s="1">
        <v>213</v>
      </c>
      <c r="C484" s="1" t="s">
        <v>557</v>
      </c>
      <c r="D484" s="1" t="s">
        <v>558</v>
      </c>
      <c r="E484" s="1" t="s">
        <v>47</v>
      </c>
      <c r="F484" s="1" t="s">
        <v>559</v>
      </c>
      <c r="G484" s="1" t="s">
        <v>456</v>
      </c>
      <c r="H484" s="2" t="s">
        <v>560</v>
      </c>
      <c r="I484" s="1">
        <v>125</v>
      </c>
      <c r="J484" s="1">
        <v>0.2</v>
      </c>
      <c r="K484" s="1" t="s">
        <v>52</v>
      </c>
      <c r="L484" s="1" t="s">
        <v>52</v>
      </c>
      <c r="M484" s="1">
        <v>4.9000000000000004</v>
      </c>
      <c r="N484" s="1">
        <v>52</v>
      </c>
      <c r="O484" s="1">
        <v>65.367379999999997</v>
      </c>
      <c r="P484" s="1">
        <v>-169.07947999999999</v>
      </c>
      <c r="Q484" s="1">
        <v>3.0935000000000001</v>
      </c>
      <c r="R484" s="1">
        <v>32.841500000000003</v>
      </c>
      <c r="S484" s="1">
        <v>310.61799999999999</v>
      </c>
      <c r="T484" s="1">
        <v>221.46</v>
      </c>
      <c r="U484" s="1">
        <v>34.24</v>
      </c>
      <c r="V484" s="1">
        <v>6340</v>
      </c>
      <c r="W484" s="3">
        <v>1.0694999999999999</v>
      </c>
      <c r="X484" s="1" t="s">
        <v>561</v>
      </c>
      <c r="Y484" s="1">
        <v>2.08</v>
      </c>
      <c r="Z484" s="1">
        <v>0.69</v>
      </c>
      <c r="AA484" s="1">
        <v>1.5309999999999999</v>
      </c>
      <c r="AB484" s="1">
        <v>26.1</v>
      </c>
      <c r="AC484" s="1">
        <v>14.6</v>
      </c>
      <c r="AD484" s="1">
        <v>0.19</v>
      </c>
      <c r="AE484" s="1">
        <v>2.64</v>
      </c>
      <c r="AF484" s="1">
        <v>14.79</v>
      </c>
      <c r="AH484" s="1" t="s">
        <v>562</v>
      </c>
      <c r="AI484" s="1">
        <v>6</v>
      </c>
      <c r="AJ484" s="1" t="s">
        <v>561</v>
      </c>
      <c r="AK484" s="1">
        <v>2</v>
      </c>
      <c r="AL484" s="1">
        <v>69.3399</v>
      </c>
      <c r="AM484" s="1" t="s">
        <v>561</v>
      </c>
      <c r="AN484" s="1">
        <v>6.4678738317756999</v>
      </c>
      <c r="AO484" s="1">
        <v>0.97628284253218101</v>
      </c>
    </row>
    <row r="485" spans="1:45">
      <c r="A485" s="1" t="s">
        <v>563</v>
      </c>
      <c r="B485" s="1">
        <v>214</v>
      </c>
      <c r="C485" s="1" t="s">
        <v>563</v>
      </c>
      <c r="D485" s="1" t="s">
        <v>564</v>
      </c>
      <c r="E485" s="1" t="s">
        <v>47</v>
      </c>
      <c r="F485" s="1" t="s">
        <v>559</v>
      </c>
      <c r="G485" s="1" t="s">
        <v>456</v>
      </c>
      <c r="H485" s="2" t="s">
        <v>560</v>
      </c>
      <c r="I485" s="1">
        <v>125</v>
      </c>
      <c r="J485" s="1">
        <v>0.2</v>
      </c>
      <c r="K485" s="1" t="s">
        <v>150</v>
      </c>
      <c r="L485" s="1" t="s">
        <v>78</v>
      </c>
      <c r="M485" s="1">
        <v>47.77</v>
      </c>
      <c r="N485" s="1">
        <v>52</v>
      </c>
      <c r="O485" s="1">
        <v>65.367360000000005</v>
      </c>
      <c r="P485" s="1">
        <v>-169.07951</v>
      </c>
      <c r="Q485" s="1">
        <v>3.0924999999999998</v>
      </c>
      <c r="R485" s="1">
        <v>32.840499999999999</v>
      </c>
      <c r="S485" s="1">
        <v>310.36900000000003</v>
      </c>
      <c r="T485" s="1">
        <v>212.04</v>
      </c>
      <c r="U485" s="1">
        <v>31.86</v>
      </c>
      <c r="V485" s="1">
        <v>4940</v>
      </c>
      <c r="W485" s="3">
        <v>1.4138999999999999</v>
      </c>
      <c r="X485" s="1" t="s">
        <v>565</v>
      </c>
      <c r="Y485" s="1">
        <v>1.99</v>
      </c>
      <c r="Z485" s="1">
        <v>0.99</v>
      </c>
      <c r="AA485" s="1">
        <v>1.536</v>
      </c>
      <c r="AB485" s="1">
        <v>26.9</v>
      </c>
      <c r="AC485" s="1">
        <v>14.6</v>
      </c>
      <c r="AD485" s="1">
        <v>0.19</v>
      </c>
      <c r="AE485" s="1">
        <v>3.02</v>
      </c>
      <c r="AF485" s="1">
        <v>14.79</v>
      </c>
      <c r="AH485" s="1" t="s">
        <v>566</v>
      </c>
      <c r="AI485" s="1">
        <v>1</v>
      </c>
      <c r="AJ485" s="1" t="s">
        <v>565</v>
      </c>
      <c r="AK485" s="1">
        <v>2</v>
      </c>
      <c r="AL485" s="1">
        <v>69.197999999999993</v>
      </c>
      <c r="AM485" s="1" t="s">
        <v>565</v>
      </c>
      <c r="AN485" s="1">
        <v>6.6553672316384196</v>
      </c>
      <c r="AO485" s="1">
        <v>1.0045837330775</v>
      </c>
    </row>
    <row r="486" spans="1:45">
      <c r="A486" s="1" t="s">
        <v>567</v>
      </c>
      <c r="B486" s="1">
        <v>211</v>
      </c>
      <c r="C486" s="1" t="s">
        <v>567</v>
      </c>
      <c r="D486" s="1" t="s">
        <v>568</v>
      </c>
      <c r="E486" s="1" t="s">
        <v>47</v>
      </c>
      <c r="F486" s="1" t="s">
        <v>569</v>
      </c>
      <c r="G486" s="1" t="s">
        <v>456</v>
      </c>
      <c r="H486" s="2" t="s">
        <v>570</v>
      </c>
      <c r="I486" s="1">
        <v>124</v>
      </c>
      <c r="J486" s="1">
        <v>0.2</v>
      </c>
      <c r="K486" s="1" t="s">
        <v>52</v>
      </c>
      <c r="L486" s="1" t="s">
        <v>52</v>
      </c>
      <c r="M486" s="1">
        <v>4.92</v>
      </c>
      <c r="N486" s="1">
        <v>58</v>
      </c>
      <c r="O486" s="1">
        <v>65.501980000000003</v>
      </c>
      <c r="P486" s="1">
        <v>-168.80876000000001</v>
      </c>
      <c r="Q486" s="1">
        <v>3.097</v>
      </c>
      <c r="R486" s="1">
        <v>32.753500000000003</v>
      </c>
      <c r="S486" s="1">
        <v>303.87799999999999</v>
      </c>
      <c r="W486" s="3">
        <v>1.7554000000000001</v>
      </c>
      <c r="X486" s="1" t="s">
        <v>571</v>
      </c>
      <c r="Y486" s="1">
        <v>1.91</v>
      </c>
      <c r="Z486" s="1">
        <v>0.98</v>
      </c>
      <c r="AA486" s="1">
        <v>1.552</v>
      </c>
      <c r="AB486" s="1">
        <v>26.8</v>
      </c>
      <c r="AC486" s="1">
        <v>15.6</v>
      </c>
      <c r="AD486" s="1">
        <v>0.2</v>
      </c>
      <c r="AE486" s="1">
        <v>1.52</v>
      </c>
      <c r="AF486" s="1">
        <v>15.8</v>
      </c>
      <c r="AH486" s="1" t="s">
        <v>572</v>
      </c>
      <c r="AI486" s="1">
        <v>6</v>
      </c>
      <c r="AJ486" s="1" t="s">
        <v>571</v>
      </c>
      <c r="AK486" s="1">
        <v>1.5</v>
      </c>
      <c r="AL486" s="1">
        <v>76.945300000000003</v>
      </c>
      <c r="AM486" s="1" t="s">
        <v>571</v>
      </c>
      <c r="AS486" s="1" t="s">
        <v>573</v>
      </c>
    </row>
    <row r="487" spans="1:45">
      <c r="A487" s="1" t="s">
        <v>574</v>
      </c>
      <c r="B487" s="1">
        <v>212</v>
      </c>
      <c r="C487" s="1" t="s">
        <v>574</v>
      </c>
      <c r="D487" s="1" t="s">
        <v>575</v>
      </c>
      <c r="E487" s="1" t="s">
        <v>47</v>
      </c>
      <c r="F487" s="1" t="s">
        <v>569</v>
      </c>
      <c r="G487" s="1" t="s">
        <v>456</v>
      </c>
      <c r="H487" s="2" t="s">
        <v>570</v>
      </c>
      <c r="I487" s="1">
        <v>124</v>
      </c>
      <c r="J487" s="1">
        <v>0.2</v>
      </c>
      <c r="K487" s="1" t="s">
        <v>150</v>
      </c>
      <c r="L487" s="1" t="s">
        <v>78</v>
      </c>
      <c r="M487" s="1">
        <v>54.91</v>
      </c>
      <c r="N487" s="1">
        <v>58</v>
      </c>
      <c r="O487" s="1">
        <v>65.502009999999999</v>
      </c>
      <c r="P487" s="1">
        <v>-168.80889999999999</v>
      </c>
      <c r="Q487" s="1">
        <v>3.08</v>
      </c>
      <c r="R487" s="1">
        <v>32.750999999999998</v>
      </c>
      <c r="S487" s="1">
        <v>303.291</v>
      </c>
      <c r="W487" s="3">
        <v>1.8499000000000001</v>
      </c>
      <c r="X487" s="1" t="s">
        <v>576</v>
      </c>
      <c r="Y487" s="1">
        <v>2.2000000000000002</v>
      </c>
      <c r="Z487" s="1">
        <v>0.42</v>
      </c>
      <c r="AA487" s="1">
        <v>1.554</v>
      </c>
      <c r="AB487" s="1">
        <v>26.5</v>
      </c>
      <c r="AC487" s="1">
        <v>15.6</v>
      </c>
      <c r="AD487" s="1">
        <v>0.2</v>
      </c>
      <c r="AE487" s="1">
        <v>1.63</v>
      </c>
      <c r="AF487" s="1">
        <v>15.8</v>
      </c>
      <c r="AH487" s="1" t="s">
        <v>577</v>
      </c>
      <c r="AI487" s="1">
        <v>1</v>
      </c>
      <c r="AJ487" s="1" t="s">
        <v>576</v>
      </c>
      <c r="AK487" s="1">
        <v>1.5</v>
      </c>
      <c r="AL487" s="1">
        <v>76.464299999999994</v>
      </c>
      <c r="AM487" s="1" t="s">
        <v>576</v>
      </c>
    </row>
    <row r="488" spans="1:45">
      <c r="A488" s="1" t="s">
        <v>578</v>
      </c>
      <c r="B488" s="1">
        <v>235</v>
      </c>
      <c r="C488" s="1" t="s">
        <v>578</v>
      </c>
      <c r="D488" s="1" t="s">
        <v>579</v>
      </c>
      <c r="E488" s="1" t="s">
        <v>47</v>
      </c>
      <c r="F488" s="1" t="s">
        <v>580</v>
      </c>
      <c r="G488" s="1" t="s">
        <v>456</v>
      </c>
      <c r="H488" s="2" t="s">
        <v>581</v>
      </c>
      <c r="I488" s="1">
        <v>139</v>
      </c>
      <c r="J488" s="1">
        <v>0.2</v>
      </c>
      <c r="K488" s="1" t="s">
        <v>52</v>
      </c>
      <c r="L488" s="1" t="s">
        <v>52</v>
      </c>
      <c r="M488" s="1">
        <v>4.26</v>
      </c>
      <c r="N488" s="1">
        <v>47</v>
      </c>
      <c r="O488" s="1">
        <v>63.875320000000002</v>
      </c>
      <c r="P488" s="1">
        <v>-172.04872</v>
      </c>
      <c r="Q488" s="1">
        <v>6.9210000000000003</v>
      </c>
      <c r="R488" s="1">
        <v>32.344000000000001</v>
      </c>
      <c r="S488" s="1">
        <v>314.98500000000001</v>
      </c>
      <c r="T488" s="1">
        <v>109.74</v>
      </c>
      <c r="U488" s="1">
        <v>16.28</v>
      </c>
      <c r="V488" s="1">
        <v>1879.99999999999</v>
      </c>
      <c r="W488" s="3">
        <v>0.15090000000000001</v>
      </c>
      <c r="X488" s="1" t="s">
        <v>582</v>
      </c>
      <c r="Y488" s="1">
        <v>0.28999999999999998</v>
      </c>
      <c r="Z488" s="1">
        <v>0.12</v>
      </c>
      <c r="AA488" s="1">
        <v>0.1</v>
      </c>
      <c r="AB488" s="1">
        <v>1.5</v>
      </c>
      <c r="AC488" s="1">
        <v>0.1</v>
      </c>
      <c r="AD488" s="1">
        <v>0</v>
      </c>
      <c r="AE488" s="1">
        <v>0.23</v>
      </c>
      <c r="AF488" s="1">
        <v>0.1</v>
      </c>
      <c r="AH488" s="1" t="s">
        <v>583</v>
      </c>
      <c r="AI488" s="1">
        <v>7</v>
      </c>
      <c r="AJ488" s="1" t="s">
        <v>582</v>
      </c>
      <c r="AK488" s="1">
        <v>2</v>
      </c>
      <c r="AL488" s="1">
        <v>95.401899999999998</v>
      </c>
      <c r="AM488" s="1" t="s">
        <v>582</v>
      </c>
      <c r="AN488" s="1">
        <v>6.7407862407862398</v>
      </c>
      <c r="AO488" s="1">
        <v>1.0174771684205599</v>
      </c>
    </row>
    <row r="489" spans="1:45">
      <c r="A489" s="1" t="s">
        <v>584</v>
      </c>
      <c r="B489" s="1">
        <v>236</v>
      </c>
      <c r="C489" s="1" t="s">
        <v>584</v>
      </c>
      <c r="D489" s="1" t="s">
        <v>585</v>
      </c>
      <c r="E489" s="1" t="s">
        <v>47</v>
      </c>
      <c r="F489" s="1" t="s">
        <v>580</v>
      </c>
      <c r="G489" s="1" t="s">
        <v>456</v>
      </c>
      <c r="H489" s="2" t="s">
        <v>581</v>
      </c>
      <c r="I489" s="1">
        <v>139</v>
      </c>
      <c r="J489" s="1">
        <v>0.2</v>
      </c>
      <c r="K489" s="1" t="s">
        <v>486</v>
      </c>
      <c r="L489" s="1" t="s">
        <v>65</v>
      </c>
      <c r="M489" s="1">
        <v>20.73</v>
      </c>
      <c r="N489" s="1">
        <v>47</v>
      </c>
      <c r="O489" s="1">
        <v>63.875320000000002</v>
      </c>
      <c r="P489" s="1">
        <v>-172.04872</v>
      </c>
      <c r="Q489" s="1">
        <v>2.5739999999999998</v>
      </c>
      <c r="R489" s="1">
        <v>32.677</v>
      </c>
      <c r="S489" s="1">
        <v>365.28899999999999</v>
      </c>
      <c r="W489" s="3">
        <v>2.6686000000000001</v>
      </c>
      <c r="X489" s="1" t="s">
        <v>586</v>
      </c>
      <c r="Y489" s="1">
        <v>2.2999999999999998</v>
      </c>
      <c r="Z489" s="1">
        <v>0.19</v>
      </c>
      <c r="AA489" s="1">
        <v>0.82</v>
      </c>
      <c r="AB489" s="1">
        <v>15.1</v>
      </c>
      <c r="AC489" s="1">
        <v>7.9</v>
      </c>
      <c r="AD489" s="1">
        <v>0.11</v>
      </c>
      <c r="AE489" s="1">
        <v>0.87</v>
      </c>
      <c r="AF489" s="1">
        <v>8.01</v>
      </c>
      <c r="AH489" s="1" t="s">
        <v>587</v>
      </c>
      <c r="AI489" s="1">
        <v>5</v>
      </c>
      <c r="AJ489" s="1" t="s">
        <v>586</v>
      </c>
      <c r="AK489" s="1">
        <v>2</v>
      </c>
      <c r="AL489" s="1">
        <v>83.825999999999993</v>
      </c>
      <c r="AM489" s="1" t="s">
        <v>586</v>
      </c>
      <c r="AS489" s="1" t="s">
        <v>588</v>
      </c>
    </row>
    <row r="490" spans="1:45">
      <c r="A490" s="1" t="s">
        <v>589</v>
      </c>
      <c r="B490" s="1">
        <v>237</v>
      </c>
      <c r="C490" s="1" t="s">
        <v>589</v>
      </c>
      <c r="D490" s="1" t="s">
        <v>590</v>
      </c>
      <c r="E490" s="1" t="s">
        <v>47</v>
      </c>
      <c r="F490" s="1" t="s">
        <v>580</v>
      </c>
      <c r="G490" s="1" t="s">
        <v>456</v>
      </c>
      <c r="H490" s="2" t="s">
        <v>581</v>
      </c>
      <c r="I490" s="1">
        <v>139</v>
      </c>
      <c r="J490" s="1">
        <v>0.2</v>
      </c>
      <c r="K490" s="1" t="s">
        <v>512</v>
      </c>
      <c r="L490" s="1" t="s">
        <v>65</v>
      </c>
      <c r="M490" s="1">
        <v>24.97</v>
      </c>
      <c r="N490" s="1">
        <v>47</v>
      </c>
      <c r="O490" s="1">
        <v>63.875320000000002</v>
      </c>
      <c r="P490" s="1">
        <v>-172.04872</v>
      </c>
      <c r="Q490" s="1">
        <v>1.9185000000000001</v>
      </c>
      <c r="R490" s="1">
        <v>32.8155</v>
      </c>
      <c r="S490" s="1">
        <v>326.76600000000002</v>
      </c>
      <c r="T490" s="1">
        <v>304.95999999999998</v>
      </c>
      <c r="U490" s="1">
        <v>56.56</v>
      </c>
      <c r="V490" s="1">
        <v>3559.99999999999</v>
      </c>
      <c r="W490" s="3">
        <v>3.5573000000000001</v>
      </c>
      <c r="X490" s="1" t="s">
        <v>591</v>
      </c>
      <c r="Y490" s="1">
        <v>4.0599999999999996</v>
      </c>
      <c r="Z490" s="1">
        <v>0.15</v>
      </c>
      <c r="AA490" s="1">
        <v>1.425</v>
      </c>
      <c r="AB490" s="1">
        <v>23.7</v>
      </c>
      <c r="AC490" s="1">
        <v>14.3</v>
      </c>
      <c r="AD490" s="1">
        <v>0.18</v>
      </c>
      <c r="AE490" s="1">
        <v>1.71</v>
      </c>
      <c r="AF490" s="1">
        <v>14.48</v>
      </c>
      <c r="AH490" s="1" t="s">
        <v>592</v>
      </c>
      <c r="AI490" s="1">
        <v>4</v>
      </c>
      <c r="AJ490" s="1" t="s">
        <v>591</v>
      </c>
      <c r="AK490" s="1">
        <v>2</v>
      </c>
      <c r="AL490" s="1">
        <v>80.153199999999998</v>
      </c>
      <c r="AM490" s="1" t="s">
        <v>591</v>
      </c>
      <c r="AN490" s="1">
        <v>5.3917963224893901</v>
      </c>
      <c r="AO490" s="1">
        <v>0.81385604867764405</v>
      </c>
    </row>
    <row r="491" spans="1:45">
      <c r="A491" s="1" t="s">
        <v>593</v>
      </c>
      <c r="B491" s="1">
        <v>238</v>
      </c>
      <c r="C491" s="1" t="s">
        <v>593</v>
      </c>
      <c r="D491" s="1" t="s">
        <v>594</v>
      </c>
      <c r="E491" s="1" t="s">
        <v>47</v>
      </c>
      <c r="F491" s="1" t="s">
        <v>580</v>
      </c>
      <c r="G491" s="1" t="s">
        <v>456</v>
      </c>
      <c r="H491" s="2" t="s">
        <v>581</v>
      </c>
      <c r="I491" s="1">
        <v>139</v>
      </c>
      <c r="J491" s="1">
        <v>0.2</v>
      </c>
      <c r="K491" s="1" t="s">
        <v>150</v>
      </c>
      <c r="L491" s="1" t="s">
        <v>78</v>
      </c>
      <c r="M491" s="1">
        <v>44.74</v>
      </c>
      <c r="N491" s="1">
        <v>47</v>
      </c>
      <c r="O491" s="1">
        <v>63.875320000000002</v>
      </c>
      <c r="P491" s="1">
        <v>-172.04872</v>
      </c>
      <c r="Q491" s="1">
        <v>1.8294999999999999</v>
      </c>
      <c r="R491" s="1">
        <v>32.817999999999998</v>
      </c>
      <c r="S491" s="1">
        <v>324.08600000000001</v>
      </c>
      <c r="T491" s="1">
        <v>253.78</v>
      </c>
      <c r="U491" s="1">
        <v>41.24</v>
      </c>
      <c r="V491" s="1">
        <v>4080</v>
      </c>
      <c r="W491" s="3">
        <v>2.6722000000000001</v>
      </c>
      <c r="X491" s="1" t="s">
        <v>595</v>
      </c>
      <c r="Y491" s="1">
        <v>2.78</v>
      </c>
      <c r="Z491" s="1">
        <v>0.61</v>
      </c>
      <c r="AA491" s="1">
        <v>1.5680000000000001</v>
      </c>
      <c r="AB491" s="1">
        <v>24.6</v>
      </c>
      <c r="AC491" s="1">
        <v>15.7</v>
      </c>
      <c r="AD491" s="1">
        <v>0.2</v>
      </c>
      <c r="AE491" s="1">
        <v>1.79</v>
      </c>
      <c r="AF491" s="1">
        <v>15.9</v>
      </c>
      <c r="AH491" s="1" t="s">
        <v>596</v>
      </c>
      <c r="AI491" s="1">
        <v>1</v>
      </c>
      <c r="AJ491" s="1" t="s">
        <v>595</v>
      </c>
      <c r="AK491" s="1">
        <v>2</v>
      </c>
      <c r="AL491" s="1">
        <v>78.7607</v>
      </c>
      <c r="AM491" s="1" t="s">
        <v>595</v>
      </c>
      <c r="AN491" s="1">
        <v>6.1537342386032998</v>
      </c>
      <c r="AO491" s="1">
        <v>0.92886554544955402</v>
      </c>
    </row>
    <row r="492" spans="1:45">
      <c r="A492" s="1" t="s">
        <v>597</v>
      </c>
      <c r="B492" s="1">
        <v>232</v>
      </c>
      <c r="C492" s="1" t="s">
        <v>597</v>
      </c>
      <c r="D492" s="1" t="s">
        <v>598</v>
      </c>
      <c r="E492" s="1" t="s">
        <v>47</v>
      </c>
      <c r="F492" s="1" t="s">
        <v>127</v>
      </c>
      <c r="G492" s="1" t="s">
        <v>456</v>
      </c>
      <c r="H492" s="2" t="s">
        <v>599</v>
      </c>
      <c r="I492" s="1">
        <v>136</v>
      </c>
      <c r="J492" s="1">
        <v>0.2</v>
      </c>
      <c r="K492" s="1" t="s">
        <v>52</v>
      </c>
      <c r="L492" s="1" t="s">
        <v>52</v>
      </c>
      <c r="M492" s="1">
        <v>3.72</v>
      </c>
      <c r="N492" s="1">
        <v>46</v>
      </c>
      <c r="O492" s="1">
        <v>64.146379999999994</v>
      </c>
      <c r="P492" s="1">
        <v>-171.50935999999999</v>
      </c>
      <c r="Q492" s="1">
        <v>4.47</v>
      </c>
      <c r="R492" s="1">
        <v>32.8095</v>
      </c>
      <c r="S492" s="1">
        <v>305.125</v>
      </c>
      <c r="T492" s="1">
        <v>162.06</v>
      </c>
      <c r="U492" s="1">
        <v>24.76</v>
      </c>
      <c r="V492" s="1">
        <v>2059.99999999999</v>
      </c>
      <c r="W492" s="3">
        <v>0.94930000000000003</v>
      </c>
      <c r="X492" s="1" t="s">
        <v>600</v>
      </c>
      <c r="Y492" s="1">
        <v>1.07</v>
      </c>
      <c r="Z492" s="1">
        <v>0.34</v>
      </c>
      <c r="AA492" s="1">
        <v>1.069</v>
      </c>
      <c r="AB492" s="1">
        <v>18.100000000000001</v>
      </c>
      <c r="AC492" s="1">
        <v>10.1</v>
      </c>
      <c r="AD492" s="1">
        <v>0.11</v>
      </c>
      <c r="AE492" s="1">
        <v>1.39</v>
      </c>
      <c r="AF492" s="1">
        <v>10.210000000000001</v>
      </c>
      <c r="AH492" s="1" t="s">
        <v>601</v>
      </c>
      <c r="AI492" s="1">
        <v>7</v>
      </c>
      <c r="AJ492" s="1" t="s">
        <v>600</v>
      </c>
      <c r="AK492" s="1">
        <v>2</v>
      </c>
      <c r="AL492" s="1">
        <v>89.376599999999996</v>
      </c>
      <c r="AM492" s="1" t="s">
        <v>600</v>
      </c>
      <c r="AN492" s="1">
        <v>6.5452342487883701</v>
      </c>
      <c r="AO492" s="1">
        <v>0.98795988660956502</v>
      </c>
      <c r="AS492" s="1" t="s">
        <v>602</v>
      </c>
    </row>
    <row r="493" spans="1:45">
      <c r="A493" s="1" t="s">
        <v>603</v>
      </c>
      <c r="B493" s="1">
        <v>233</v>
      </c>
      <c r="C493" s="1" t="s">
        <v>603</v>
      </c>
      <c r="D493" s="1" t="s">
        <v>604</v>
      </c>
      <c r="E493" s="1" t="s">
        <v>47</v>
      </c>
      <c r="F493" s="1" t="s">
        <v>127</v>
      </c>
      <c r="G493" s="1" t="s">
        <v>456</v>
      </c>
      <c r="H493" s="2" t="s">
        <v>599</v>
      </c>
      <c r="I493" s="1">
        <v>136</v>
      </c>
      <c r="J493" s="1">
        <v>0.2</v>
      </c>
      <c r="K493" s="1" t="s">
        <v>65</v>
      </c>
      <c r="L493" s="1" t="s">
        <v>65</v>
      </c>
      <c r="M493" s="1">
        <v>9.8000000000000007</v>
      </c>
      <c r="N493" s="1">
        <v>46</v>
      </c>
      <c r="O493" s="1">
        <v>64.146379999999994</v>
      </c>
      <c r="P493" s="1">
        <v>-171.50935999999999</v>
      </c>
      <c r="Q493" s="1">
        <v>3.59</v>
      </c>
      <c r="R493" s="1">
        <v>32.827500000000001</v>
      </c>
      <c r="S493" s="1">
        <v>309.87700000000001</v>
      </c>
      <c r="W493" s="3">
        <v>0.96299999999999997</v>
      </c>
      <c r="X493" s="1" t="s">
        <v>605</v>
      </c>
      <c r="Y493" s="1">
        <v>1.24</v>
      </c>
      <c r="Z493" s="1">
        <v>0.25</v>
      </c>
      <c r="AA493" s="1">
        <v>1.2330000000000001</v>
      </c>
      <c r="AB493" s="1">
        <v>19.5</v>
      </c>
      <c r="AC493" s="1">
        <v>12.2</v>
      </c>
      <c r="AD493" s="1">
        <v>0.14000000000000001</v>
      </c>
      <c r="AE493" s="1">
        <v>1.56</v>
      </c>
      <c r="AF493" s="1">
        <v>12.34</v>
      </c>
      <c r="AH493" s="1" t="s">
        <v>606</v>
      </c>
      <c r="AI493" s="1">
        <v>5</v>
      </c>
      <c r="AJ493" s="1" t="s">
        <v>607</v>
      </c>
      <c r="AK493" s="1">
        <v>2</v>
      </c>
      <c r="AL493" s="1">
        <v>86.520799999999994</v>
      </c>
      <c r="AM493" s="1" t="s">
        <v>605</v>
      </c>
      <c r="AS493" s="1" t="s">
        <v>608</v>
      </c>
    </row>
    <row r="494" spans="1:45">
      <c r="A494" s="1" t="s">
        <v>609</v>
      </c>
      <c r="B494" s="1">
        <v>234</v>
      </c>
      <c r="C494" s="1" t="s">
        <v>609</v>
      </c>
      <c r="D494" s="1" t="s">
        <v>610</v>
      </c>
      <c r="E494" s="1" t="s">
        <v>47</v>
      </c>
      <c r="F494" s="1" t="s">
        <v>127</v>
      </c>
      <c r="G494" s="1" t="s">
        <v>456</v>
      </c>
      <c r="H494" s="2" t="s">
        <v>599</v>
      </c>
      <c r="I494" s="1">
        <v>136</v>
      </c>
      <c r="J494" s="1">
        <v>0.2</v>
      </c>
      <c r="K494" s="1" t="s">
        <v>150</v>
      </c>
      <c r="L494" s="1" t="s">
        <v>78</v>
      </c>
      <c r="M494" s="1">
        <v>41.79</v>
      </c>
      <c r="N494" s="1">
        <v>46</v>
      </c>
      <c r="O494" s="1">
        <v>64.146360000000001</v>
      </c>
      <c r="P494" s="1">
        <v>-171.50935999999999</v>
      </c>
      <c r="Q494" s="1">
        <v>2.8515000000000001</v>
      </c>
      <c r="R494" s="1">
        <v>32.831499999999998</v>
      </c>
      <c r="S494" s="1">
        <v>315.351</v>
      </c>
      <c r="T494" s="1">
        <v>178.12</v>
      </c>
      <c r="U494" s="1">
        <v>26.42</v>
      </c>
      <c r="V494" s="1">
        <v>3100.00000000001</v>
      </c>
      <c r="W494" s="3">
        <v>1.3559000000000001</v>
      </c>
      <c r="X494" s="1" t="s">
        <v>611</v>
      </c>
      <c r="Y494" s="1">
        <v>1.06</v>
      </c>
      <c r="Z494" s="1">
        <v>0.78</v>
      </c>
      <c r="AA494" s="1">
        <v>1.4419999999999999</v>
      </c>
      <c r="AB494" s="1">
        <v>24.6</v>
      </c>
      <c r="AC494" s="1">
        <v>14.7</v>
      </c>
      <c r="AD494" s="1">
        <v>0.17</v>
      </c>
      <c r="AE494" s="1">
        <v>1.68</v>
      </c>
      <c r="AF494" s="1">
        <v>14.87</v>
      </c>
      <c r="AH494" s="1" t="s">
        <v>612</v>
      </c>
      <c r="AI494" s="1">
        <v>1</v>
      </c>
      <c r="AJ494" s="1" t="s">
        <v>611</v>
      </c>
      <c r="AK494" s="1">
        <v>2</v>
      </c>
      <c r="AL494" s="1">
        <v>83.029300000000006</v>
      </c>
      <c r="AM494" s="1" t="s">
        <v>611</v>
      </c>
      <c r="AN494" s="1">
        <v>6.7418622255866802</v>
      </c>
      <c r="AO494" s="1">
        <v>1.01763958122063</v>
      </c>
    </row>
    <row r="495" spans="1:45">
      <c r="A495" s="1" t="s">
        <v>613</v>
      </c>
      <c r="B495" s="1">
        <v>229</v>
      </c>
      <c r="C495" s="1" t="s">
        <v>613</v>
      </c>
      <c r="D495" s="1" t="s">
        <v>614</v>
      </c>
      <c r="E495" s="1" t="s">
        <v>47</v>
      </c>
      <c r="F495" s="1" t="s">
        <v>615</v>
      </c>
      <c r="G495" s="1" t="s">
        <v>456</v>
      </c>
      <c r="H495" s="2" t="s">
        <v>616</v>
      </c>
      <c r="I495" s="1">
        <v>132</v>
      </c>
      <c r="J495" s="1">
        <v>0.2</v>
      </c>
      <c r="K495" s="1" t="s">
        <v>52</v>
      </c>
      <c r="L495" s="1" t="s">
        <v>52</v>
      </c>
      <c r="M495" s="1">
        <v>3.3</v>
      </c>
      <c r="N495" s="1">
        <v>49</v>
      </c>
      <c r="O495" s="1">
        <v>64.689279999999997</v>
      </c>
      <c r="P495" s="1">
        <v>-170.42949999999999</v>
      </c>
      <c r="Q495" s="1">
        <v>3.2709999999999999</v>
      </c>
      <c r="R495" s="1">
        <v>32.8855</v>
      </c>
      <c r="S495" s="1">
        <v>309.67599999999999</v>
      </c>
      <c r="T495" s="1">
        <v>164.08</v>
      </c>
      <c r="U495" s="1">
        <v>25.8</v>
      </c>
      <c r="V495" s="1">
        <v>2699.99999999999</v>
      </c>
      <c r="W495" s="3">
        <v>0.78959999999999997</v>
      </c>
      <c r="X495" s="1" t="s">
        <v>617</v>
      </c>
      <c r="Y495" s="1">
        <v>0.96</v>
      </c>
      <c r="Z495" s="1">
        <v>0.18</v>
      </c>
      <c r="AA495" s="1">
        <v>1.4950000000000001</v>
      </c>
      <c r="AB495" s="1">
        <v>26.4</v>
      </c>
      <c r="AC495" s="1">
        <v>15.9</v>
      </c>
      <c r="AD495" s="1">
        <v>0.17</v>
      </c>
      <c r="AE495" s="1">
        <v>1.98</v>
      </c>
      <c r="AF495" s="1">
        <v>16.07</v>
      </c>
      <c r="AH495" s="1" t="s">
        <v>618</v>
      </c>
      <c r="AI495" s="1">
        <v>5</v>
      </c>
      <c r="AJ495" s="1" t="s">
        <v>617</v>
      </c>
      <c r="AK495" s="1">
        <v>2</v>
      </c>
      <c r="AL495" s="1">
        <v>83.538600000000002</v>
      </c>
      <c r="AM495" s="1" t="s">
        <v>617</v>
      </c>
      <c r="AN495" s="1">
        <v>6.3596899224806203</v>
      </c>
      <c r="AO495" s="1">
        <v>0.95995319584613104</v>
      </c>
      <c r="AS495" s="1" t="s">
        <v>619</v>
      </c>
    </row>
    <row r="496" spans="1:45">
      <c r="A496" s="1" t="s">
        <v>620</v>
      </c>
      <c r="B496" s="1">
        <v>230</v>
      </c>
      <c r="C496" s="1" t="s">
        <v>620</v>
      </c>
      <c r="D496" s="1" t="s">
        <v>621</v>
      </c>
      <c r="E496" s="1" t="s">
        <v>47</v>
      </c>
      <c r="F496" s="1" t="s">
        <v>615</v>
      </c>
      <c r="G496" s="1" t="s">
        <v>456</v>
      </c>
      <c r="H496" s="2" t="s">
        <v>616</v>
      </c>
      <c r="I496" s="1">
        <v>132</v>
      </c>
      <c r="J496" s="1">
        <v>0.2</v>
      </c>
      <c r="K496" s="1" t="s">
        <v>65</v>
      </c>
      <c r="L496" s="1" t="s">
        <v>65</v>
      </c>
      <c r="M496" s="1">
        <v>20.100000000000001</v>
      </c>
      <c r="N496" s="1">
        <v>49</v>
      </c>
      <c r="O496" s="1">
        <v>64.689279999999997</v>
      </c>
      <c r="P496" s="1">
        <v>-170.42949999999999</v>
      </c>
      <c r="Q496" s="1">
        <v>2.89</v>
      </c>
      <c r="R496" s="1">
        <v>32.880499999999998</v>
      </c>
      <c r="S496" s="1">
        <v>309.56700000000001</v>
      </c>
      <c r="W496" s="3">
        <v>1.0414000000000001</v>
      </c>
      <c r="X496" s="1" t="s">
        <v>622</v>
      </c>
      <c r="Y496" s="1">
        <v>1.35</v>
      </c>
      <c r="Z496" s="1">
        <v>0.38</v>
      </c>
      <c r="AA496" s="1">
        <v>1.5389999999999999</v>
      </c>
      <c r="AB496" s="1">
        <v>27.1</v>
      </c>
      <c r="AC496" s="1">
        <v>15.8</v>
      </c>
      <c r="AD496" s="1">
        <v>0.18</v>
      </c>
      <c r="AE496" s="1">
        <v>1.91</v>
      </c>
      <c r="AF496" s="1">
        <v>15.98</v>
      </c>
      <c r="AH496" s="1" t="s">
        <v>623</v>
      </c>
      <c r="AI496" s="1">
        <v>3</v>
      </c>
      <c r="AJ496" s="1" t="s">
        <v>622</v>
      </c>
      <c r="AK496" s="1">
        <v>2</v>
      </c>
      <c r="AL496" s="1">
        <v>82.346100000000007</v>
      </c>
      <c r="AM496" s="1" t="s">
        <v>622</v>
      </c>
    </row>
    <row r="497" spans="1:45">
      <c r="A497" s="1" t="s">
        <v>624</v>
      </c>
      <c r="B497" s="1">
        <v>231</v>
      </c>
      <c r="C497" s="1" t="s">
        <v>624</v>
      </c>
      <c r="D497" s="1" t="s">
        <v>625</v>
      </c>
      <c r="E497" s="1" t="s">
        <v>47</v>
      </c>
      <c r="F497" s="1" t="s">
        <v>615</v>
      </c>
      <c r="G497" s="1" t="s">
        <v>456</v>
      </c>
      <c r="H497" s="2" t="s">
        <v>616</v>
      </c>
      <c r="I497" s="1">
        <v>132</v>
      </c>
      <c r="J497" s="1">
        <v>0.2</v>
      </c>
      <c r="K497" s="1" t="s">
        <v>150</v>
      </c>
      <c r="L497" s="1" t="s">
        <v>78</v>
      </c>
      <c r="M497" s="1">
        <v>44.58</v>
      </c>
      <c r="N497" s="1">
        <v>49</v>
      </c>
      <c r="O497" s="1">
        <v>64.689279999999997</v>
      </c>
      <c r="P497" s="1">
        <v>-170.42948000000001</v>
      </c>
      <c r="Q497" s="1">
        <v>2.8395000000000001</v>
      </c>
      <c r="R497" s="1">
        <v>32.877000000000002</v>
      </c>
      <c r="S497" s="1">
        <v>307.69900000000001</v>
      </c>
      <c r="T497" s="1">
        <v>196.58</v>
      </c>
      <c r="U497" s="1">
        <v>30.54</v>
      </c>
      <c r="V497" s="1">
        <v>4640.00000000001</v>
      </c>
      <c r="W497" s="3">
        <v>1.1855</v>
      </c>
      <c r="X497" s="1" t="s">
        <v>626</v>
      </c>
      <c r="Y497" s="1">
        <v>0.98</v>
      </c>
      <c r="Z497" s="1">
        <v>1.29</v>
      </c>
      <c r="AA497" s="1">
        <v>1.5</v>
      </c>
      <c r="AB497" s="1">
        <v>26.4</v>
      </c>
      <c r="AC497" s="1">
        <v>15.1</v>
      </c>
      <c r="AD497" s="1">
        <v>0.18</v>
      </c>
      <c r="AE497" s="1">
        <v>1.93</v>
      </c>
      <c r="AF497" s="1">
        <v>15.28</v>
      </c>
      <c r="AH497" s="1" t="s">
        <v>627</v>
      </c>
      <c r="AI497" s="1">
        <v>1</v>
      </c>
      <c r="AJ497" s="1" t="s">
        <v>626</v>
      </c>
      <c r="AK497" s="1">
        <v>2</v>
      </c>
      <c r="AL497" s="1">
        <v>69.353200000000001</v>
      </c>
      <c r="AM497" s="1" t="s">
        <v>626</v>
      </c>
      <c r="AN497" s="1">
        <v>6.4368041912246197</v>
      </c>
      <c r="AO497" s="1">
        <v>0.97159308546786805</v>
      </c>
    </row>
    <row r="498" spans="1:45">
      <c r="A498" s="1" t="s">
        <v>628</v>
      </c>
      <c r="B498" s="1">
        <v>105</v>
      </c>
      <c r="C498" s="1" t="s">
        <v>628</v>
      </c>
      <c r="D498" s="1" t="s">
        <v>629</v>
      </c>
      <c r="E498" s="1" t="s">
        <v>47</v>
      </c>
      <c r="F498" s="1" t="s">
        <v>630</v>
      </c>
      <c r="G498" s="1" t="s">
        <v>456</v>
      </c>
      <c r="H498" s="2" t="s">
        <v>631</v>
      </c>
      <c r="I498" s="1">
        <v>70</v>
      </c>
      <c r="J498" s="1">
        <v>0.2</v>
      </c>
      <c r="K498" s="1" t="s">
        <v>52</v>
      </c>
      <c r="L498" s="1" t="s">
        <v>52</v>
      </c>
      <c r="M498" s="1">
        <v>3.12</v>
      </c>
      <c r="N498" s="1">
        <v>31</v>
      </c>
      <c r="O498" s="1">
        <v>68.898560000000003</v>
      </c>
      <c r="P498" s="1">
        <v>-166.41962000000001</v>
      </c>
      <c r="Q498" s="1">
        <v>2.4950000000000001</v>
      </c>
      <c r="R498" s="1">
        <v>30.407</v>
      </c>
      <c r="S498" s="1">
        <v>357.15199999999999</v>
      </c>
      <c r="T498" s="1">
        <v>154.62</v>
      </c>
      <c r="U498" s="1">
        <v>26.56</v>
      </c>
      <c r="V498" s="1">
        <v>2740.00000000001</v>
      </c>
      <c r="W498" s="3">
        <v>0.45229999999999998</v>
      </c>
      <c r="X498" s="1" t="s">
        <v>632</v>
      </c>
      <c r="Y498" s="1">
        <v>0.56000000000000005</v>
      </c>
      <c r="Z498" s="1">
        <v>0.15</v>
      </c>
      <c r="AA498" s="1">
        <v>0.69899999999999995</v>
      </c>
      <c r="AB498" s="1">
        <v>6.9</v>
      </c>
      <c r="AC498" s="1">
        <v>0</v>
      </c>
      <c r="AD498" s="1">
        <v>0</v>
      </c>
      <c r="AE498" s="1">
        <v>0.56999999999999995</v>
      </c>
      <c r="AF498" s="1">
        <v>0</v>
      </c>
      <c r="AH498" s="1" t="s">
        <v>633</v>
      </c>
      <c r="AI498" s="1">
        <v>4</v>
      </c>
      <c r="AJ498" s="1" t="s">
        <v>632</v>
      </c>
      <c r="AK498" s="1">
        <v>2</v>
      </c>
      <c r="AL498" s="1">
        <v>82.149299999999997</v>
      </c>
      <c r="AM498" s="1" t="s">
        <v>632</v>
      </c>
      <c r="AN498" s="1">
        <v>5.8215361445783103</v>
      </c>
      <c r="AO498" s="1">
        <v>0.87872243691748098</v>
      </c>
    </row>
    <row r="499" spans="1:45">
      <c r="A499" s="1" t="s">
        <v>634</v>
      </c>
      <c r="B499" s="1">
        <v>104</v>
      </c>
      <c r="C499" s="1" t="s">
        <v>634</v>
      </c>
      <c r="D499" s="1" t="s">
        <v>635</v>
      </c>
      <c r="E499" s="1" t="s">
        <v>47</v>
      </c>
      <c r="F499" s="1" t="s">
        <v>630</v>
      </c>
      <c r="G499" s="1" t="s">
        <v>456</v>
      </c>
      <c r="H499" s="2" t="s">
        <v>631</v>
      </c>
      <c r="I499" s="1">
        <v>70</v>
      </c>
      <c r="J499" s="1">
        <v>0.2</v>
      </c>
      <c r="K499" s="1" t="s">
        <v>65</v>
      </c>
      <c r="L499" s="1" t="s">
        <v>65</v>
      </c>
      <c r="M499" s="1">
        <v>19.78</v>
      </c>
      <c r="N499" s="1">
        <v>31</v>
      </c>
      <c r="O499" s="1">
        <v>68.898560000000003</v>
      </c>
      <c r="P499" s="1">
        <v>-166.4196</v>
      </c>
      <c r="Q499" s="1">
        <v>0.92900000000000005</v>
      </c>
      <c r="R499" s="1">
        <v>31.5045</v>
      </c>
      <c r="S499" s="1">
        <v>389.49099999999999</v>
      </c>
      <c r="W499" s="3">
        <v>0.83989999999999998</v>
      </c>
      <c r="X499" s="1" t="s">
        <v>636</v>
      </c>
      <c r="Y499" s="1">
        <v>0.52</v>
      </c>
      <c r="Z499" s="1">
        <v>0.33</v>
      </c>
      <c r="AA499" s="1">
        <v>0.78500000000000003</v>
      </c>
      <c r="AB499" s="1">
        <v>6.2</v>
      </c>
      <c r="AC499" s="1">
        <v>0.1</v>
      </c>
      <c r="AD499" s="1">
        <v>0.01</v>
      </c>
      <c r="AE499" s="1">
        <v>0.78</v>
      </c>
      <c r="AF499" s="1">
        <v>0.11</v>
      </c>
      <c r="AH499" s="1" t="s">
        <v>637</v>
      </c>
      <c r="AI499" s="1">
        <v>2</v>
      </c>
      <c r="AJ499" s="1" t="s">
        <v>636</v>
      </c>
      <c r="AK499" s="1">
        <v>2</v>
      </c>
      <c r="AL499" s="1">
        <v>90.225099999999998</v>
      </c>
      <c r="AM499" s="1" t="s">
        <v>636</v>
      </c>
    </row>
    <row r="500" spans="1:45">
      <c r="A500" s="1" t="s">
        <v>638</v>
      </c>
      <c r="B500" s="1">
        <v>105</v>
      </c>
      <c r="C500" s="1" t="s">
        <v>638</v>
      </c>
      <c r="D500" s="1" t="s">
        <v>639</v>
      </c>
      <c r="E500" s="1" t="s">
        <v>47</v>
      </c>
      <c r="F500" s="1" t="s">
        <v>630</v>
      </c>
      <c r="G500" s="1" t="s">
        <v>456</v>
      </c>
      <c r="H500" s="2" t="s">
        <v>631</v>
      </c>
      <c r="I500" s="1">
        <v>70</v>
      </c>
      <c r="J500" s="1">
        <v>0.2</v>
      </c>
      <c r="K500" s="1" t="s">
        <v>150</v>
      </c>
      <c r="L500" s="1" t="s">
        <v>78</v>
      </c>
      <c r="M500" s="1">
        <v>28.13</v>
      </c>
      <c r="N500" s="1">
        <v>31</v>
      </c>
      <c r="O500" s="1">
        <v>68.898560000000003</v>
      </c>
      <c r="P500" s="1">
        <v>-166.41962000000001</v>
      </c>
      <c r="Q500" s="1">
        <v>0.38550000000000001</v>
      </c>
      <c r="R500" s="1">
        <v>31.6845</v>
      </c>
      <c r="S500" s="1">
        <v>384.59100000000001</v>
      </c>
      <c r="T500" s="1">
        <v>157.32</v>
      </c>
      <c r="U500" s="1">
        <v>31.96</v>
      </c>
      <c r="V500" s="1">
        <v>1620</v>
      </c>
      <c r="W500" s="3">
        <v>0.54020000000000001</v>
      </c>
      <c r="X500" s="1" t="s">
        <v>640</v>
      </c>
      <c r="Y500" s="1">
        <v>0.32</v>
      </c>
      <c r="Z500" s="1">
        <v>0.56000000000000005</v>
      </c>
      <c r="AA500" s="1">
        <v>0.80700000000000005</v>
      </c>
      <c r="AB500" s="1">
        <v>6.3</v>
      </c>
      <c r="AC500" s="1">
        <v>0.1</v>
      </c>
      <c r="AD500" s="1">
        <v>0.01</v>
      </c>
      <c r="AE500" s="1">
        <v>0.94</v>
      </c>
      <c r="AF500" s="1">
        <v>0.11</v>
      </c>
      <c r="AH500" s="1" t="s">
        <v>641</v>
      </c>
      <c r="AI500" s="1">
        <v>1</v>
      </c>
      <c r="AJ500" s="1" t="s">
        <v>640</v>
      </c>
      <c r="AK500" s="1">
        <v>2</v>
      </c>
      <c r="AL500" s="1">
        <v>90.230500000000006</v>
      </c>
      <c r="AM500" s="1" t="s">
        <v>640</v>
      </c>
      <c r="AN500" s="1">
        <v>4.92240300375469</v>
      </c>
      <c r="AO500" s="1">
        <v>0.74300422698183999</v>
      </c>
    </row>
    <row r="501" spans="1:45">
      <c r="A501" s="1" t="s">
        <v>642</v>
      </c>
      <c r="B501" s="1">
        <v>106</v>
      </c>
      <c r="C501" s="1" t="s">
        <v>642</v>
      </c>
      <c r="D501" s="1" t="s">
        <v>643</v>
      </c>
      <c r="E501" s="1" t="s">
        <v>47</v>
      </c>
      <c r="F501" s="1" t="s">
        <v>162</v>
      </c>
      <c r="G501" s="1" t="s">
        <v>456</v>
      </c>
      <c r="H501" s="2" t="s">
        <v>644</v>
      </c>
      <c r="I501" s="1">
        <v>71</v>
      </c>
      <c r="J501" s="1">
        <v>0.2</v>
      </c>
      <c r="K501" s="1" t="s">
        <v>52</v>
      </c>
      <c r="L501" s="1" t="s">
        <v>52</v>
      </c>
      <c r="M501" s="1">
        <v>3.02</v>
      </c>
      <c r="N501" s="1">
        <v>46</v>
      </c>
      <c r="O501" s="1">
        <v>68.947860000000006</v>
      </c>
      <c r="P501" s="1">
        <v>-166.90956</v>
      </c>
      <c r="Q501" s="1">
        <v>2.7645</v>
      </c>
      <c r="R501" s="1">
        <v>30.728000000000002</v>
      </c>
      <c r="S501" s="1">
        <v>344.642</v>
      </c>
      <c r="T501" s="1">
        <v>181.1</v>
      </c>
      <c r="U501" s="1">
        <v>35.54</v>
      </c>
      <c r="V501" s="1">
        <v>2379.99999999999</v>
      </c>
      <c r="W501" s="3">
        <v>0.48099999999999998</v>
      </c>
      <c r="X501" s="1" t="s">
        <v>645</v>
      </c>
      <c r="Y501" s="1">
        <v>0.67</v>
      </c>
      <c r="Z501" s="1">
        <v>0.04</v>
      </c>
      <c r="AH501" s="1" t="s">
        <v>646</v>
      </c>
      <c r="AI501" s="1">
        <v>6</v>
      </c>
      <c r="AJ501" s="1" t="s">
        <v>645</v>
      </c>
      <c r="AK501" s="1">
        <v>2</v>
      </c>
      <c r="AL501" s="1">
        <v>88.9452</v>
      </c>
      <c r="AM501" s="1" t="s">
        <v>645</v>
      </c>
      <c r="AN501" s="1">
        <v>5.09566685424873</v>
      </c>
      <c r="AO501" s="1">
        <v>0.76915726101867699</v>
      </c>
    </row>
    <row r="502" spans="1:45">
      <c r="A502" s="1" t="s">
        <v>647</v>
      </c>
      <c r="B502" s="1">
        <v>107</v>
      </c>
      <c r="C502" s="1" t="s">
        <v>647</v>
      </c>
      <c r="D502" s="1" t="s">
        <v>648</v>
      </c>
      <c r="E502" s="1" t="s">
        <v>47</v>
      </c>
      <c r="F502" s="1" t="s">
        <v>162</v>
      </c>
      <c r="G502" s="1" t="s">
        <v>456</v>
      </c>
      <c r="H502" s="2" t="s">
        <v>644</v>
      </c>
      <c r="I502" s="1">
        <v>71</v>
      </c>
      <c r="J502" s="1">
        <v>0.2</v>
      </c>
      <c r="K502" s="1" t="s">
        <v>486</v>
      </c>
      <c r="L502" s="1" t="s">
        <v>65</v>
      </c>
      <c r="M502" s="1">
        <v>12.08</v>
      </c>
      <c r="N502" s="1">
        <v>46</v>
      </c>
      <c r="O502" s="1">
        <v>68.947860000000006</v>
      </c>
      <c r="P502" s="1">
        <v>-166.90956</v>
      </c>
      <c r="Q502" s="1">
        <v>1.0609999999999999</v>
      </c>
      <c r="R502" s="1">
        <v>31.840499999999999</v>
      </c>
      <c r="S502" s="1">
        <v>372.92399999999998</v>
      </c>
      <c r="T502" s="1">
        <v>217.12</v>
      </c>
      <c r="U502" s="1">
        <v>44.74</v>
      </c>
      <c r="V502" s="1">
        <v>2720</v>
      </c>
      <c r="W502" s="3">
        <v>0.9929</v>
      </c>
      <c r="X502" s="1" t="s">
        <v>649</v>
      </c>
      <c r="Y502" s="1">
        <v>0.4</v>
      </c>
      <c r="Z502" s="1">
        <v>0.81</v>
      </c>
      <c r="AH502" s="1" t="s">
        <v>650</v>
      </c>
      <c r="AI502" s="1">
        <v>4</v>
      </c>
      <c r="AJ502" s="1" t="s">
        <v>649</v>
      </c>
      <c r="AK502" s="1">
        <v>2</v>
      </c>
      <c r="AL502" s="1">
        <v>89.5809</v>
      </c>
      <c r="AM502" s="1" t="s">
        <v>649</v>
      </c>
      <c r="AN502" s="1">
        <v>4.8529280286097496</v>
      </c>
      <c r="AO502" s="1">
        <v>0.73251743828071603</v>
      </c>
      <c r="AS502" s="1" t="s">
        <v>651</v>
      </c>
    </row>
    <row r="503" spans="1:45">
      <c r="A503" s="1" t="s">
        <v>652</v>
      </c>
      <c r="B503" s="1">
        <v>108</v>
      </c>
      <c r="C503" s="1" t="s">
        <v>652</v>
      </c>
      <c r="D503" s="1" t="s">
        <v>653</v>
      </c>
      <c r="E503" s="1" t="s">
        <v>47</v>
      </c>
      <c r="F503" s="1" t="s">
        <v>162</v>
      </c>
      <c r="G503" s="1" t="s">
        <v>456</v>
      </c>
      <c r="H503" s="2" t="s">
        <v>644</v>
      </c>
      <c r="I503" s="1">
        <v>71</v>
      </c>
      <c r="J503" s="1">
        <v>0.2</v>
      </c>
      <c r="K503" s="1" t="s">
        <v>150</v>
      </c>
      <c r="L503" s="1" t="s">
        <v>78</v>
      </c>
      <c r="M503" s="1">
        <v>43.87</v>
      </c>
      <c r="N503" s="1">
        <v>46</v>
      </c>
      <c r="O503" s="1">
        <v>68.947860000000006</v>
      </c>
      <c r="P503" s="1">
        <v>-166.90956</v>
      </c>
      <c r="Q503" s="1">
        <v>0.72850000000000004</v>
      </c>
      <c r="R503" s="1">
        <v>32.000999999999998</v>
      </c>
      <c r="S503" s="1">
        <v>368.19</v>
      </c>
      <c r="T503" s="1">
        <v>225.68</v>
      </c>
      <c r="U503" s="1">
        <v>31.38</v>
      </c>
      <c r="V503" s="1">
        <v>1980</v>
      </c>
      <c r="W503" s="3">
        <v>0.46960000000000002</v>
      </c>
      <c r="X503" s="1" t="s">
        <v>654</v>
      </c>
      <c r="Y503" s="1">
        <v>0.75</v>
      </c>
      <c r="Z503" s="1">
        <v>0.34</v>
      </c>
      <c r="AH503" s="1" t="s">
        <v>655</v>
      </c>
      <c r="AI503" s="1">
        <v>1</v>
      </c>
      <c r="AJ503" s="1" t="s">
        <v>654</v>
      </c>
      <c r="AK503" s="1">
        <v>2</v>
      </c>
      <c r="AL503" s="1">
        <v>87.856200000000001</v>
      </c>
      <c r="AM503" s="1" t="s">
        <v>654</v>
      </c>
      <c r="AN503" s="1">
        <v>7.1918419375398299</v>
      </c>
      <c r="AO503" s="1">
        <v>1.0855610471758199</v>
      </c>
    </row>
    <row r="504" spans="1:45">
      <c r="A504" s="1" t="s">
        <v>656</v>
      </c>
      <c r="B504" s="1">
        <v>109</v>
      </c>
      <c r="C504" s="1" t="s">
        <v>656</v>
      </c>
      <c r="D504" s="1" t="s">
        <v>657</v>
      </c>
      <c r="E504" s="1" t="s">
        <v>47</v>
      </c>
      <c r="F504" s="1" t="s">
        <v>658</v>
      </c>
      <c r="G504" s="1" t="s">
        <v>456</v>
      </c>
      <c r="H504" s="2" t="s">
        <v>659</v>
      </c>
      <c r="I504" s="1">
        <v>72</v>
      </c>
      <c r="J504" s="1">
        <v>0.2</v>
      </c>
      <c r="K504" s="1" t="s">
        <v>52</v>
      </c>
      <c r="L504" s="1" t="s">
        <v>52</v>
      </c>
      <c r="M504" s="1">
        <v>3.24</v>
      </c>
      <c r="N504" s="1">
        <v>48</v>
      </c>
      <c r="O504" s="1">
        <v>68.999979999999994</v>
      </c>
      <c r="P504" s="1">
        <v>-167.42822000000001</v>
      </c>
      <c r="Q504" s="1">
        <v>2.3805000000000001</v>
      </c>
      <c r="R504" s="1">
        <v>31.409500000000001</v>
      </c>
      <c r="S504" s="1">
        <v>351.47300000000001</v>
      </c>
      <c r="T504" s="1">
        <v>190.1</v>
      </c>
      <c r="U504" s="1">
        <v>38.32</v>
      </c>
      <c r="V504" s="1">
        <v>2280</v>
      </c>
      <c r="W504" s="3">
        <v>0.87209999999999999</v>
      </c>
      <c r="X504" s="1" t="s">
        <v>660</v>
      </c>
      <c r="Y504" s="1">
        <v>0.51</v>
      </c>
      <c r="Z504" s="1">
        <v>0.22</v>
      </c>
      <c r="AA504" s="1">
        <v>0.67</v>
      </c>
      <c r="AB504" s="1">
        <v>3.6</v>
      </c>
      <c r="AC504" s="1">
        <v>0.4</v>
      </c>
      <c r="AD504" s="1">
        <v>0.02</v>
      </c>
      <c r="AE504" s="1">
        <v>0.59</v>
      </c>
      <c r="AF504" s="1">
        <v>0.42</v>
      </c>
      <c r="AH504" s="1" t="s">
        <v>661</v>
      </c>
      <c r="AI504" s="1">
        <v>5</v>
      </c>
      <c r="AJ504" s="1" t="s">
        <v>660</v>
      </c>
      <c r="AK504" s="1">
        <v>2</v>
      </c>
      <c r="AL504" s="1">
        <v>88.656199999999998</v>
      </c>
      <c r="AM504" s="1" t="s">
        <v>660</v>
      </c>
      <c r="AN504" s="1">
        <v>4.9608559498956204</v>
      </c>
      <c r="AO504" s="1">
        <v>0.74880844526726298</v>
      </c>
    </row>
    <row r="505" spans="1:45">
      <c r="A505" s="1" t="s">
        <v>662</v>
      </c>
      <c r="B505" s="1">
        <v>110</v>
      </c>
      <c r="C505" s="1" t="s">
        <v>662</v>
      </c>
      <c r="D505" s="1" t="s">
        <v>663</v>
      </c>
      <c r="E505" s="1" t="s">
        <v>47</v>
      </c>
      <c r="F505" s="1" t="s">
        <v>658</v>
      </c>
      <c r="G505" s="1" t="s">
        <v>456</v>
      </c>
      <c r="H505" s="2" t="s">
        <v>659</v>
      </c>
      <c r="I505" s="1">
        <v>72</v>
      </c>
      <c r="J505" s="1">
        <v>0.2</v>
      </c>
      <c r="K505" s="1" t="s">
        <v>486</v>
      </c>
      <c r="L505" s="1" t="s">
        <v>65</v>
      </c>
      <c r="M505" s="1">
        <v>19.850000000000001</v>
      </c>
      <c r="N505" s="1">
        <v>48</v>
      </c>
      <c r="O505" s="1">
        <v>68.999979999999994</v>
      </c>
      <c r="P505" s="1">
        <v>-167.42822000000001</v>
      </c>
      <c r="Q505" s="1">
        <v>1.024</v>
      </c>
      <c r="R505" s="1">
        <v>32.051000000000002</v>
      </c>
      <c r="S505" s="1">
        <v>373.24200000000002</v>
      </c>
      <c r="T505" s="1">
        <v>159.91999999999999</v>
      </c>
      <c r="U505" s="1">
        <v>28.86</v>
      </c>
      <c r="V505" s="1">
        <v>17600</v>
      </c>
      <c r="W505" s="3">
        <v>1.4708000000000001</v>
      </c>
      <c r="X505" s="1" t="s">
        <v>664</v>
      </c>
      <c r="Y505" s="1">
        <v>0.62</v>
      </c>
      <c r="Z505" s="1">
        <v>0.55000000000000004</v>
      </c>
      <c r="AA505" s="1">
        <v>0.77900000000000003</v>
      </c>
      <c r="AB505" s="1">
        <v>2.8</v>
      </c>
      <c r="AC505" s="1">
        <v>0.6</v>
      </c>
      <c r="AD505" s="1">
        <v>0.02</v>
      </c>
      <c r="AE505" s="1">
        <v>1.21</v>
      </c>
      <c r="AF505" s="1">
        <v>0.62</v>
      </c>
      <c r="AH505" s="1" t="s">
        <v>665</v>
      </c>
      <c r="AI505" s="1">
        <v>3</v>
      </c>
      <c r="AJ505" s="1" t="s">
        <v>664</v>
      </c>
      <c r="AK505" s="1">
        <v>2</v>
      </c>
      <c r="AL505" s="1">
        <v>88.296700000000001</v>
      </c>
      <c r="AM505" s="1" t="s">
        <v>664</v>
      </c>
      <c r="AN505" s="1">
        <v>5.5412335412335398</v>
      </c>
      <c r="AO505" s="1">
        <v>0.83641260999751499</v>
      </c>
    </row>
    <row r="506" spans="1:45">
      <c r="A506" s="1" t="s">
        <v>666</v>
      </c>
      <c r="B506" s="1">
        <v>111</v>
      </c>
      <c r="C506" s="1" t="s">
        <v>666</v>
      </c>
      <c r="D506" s="1" t="s">
        <v>667</v>
      </c>
      <c r="E506" s="1" t="s">
        <v>47</v>
      </c>
      <c r="F506" s="1" t="s">
        <v>658</v>
      </c>
      <c r="G506" s="1" t="s">
        <v>456</v>
      </c>
      <c r="H506" s="2" t="s">
        <v>659</v>
      </c>
      <c r="I506" s="1">
        <v>72</v>
      </c>
      <c r="J506" s="1">
        <v>0.2</v>
      </c>
      <c r="K506" s="1" t="s">
        <v>65</v>
      </c>
      <c r="L506" s="1" t="s">
        <v>65</v>
      </c>
      <c r="M506" s="1">
        <v>30.28</v>
      </c>
      <c r="N506" s="1">
        <v>48</v>
      </c>
      <c r="O506" s="1">
        <v>69</v>
      </c>
      <c r="P506" s="1">
        <v>-167.42822000000001</v>
      </c>
      <c r="Q506" s="1">
        <v>1.2275</v>
      </c>
      <c r="R506" s="1">
        <v>32.104500000000002</v>
      </c>
      <c r="S506" s="1">
        <v>374.34300000000002</v>
      </c>
      <c r="W506" s="3">
        <v>1.3678999999999999</v>
      </c>
      <c r="X506" s="1" t="s">
        <v>668</v>
      </c>
      <c r="Y506" s="1">
        <v>0.7</v>
      </c>
      <c r="Z506" s="1">
        <v>0.39</v>
      </c>
      <c r="AA506" s="1">
        <v>0.77300000000000002</v>
      </c>
      <c r="AB506" s="1">
        <v>2.1</v>
      </c>
      <c r="AC506" s="1">
        <v>0.4</v>
      </c>
      <c r="AD506" s="1">
        <v>0.02</v>
      </c>
      <c r="AE506" s="1">
        <v>1.35</v>
      </c>
      <c r="AF506" s="1">
        <v>0.42</v>
      </c>
      <c r="AH506" s="1" t="s">
        <v>669</v>
      </c>
      <c r="AI506" s="1">
        <v>2</v>
      </c>
      <c r="AJ506" s="1" t="s">
        <v>668</v>
      </c>
      <c r="AK506" s="1">
        <v>2</v>
      </c>
      <c r="AL506" s="1">
        <v>89.3489</v>
      </c>
      <c r="AM506" s="1" t="s">
        <v>668</v>
      </c>
    </row>
    <row r="507" spans="1:45">
      <c r="A507" s="1" t="s">
        <v>670</v>
      </c>
      <c r="B507" s="1">
        <v>112</v>
      </c>
      <c r="C507" s="1" t="s">
        <v>670</v>
      </c>
      <c r="D507" s="1" t="s">
        <v>671</v>
      </c>
      <c r="E507" s="1" t="s">
        <v>47</v>
      </c>
      <c r="F507" s="1" t="s">
        <v>658</v>
      </c>
      <c r="G507" s="1" t="s">
        <v>456</v>
      </c>
      <c r="H507" s="2" t="s">
        <v>659</v>
      </c>
      <c r="I507" s="1">
        <v>72</v>
      </c>
      <c r="J507" s="1">
        <v>0.2</v>
      </c>
      <c r="K507" s="1" t="s">
        <v>150</v>
      </c>
      <c r="L507" s="1" t="s">
        <v>78</v>
      </c>
      <c r="M507" s="1">
        <v>44.95</v>
      </c>
      <c r="N507" s="1">
        <v>48</v>
      </c>
      <c r="O507" s="1">
        <v>68.999979999999994</v>
      </c>
      <c r="P507" s="1">
        <v>-167.42822000000001</v>
      </c>
      <c r="Q507" s="1">
        <v>1.3845000000000001</v>
      </c>
      <c r="R507" s="1">
        <v>32.136499999999998</v>
      </c>
      <c r="S507" s="1">
        <v>364.40499999999997</v>
      </c>
      <c r="T507" s="1">
        <v>161.6</v>
      </c>
      <c r="U507" s="1">
        <v>28.28</v>
      </c>
      <c r="V507" s="1">
        <v>2120</v>
      </c>
      <c r="W507" s="3">
        <v>2.8557999999999999</v>
      </c>
      <c r="X507" s="1" t="s">
        <v>672</v>
      </c>
      <c r="Y507" s="1">
        <v>0.77</v>
      </c>
      <c r="Z507" s="1">
        <v>0.34</v>
      </c>
      <c r="AA507" s="1">
        <v>0.78900000000000003</v>
      </c>
      <c r="AB507" s="1">
        <v>2.9</v>
      </c>
      <c r="AC507" s="1">
        <v>0.4</v>
      </c>
      <c r="AD507" s="1">
        <v>0.02</v>
      </c>
      <c r="AE507" s="1">
        <v>1.57</v>
      </c>
      <c r="AF507" s="1">
        <v>0.42</v>
      </c>
      <c r="AH507" s="1" t="s">
        <v>673</v>
      </c>
      <c r="AI507" s="1">
        <v>1</v>
      </c>
      <c r="AJ507" s="1" t="s">
        <v>672</v>
      </c>
      <c r="AK507" s="1">
        <v>2</v>
      </c>
      <c r="AL507" s="1">
        <v>85.0548</v>
      </c>
      <c r="AM507" s="1" t="s">
        <v>672</v>
      </c>
      <c r="AN507" s="1">
        <v>5.71428571428571</v>
      </c>
      <c r="AO507" s="1">
        <v>0.86253369272237201</v>
      </c>
    </row>
    <row r="508" spans="1:45">
      <c r="A508" s="1" t="s">
        <v>674</v>
      </c>
      <c r="B508" s="1">
        <v>113</v>
      </c>
      <c r="C508" s="1" t="s">
        <v>674</v>
      </c>
      <c r="D508" s="1" t="s">
        <v>675</v>
      </c>
      <c r="E508" s="1" t="s">
        <v>47</v>
      </c>
      <c r="F508" s="1" t="s">
        <v>676</v>
      </c>
      <c r="G508" s="1" t="s">
        <v>456</v>
      </c>
      <c r="H508" s="2" t="s">
        <v>677</v>
      </c>
      <c r="I508" s="1">
        <v>73</v>
      </c>
      <c r="J508" s="1">
        <v>0.2</v>
      </c>
      <c r="K508" s="1" t="s">
        <v>52</v>
      </c>
      <c r="L508" s="1" t="s">
        <v>52</v>
      </c>
      <c r="M508" s="1">
        <v>3.09</v>
      </c>
      <c r="N508" s="1">
        <v>50</v>
      </c>
      <c r="O508" s="1">
        <v>69.029700000000005</v>
      </c>
      <c r="P508" s="1">
        <v>-167.92938000000001</v>
      </c>
      <c r="Q508" s="1">
        <v>4.5789999999999997</v>
      </c>
      <c r="R508" s="1">
        <v>30.571999999999999</v>
      </c>
      <c r="S508" s="1">
        <v>323.10899999999998</v>
      </c>
      <c r="T508" s="1">
        <v>193.84</v>
      </c>
      <c r="U508" s="1">
        <v>35.340000000000003</v>
      </c>
      <c r="V508" s="1">
        <v>5500</v>
      </c>
      <c r="W508" s="3">
        <v>0.66639999999999999</v>
      </c>
      <c r="X508" s="1" t="s">
        <v>678</v>
      </c>
      <c r="Y508" s="1">
        <v>0.59</v>
      </c>
      <c r="Z508" s="1">
        <v>0.16</v>
      </c>
      <c r="AA508" s="1">
        <v>0.55300000000000005</v>
      </c>
      <c r="AB508" s="1">
        <v>3.1</v>
      </c>
      <c r="AC508" s="1">
        <v>0</v>
      </c>
      <c r="AD508" s="1">
        <v>0</v>
      </c>
      <c r="AE508" s="1">
        <v>0.17</v>
      </c>
      <c r="AF508" s="1">
        <v>0</v>
      </c>
      <c r="AH508" s="1" t="s">
        <v>679</v>
      </c>
      <c r="AI508" s="1">
        <v>11</v>
      </c>
      <c r="AJ508" s="1" t="s">
        <v>678</v>
      </c>
      <c r="AK508" s="1">
        <v>2</v>
      </c>
      <c r="AL508" s="1">
        <v>88.221500000000006</v>
      </c>
      <c r="AM508" s="1" t="s">
        <v>678</v>
      </c>
      <c r="AN508" s="1">
        <v>5.4850028296547801</v>
      </c>
      <c r="AO508" s="1">
        <v>0.82792495541958999</v>
      </c>
    </row>
    <row r="509" spans="1:45">
      <c r="A509" s="1" t="s">
        <v>680</v>
      </c>
      <c r="B509" s="1">
        <v>114</v>
      </c>
      <c r="C509" s="1" t="s">
        <v>680</v>
      </c>
      <c r="D509" s="1" t="s">
        <v>681</v>
      </c>
      <c r="E509" s="1" t="s">
        <v>47</v>
      </c>
      <c r="F509" s="1" t="s">
        <v>676</v>
      </c>
      <c r="G509" s="1" t="s">
        <v>456</v>
      </c>
      <c r="H509" s="2" t="s">
        <v>677</v>
      </c>
      <c r="I509" s="1">
        <v>73</v>
      </c>
      <c r="J509" s="1">
        <v>0.2</v>
      </c>
      <c r="K509" s="1" t="s">
        <v>486</v>
      </c>
      <c r="L509" s="1" t="s">
        <v>65</v>
      </c>
      <c r="M509" s="1">
        <v>9.91</v>
      </c>
      <c r="N509" s="1">
        <v>50</v>
      </c>
      <c r="O509" s="1">
        <v>69.029700000000005</v>
      </c>
      <c r="P509" s="1">
        <v>-167.92938000000001</v>
      </c>
      <c r="Q509" s="1">
        <v>3.2094999999999998</v>
      </c>
      <c r="R509" s="1">
        <v>31.098500000000001</v>
      </c>
      <c r="S509" s="1">
        <v>346.07400000000001</v>
      </c>
      <c r="T509" s="1">
        <v>211.28</v>
      </c>
      <c r="U509" s="1">
        <v>39.64</v>
      </c>
      <c r="V509" s="1">
        <v>1640</v>
      </c>
      <c r="W509" s="3">
        <v>1.2596000000000001</v>
      </c>
      <c r="X509" s="1" t="s">
        <v>682</v>
      </c>
      <c r="Y509" s="1">
        <v>0.83</v>
      </c>
      <c r="Z509" s="1">
        <v>0.24</v>
      </c>
      <c r="AA509" s="1">
        <v>0.70299999999999996</v>
      </c>
      <c r="AB509" s="1">
        <v>3</v>
      </c>
      <c r="AC509" s="1">
        <v>0.4</v>
      </c>
      <c r="AD509" s="1">
        <v>0.02</v>
      </c>
      <c r="AE509" s="1">
        <v>0.86</v>
      </c>
      <c r="AF509" s="1">
        <v>0.42</v>
      </c>
      <c r="AH509" s="1" t="s">
        <v>683</v>
      </c>
      <c r="AI509" s="1">
        <v>9</v>
      </c>
      <c r="AJ509" s="1" t="s">
        <v>682</v>
      </c>
      <c r="AK509" s="1">
        <v>2</v>
      </c>
      <c r="AL509" s="1">
        <v>87.857799999999997</v>
      </c>
      <c r="AM509" s="1" t="s">
        <v>682</v>
      </c>
      <c r="AN509" s="1">
        <v>5.3299697275479296</v>
      </c>
      <c r="AO509" s="1">
        <v>0.80452373246006503</v>
      </c>
    </row>
    <row r="510" spans="1:45">
      <c r="A510" s="1" t="s">
        <v>684</v>
      </c>
      <c r="B510" s="1">
        <v>115</v>
      </c>
      <c r="C510" s="1" t="s">
        <v>684</v>
      </c>
      <c r="D510" s="1" t="s">
        <v>685</v>
      </c>
      <c r="E510" s="1" t="s">
        <v>47</v>
      </c>
      <c r="F510" s="1" t="s">
        <v>676</v>
      </c>
      <c r="G510" s="1" t="s">
        <v>456</v>
      </c>
      <c r="H510" s="2" t="s">
        <v>677</v>
      </c>
      <c r="I510" s="1">
        <v>73</v>
      </c>
      <c r="J510" s="1">
        <v>0.2</v>
      </c>
      <c r="K510" s="1" t="s">
        <v>150</v>
      </c>
      <c r="L510" s="1" t="s">
        <v>78</v>
      </c>
      <c r="M510" s="1">
        <v>45.91</v>
      </c>
      <c r="N510" s="1">
        <v>50</v>
      </c>
      <c r="O510" s="1">
        <v>69.029700000000005</v>
      </c>
      <c r="P510" s="1">
        <v>-167.92938000000001</v>
      </c>
      <c r="Q510" s="1">
        <v>1.7735000000000001</v>
      </c>
      <c r="R510" s="1">
        <v>32.331499999999998</v>
      </c>
      <c r="S510" s="1">
        <v>368.59500000000003</v>
      </c>
      <c r="T510" s="1">
        <v>244.72</v>
      </c>
      <c r="U510" s="1">
        <v>48.72</v>
      </c>
      <c r="V510" s="1">
        <v>2280</v>
      </c>
      <c r="W510" s="3">
        <v>1.5742</v>
      </c>
      <c r="X510" s="1" t="s">
        <v>686</v>
      </c>
      <c r="Y510" s="1">
        <v>1.17</v>
      </c>
      <c r="Z510" s="1">
        <v>0.09</v>
      </c>
      <c r="AA510" s="1">
        <v>0.80800000000000005</v>
      </c>
      <c r="AB510" s="1">
        <v>2.7</v>
      </c>
      <c r="AC510" s="1">
        <v>0.2</v>
      </c>
      <c r="AD510" s="1">
        <v>0.02</v>
      </c>
      <c r="AE510" s="1">
        <v>1.95</v>
      </c>
      <c r="AF510" s="1">
        <v>0.22</v>
      </c>
      <c r="AH510" s="1" t="s">
        <v>687</v>
      </c>
      <c r="AI510" s="1">
        <v>1</v>
      </c>
      <c r="AJ510" s="1" t="s">
        <v>686</v>
      </c>
      <c r="AK510" s="1">
        <v>2</v>
      </c>
      <c r="AL510" s="1">
        <v>85.003600000000006</v>
      </c>
      <c r="AM510" s="1" t="s">
        <v>686</v>
      </c>
      <c r="AN510" s="1">
        <v>5.0229885057471302</v>
      </c>
      <c r="AO510" s="1">
        <v>0.75818694426371702</v>
      </c>
    </row>
    <row r="511" spans="1:45">
      <c r="A511" s="1" t="s">
        <v>688</v>
      </c>
      <c r="B511" s="1">
        <v>116</v>
      </c>
      <c r="C511" s="1" t="s">
        <v>688</v>
      </c>
      <c r="D511" s="1" t="s">
        <v>689</v>
      </c>
      <c r="E511" s="1" t="s">
        <v>47</v>
      </c>
      <c r="F511" s="1" t="s">
        <v>690</v>
      </c>
      <c r="G511" s="1" t="s">
        <v>456</v>
      </c>
      <c r="H511" s="2" t="s">
        <v>691</v>
      </c>
      <c r="I511" s="1">
        <v>74</v>
      </c>
      <c r="J511" s="1">
        <v>0.2</v>
      </c>
      <c r="K511" s="1" t="s">
        <v>52</v>
      </c>
      <c r="L511" s="1" t="s">
        <v>52</v>
      </c>
      <c r="M511" s="1">
        <v>2.97</v>
      </c>
      <c r="N511" s="1">
        <v>51</v>
      </c>
      <c r="O511" s="1">
        <v>69.030240000000006</v>
      </c>
      <c r="P511" s="1">
        <v>-168.41076000000001</v>
      </c>
      <c r="Q511" s="1">
        <v>5.2694999999999999</v>
      </c>
      <c r="R511" s="1">
        <v>30.788</v>
      </c>
      <c r="S511" s="1">
        <v>319.06400000000002</v>
      </c>
      <c r="T511" s="1">
        <v>203.12</v>
      </c>
      <c r="U511" s="1">
        <v>37.06</v>
      </c>
      <c r="V511" s="1">
        <v>1840.00000000001</v>
      </c>
      <c r="W511" s="3">
        <v>0.28849999999999998</v>
      </c>
      <c r="X511" s="1" t="s">
        <v>692</v>
      </c>
      <c r="Y511" s="1">
        <v>0.31</v>
      </c>
      <c r="Z511" s="1">
        <v>0.22</v>
      </c>
      <c r="AA511" s="1">
        <v>0.51700000000000002</v>
      </c>
      <c r="AB511" s="1">
        <v>2.2000000000000002</v>
      </c>
      <c r="AC511" s="1">
        <v>0.1</v>
      </c>
      <c r="AD511" s="1">
        <v>0</v>
      </c>
      <c r="AE511" s="1">
        <v>0.39</v>
      </c>
      <c r="AF511" s="1">
        <v>0.1</v>
      </c>
      <c r="AH511" s="1" t="s">
        <v>693</v>
      </c>
      <c r="AI511" s="1">
        <v>6</v>
      </c>
      <c r="AJ511" s="1" t="s">
        <v>692</v>
      </c>
      <c r="AK511" s="1">
        <v>2</v>
      </c>
      <c r="AL511" s="1">
        <v>90.278499999999994</v>
      </c>
      <c r="AM511" s="1" t="s">
        <v>692</v>
      </c>
      <c r="AN511" s="1">
        <v>5.4808418780356201</v>
      </c>
      <c r="AO511" s="1">
        <v>0.82729688725065897</v>
      </c>
    </row>
    <row r="512" spans="1:45">
      <c r="A512" s="1" t="s">
        <v>694</v>
      </c>
      <c r="B512" s="1">
        <v>117</v>
      </c>
      <c r="C512" s="1" t="s">
        <v>694</v>
      </c>
      <c r="D512" s="1" t="s">
        <v>695</v>
      </c>
      <c r="E512" s="1" t="s">
        <v>47</v>
      </c>
      <c r="F512" s="1" t="s">
        <v>690</v>
      </c>
      <c r="G512" s="1" t="s">
        <v>456</v>
      </c>
      <c r="H512" s="2" t="s">
        <v>691</v>
      </c>
      <c r="I512" s="1">
        <v>74</v>
      </c>
      <c r="J512" s="1">
        <v>0.2</v>
      </c>
      <c r="K512" s="1" t="s">
        <v>486</v>
      </c>
      <c r="L512" s="1" t="s">
        <v>65</v>
      </c>
      <c r="M512" s="1">
        <v>10.01</v>
      </c>
      <c r="N512" s="1">
        <v>51</v>
      </c>
      <c r="O512" s="1">
        <v>69.030240000000006</v>
      </c>
      <c r="P512" s="1">
        <v>-168.41076000000001</v>
      </c>
      <c r="Q512" s="1">
        <v>3.9315000000000002</v>
      </c>
      <c r="R512" s="1">
        <v>31.135999999999999</v>
      </c>
      <c r="S512" s="1">
        <v>334.87400000000002</v>
      </c>
      <c r="W512" s="3">
        <v>0.9708</v>
      </c>
      <c r="X512" s="1" t="s">
        <v>696</v>
      </c>
      <c r="Y512" s="1">
        <v>0.76</v>
      </c>
      <c r="Z512" s="1">
        <v>0.3</v>
      </c>
      <c r="AA512" s="1">
        <v>0.58799999999999997</v>
      </c>
      <c r="AB512" s="1">
        <v>2.1</v>
      </c>
      <c r="AC512" s="1">
        <v>0.1</v>
      </c>
      <c r="AD512" s="1">
        <v>0.01</v>
      </c>
      <c r="AE512" s="1">
        <v>0.44</v>
      </c>
      <c r="AF512" s="1">
        <v>0.11</v>
      </c>
      <c r="AH512" s="1" t="s">
        <v>697</v>
      </c>
      <c r="AI512" s="1">
        <v>5</v>
      </c>
      <c r="AJ512" s="1" t="s">
        <v>696</v>
      </c>
      <c r="AK512" s="1">
        <v>2</v>
      </c>
      <c r="AL512" s="1">
        <v>88.581000000000003</v>
      </c>
      <c r="AM512" s="1" t="s">
        <v>696</v>
      </c>
      <c r="AS512" s="1" t="s">
        <v>698</v>
      </c>
    </row>
    <row r="513" spans="1:45">
      <c r="A513" s="1" t="s">
        <v>699</v>
      </c>
      <c r="B513" s="1">
        <v>118</v>
      </c>
      <c r="C513" s="1" t="s">
        <v>699</v>
      </c>
      <c r="D513" s="1" t="s">
        <v>700</v>
      </c>
      <c r="E513" s="1" t="s">
        <v>47</v>
      </c>
      <c r="F513" s="1" t="s">
        <v>690</v>
      </c>
      <c r="G513" s="1" t="s">
        <v>456</v>
      </c>
      <c r="H513" s="2" t="s">
        <v>691</v>
      </c>
      <c r="I513" s="1">
        <v>74</v>
      </c>
      <c r="J513" s="1">
        <v>0.2</v>
      </c>
      <c r="K513" s="1" t="s">
        <v>512</v>
      </c>
      <c r="L513" s="1" t="s">
        <v>65</v>
      </c>
      <c r="M513" s="1">
        <v>20.059999999999999</v>
      </c>
      <c r="N513" s="1">
        <v>51</v>
      </c>
      <c r="O513" s="1">
        <v>69.030240000000006</v>
      </c>
      <c r="P513" s="1">
        <v>-168.41076000000001</v>
      </c>
      <c r="Q513" s="1">
        <v>2.1739999999999999</v>
      </c>
      <c r="R513" s="1">
        <v>32.403500000000001</v>
      </c>
      <c r="S513" s="1">
        <v>369.286</v>
      </c>
      <c r="T513" s="1">
        <v>263.10000000000002</v>
      </c>
      <c r="U513" s="1">
        <v>33.18</v>
      </c>
      <c r="V513" s="1">
        <v>2819.99999999999</v>
      </c>
      <c r="W513" s="3">
        <v>1.4295</v>
      </c>
      <c r="X513" s="1" t="s">
        <v>701</v>
      </c>
      <c r="Y513" s="1">
        <v>0.84</v>
      </c>
      <c r="Z513" s="1">
        <v>0.35</v>
      </c>
      <c r="AA513" s="1">
        <v>0.81399999999999995</v>
      </c>
      <c r="AB513" s="1">
        <v>2.8</v>
      </c>
      <c r="AC513" s="1">
        <v>0.3</v>
      </c>
      <c r="AD513" s="1">
        <v>0.03</v>
      </c>
      <c r="AE513" s="1">
        <v>1.98</v>
      </c>
      <c r="AF513" s="1">
        <v>0.33</v>
      </c>
      <c r="AH513" s="1" t="s">
        <v>702</v>
      </c>
      <c r="AI513" s="1">
        <v>4</v>
      </c>
      <c r="AJ513" s="1" t="s">
        <v>701</v>
      </c>
      <c r="AK513" s="1">
        <v>2</v>
      </c>
      <c r="AL513" s="1">
        <v>84.172700000000006</v>
      </c>
      <c r="AM513" s="1" t="s">
        <v>701</v>
      </c>
      <c r="AN513" s="1">
        <v>7.9294755877034397</v>
      </c>
      <c r="AO513" s="1">
        <v>1.19690197550241</v>
      </c>
    </row>
    <row r="514" spans="1:45">
      <c r="A514" s="1" t="s">
        <v>703</v>
      </c>
      <c r="B514" s="1">
        <v>119</v>
      </c>
      <c r="C514" s="1" t="s">
        <v>703</v>
      </c>
      <c r="D514" s="1" t="s">
        <v>704</v>
      </c>
      <c r="E514" s="1" t="s">
        <v>47</v>
      </c>
      <c r="F514" s="1" t="s">
        <v>690</v>
      </c>
      <c r="G514" s="1" t="s">
        <v>456</v>
      </c>
      <c r="H514" s="2" t="s">
        <v>691</v>
      </c>
      <c r="I514" s="1">
        <v>74</v>
      </c>
      <c r="J514" s="1">
        <v>0.2</v>
      </c>
      <c r="K514" s="1" t="s">
        <v>150</v>
      </c>
      <c r="L514" s="1" t="s">
        <v>78</v>
      </c>
      <c r="M514" s="1">
        <v>48.01</v>
      </c>
      <c r="N514" s="1">
        <v>51</v>
      </c>
      <c r="O514" s="1">
        <v>69.030240000000006</v>
      </c>
      <c r="P514" s="1">
        <v>-168.41076000000001</v>
      </c>
      <c r="Q514" s="1">
        <v>2.0545</v>
      </c>
      <c r="R514" s="1">
        <v>32.51</v>
      </c>
      <c r="S514" s="1">
        <v>369.21800000000002</v>
      </c>
      <c r="T514" s="1">
        <v>167.18</v>
      </c>
      <c r="U514" s="1">
        <v>26.18</v>
      </c>
      <c r="V514" s="1">
        <v>3980</v>
      </c>
      <c r="W514" s="3">
        <v>0.4672</v>
      </c>
      <c r="X514" s="1" t="s">
        <v>705</v>
      </c>
      <c r="Y514" s="1">
        <v>0.38</v>
      </c>
      <c r="Z514" s="1">
        <v>0.74</v>
      </c>
      <c r="AA514" s="1">
        <v>0.90400000000000003</v>
      </c>
      <c r="AB514" s="1">
        <v>4.2</v>
      </c>
      <c r="AC514" s="1">
        <v>0.5</v>
      </c>
      <c r="AD514" s="1">
        <v>0.04</v>
      </c>
      <c r="AE514" s="1">
        <v>2.79</v>
      </c>
      <c r="AF514" s="1">
        <v>0.54</v>
      </c>
      <c r="AH514" s="1" t="s">
        <v>706</v>
      </c>
      <c r="AI514" s="1">
        <v>1</v>
      </c>
      <c r="AJ514" s="1" t="s">
        <v>705</v>
      </c>
      <c r="AK514" s="1">
        <v>2</v>
      </c>
      <c r="AL514" s="1">
        <v>74.526799999999994</v>
      </c>
      <c r="AM514" s="1" t="s">
        <v>705</v>
      </c>
      <c r="AN514" s="1">
        <v>6.3857906799083297</v>
      </c>
      <c r="AO514" s="1">
        <v>0.96389293281635102</v>
      </c>
    </row>
    <row r="515" spans="1:45">
      <c r="A515" s="1" t="s">
        <v>707</v>
      </c>
      <c r="B515" s="1">
        <v>120</v>
      </c>
      <c r="C515" s="1" t="s">
        <v>707</v>
      </c>
      <c r="D515" s="1" t="s">
        <v>708</v>
      </c>
      <c r="E515" s="1" t="s">
        <v>47</v>
      </c>
      <c r="F515" s="1" t="s">
        <v>196</v>
      </c>
      <c r="G515" s="1" t="s">
        <v>456</v>
      </c>
      <c r="H515" s="2" t="s">
        <v>709</v>
      </c>
      <c r="I515" s="1">
        <v>75</v>
      </c>
      <c r="J515" s="1">
        <v>0.2</v>
      </c>
      <c r="K515" s="1" t="s">
        <v>52</v>
      </c>
      <c r="L515" s="1" t="s">
        <v>52</v>
      </c>
      <c r="M515" s="1">
        <v>3.25</v>
      </c>
      <c r="N515" s="1">
        <v>53</v>
      </c>
      <c r="O515" s="1">
        <v>69.033739999999995</v>
      </c>
      <c r="P515" s="1">
        <v>-168.88916</v>
      </c>
      <c r="Q515" s="1">
        <v>6.1260000000000003</v>
      </c>
      <c r="R515" s="1">
        <v>31.253499999999999</v>
      </c>
      <c r="S515" s="1">
        <v>309.98899999999998</v>
      </c>
      <c r="T515" s="1">
        <v>157.91999999999999</v>
      </c>
      <c r="U515" s="1">
        <v>25.72</v>
      </c>
      <c r="V515" s="1">
        <v>2580</v>
      </c>
      <c r="W515" s="3">
        <v>0.21310000000000001</v>
      </c>
      <c r="X515" s="1" t="s">
        <v>710</v>
      </c>
      <c r="Y515" s="1">
        <v>0.41</v>
      </c>
      <c r="Z515" s="1">
        <v>7.0000000000000007E-2</v>
      </c>
      <c r="AA515" s="1">
        <v>0.48099999999999998</v>
      </c>
      <c r="AB515" s="1">
        <v>1.6</v>
      </c>
      <c r="AC515" s="1">
        <v>0</v>
      </c>
      <c r="AD515" s="1">
        <v>0</v>
      </c>
      <c r="AE515" s="1">
        <v>0.22</v>
      </c>
      <c r="AF515" s="1">
        <v>0</v>
      </c>
      <c r="AH515" s="1" t="s">
        <v>711</v>
      </c>
      <c r="AI515" s="1">
        <v>8</v>
      </c>
      <c r="AJ515" s="1" t="s">
        <v>710</v>
      </c>
      <c r="AK515" s="1">
        <v>2</v>
      </c>
      <c r="AL515" s="1">
        <v>91.437899999999999</v>
      </c>
      <c r="AM515" s="1" t="s">
        <v>710</v>
      </c>
      <c r="AN515" s="1">
        <v>6.13996889580093</v>
      </c>
      <c r="AO515" s="1">
        <v>0.92678775785674405</v>
      </c>
    </row>
    <row r="516" spans="1:45">
      <c r="A516" s="1" t="s">
        <v>712</v>
      </c>
      <c r="B516" s="1">
        <v>121</v>
      </c>
      <c r="C516" s="1" t="s">
        <v>712</v>
      </c>
      <c r="D516" s="1" t="s">
        <v>713</v>
      </c>
      <c r="E516" s="1" t="s">
        <v>47</v>
      </c>
      <c r="F516" s="1" t="s">
        <v>196</v>
      </c>
      <c r="G516" s="1" t="s">
        <v>456</v>
      </c>
      <c r="H516" s="2" t="s">
        <v>709</v>
      </c>
      <c r="I516" s="1">
        <v>75</v>
      </c>
      <c r="J516" s="1">
        <v>0.2</v>
      </c>
      <c r="K516" s="1" t="s">
        <v>486</v>
      </c>
      <c r="L516" s="1" t="s">
        <v>65</v>
      </c>
      <c r="M516" s="1">
        <v>14.98</v>
      </c>
      <c r="N516" s="1">
        <v>53</v>
      </c>
      <c r="O516" s="1">
        <v>69.033760000000001</v>
      </c>
      <c r="P516" s="1">
        <v>-168.88916</v>
      </c>
      <c r="Q516" s="1">
        <v>2.8845000000000001</v>
      </c>
      <c r="R516" s="1">
        <v>32.580500000000001</v>
      </c>
      <c r="S516" s="1">
        <v>369.15699999999998</v>
      </c>
      <c r="T516" s="1">
        <v>143.74</v>
      </c>
      <c r="U516" s="1">
        <v>22.92</v>
      </c>
      <c r="V516" s="1">
        <v>1530</v>
      </c>
      <c r="W516" s="3">
        <v>0.3931</v>
      </c>
      <c r="X516" s="1" t="s">
        <v>714</v>
      </c>
      <c r="AH516" s="1" t="s">
        <v>715</v>
      </c>
      <c r="AI516" s="1">
        <v>6</v>
      </c>
      <c r="AJ516" s="1" t="s">
        <v>714</v>
      </c>
      <c r="AK516" s="1">
        <v>2</v>
      </c>
      <c r="AL516" s="1">
        <v>85.432900000000004</v>
      </c>
      <c r="AM516" s="1" t="s">
        <v>714</v>
      </c>
      <c r="AN516" s="1">
        <v>6.2713787085514801</v>
      </c>
      <c r="AO516" s="1">
        <v>0.94662320129079003</v>
      </c>
      <c r="AS516" s="1" t="s">
        <v>716</v>
      </c>
    </row>
    <row r="517" spans="1:45">
      <c r="A517" s="1" t="s">
        <v>717</v>
      </c>
      <c r="B517" s="1">
        <v>122</v>
      </c>
      <c r="C517" s="1" t="s">
        <v>717</v>
      </c>
      <c r="D517" s="1" t="s">
        <v>718</v>
      </c>
      <c r="E517" s="1" t="s">
        <v>47</v>
      </c>
      <c r="F517" s="1" t="s">
        <v>196</v>
      </c>
      <c r="G517" s="1" t="s">
        <v>456</v>
      </c>
      <c r="H517" s="2" t="s">
        <v>709</v>
      </c>
      <c r="I517" s="1">
        <v>75</v>
      </c>
      <c r="J517" s="1">
        <v>0.2</v>
      </c>
      <c r="K517" s="1" t="s">
        <v>65</v>
      </c>
      <c r="L517" s="1" t="s">
        <v>65</v>
      </c>
      <c r="M517" s="1">
        <v>32.979999999999997</v>
      </c>
      <c r="N517" s="1">
        <v>53</v>
      </c>
      <c r="O517" s="1">
        <v>69.033739999999995</v>
      </c>
      <c r="P517" s="1">
        <v>-168.88916</v>
      </c>
      <c r="Q517" s="1">
        <v>2.9449999999999998</v>
      </c>
      <c r="R517" s="1">
        <v>32.721499999999999</v>
      </c>
      <c r="S517" s="1">
        <v>360.46499999999997</v>
      </c>
      <c r="W517" s="3">
        <v>0.3201</v>
      </c>
      <c r="X517" s="1" t="s">
        <v>719</v>
      </c>
      <c r="Y517" s="1">
        <v>0.17</v>
      </c>
      <c r="Z517" s="1">
        <v>0.76</v>
      </c>
      <c r="AA517" s="1">
        <v>0.97499999999999998</v>
      </c>
      <c r="AB517" s="1">
        <v>2.4</v>
      </c>
      <c r="AC517" s="1">
        <v>1.8</v>
      </c>
      <c r="AD517" s="1">
        <v>7.0000000000000007E-2</v>
      </c>
      <c r="AE517" s="1">
        <v>3.32</v>
      </c>
      <c r="AF517" s="1">
        <v>1.87</v>
      </c>
      <c r="AH517" s="1" t="s">
        <v>720</v>
      </c>
      <c r="AI517" s="1">
        <v>3</v>
      </c>
      <c r="AJ517" s="1" t="s">
        <v>721</v>
      </c>
      <c r="AK517" s="1">
        <v>2</v>
      </c>
      <c r="AL517" s="1">
        <v>85.340100000000007</v>
      </c>
      <c r="AM517" s="1" t="s">
        <v>719</v>
      </c>
    </row>
    <row r="518" spans="1:45">
      <c r="A518" s="1" t="s">
        <v>722</v>
      </c>
      <c r="B518" s="1">
        <v>123</v>
      </c>
      <c r="C518" s="1" t="s">
        <v>722</v>
      </c>
      <c r="D518" s="1" t="s">
        <v>723</v>
      </c>
      <c r="E518" s="1" t="s">
        <v>47</v>
      </c>
      <c r="F518" s="1" t="s">
        <v>196</v>
      </c>
      <c r="G518" s="1" t="s">
        <v>456</v>
      </c>
      <c r="H518" s="2" t="s">
        <v>709</v>
      </c>
      <c r="I518" s="1">
        <v>75</v>
      </c>
      <c r="J518" s="1">
        <v>0.2</v>
      </c>
      <c r="K518" s="1" t="s">
        <v>150</v>
      </c>
      <c r="L518" s="1" t="s">
        <v>78</v>
      </c>
      <c r="M518" s="1">
        <v>50.08</v>
      </c>
      <c r="N518" s="1">
        <v>53</v>
      </c>
      <c r="O518" s="1">
        <v>69.033739999999995</v>
      </c>
      <c r="P518" s="1">
        <v>-168.88916</v>
      </c>
      <c r="Q518" s="1">
        <v>2.492</v>
      </c>
      <c r="R518" s="1">
        <v>32.755499999999998</v>
      </c>
      <c r="S518" s="1">
        <v>343.54300000000001</v>
      </c>
      <c r="T518" s="1">
        <v>212.64</v>
      </c>
      <c r="U518" s="1">
        <v>37.72</v>
      </c>
      <c r="V518" s="1">
        <v>3540</v>
      </c>
      <c r="W518" s="3">
        <v>0.25319999999999998</v>
      </c>
      <c r="X518" s="1" t="s">
        <v>724</v>
      </c>
      <c r="Y518" s="1">
        <v>0.56999999999999995</v>
      </c>
      <c r="Z518" s="1">
        <v>1.4</v>
      </c>
      <c r="AA518" s="1">
        <v>1.198</v>
      </c>
      <c r="AB518" s="1">
        <v>3.2</v>
      </c>
      <c r="AC518" s="1">
        <v>3.7</v>
      </c>
      <c r="AD518" s="1">
        <v>0.11</v>
      </c>
      <c r="AE518" s="1">
        <v>4.71</v>
      </c>
      <c r="AF518" s="1">
        <v>3.81</v>
      </c>
      <c r="AH518" s="1" t="s">
        <v>725</v>
      </c>
      <c r="AI518" s="1">
        <v>1</v>
      </c>
      <c r="AJ518" s="1" t="s">
        <v>724</v>
      </c>
      <c r="AK518" s="1">
        <v>2</v>
      </c>
      <c r="AL518" s="1">
        <v>74.852699999999999</v>
      </c>
      <c r="AM518" s="1" t="s">
        <v>724</v>
      </c>
      <c r="AN518" s="1">
        <v>5.6373276776246</v>
      </c>
      <c r="AO518" s="1">
        <v>0.85091738530182703</v>
      </c>
    </row>
    <row r="519" spans="1:45">
      <c r="A519" s="1" t="s">
        <v>726</v>
      </c>
      <c r="B519" s="1">
        <v>208</v>
      </c>
      <c r="C519" s="1" t="s">
        <v>726</v>
      </c>
      <c r="D519" s="1" t="s">
        <v>727</v>
      </c>
      <c r="E519" s="1" t="s">
        <v>47</v>
      </c>
      <c r="F519" s="1" t="s">
        <v>728</v>
      </c>
      <c r="G519" s="1" t="s">
        <v>456</v>
      </c>
      <c r="H519" s="2" t="s">
        <v>729</v>
      </c>
      <c r="I519" s="1">
        <v>111</v>
      </c>
      <c r="J519" s="1">
        <v>0.2</v>
      </c>
      <c r="K519" s="1" t="s">
        <v>52</v>
      </c>
      <c r="L519" s="1" t="s">
        <v>52</v>
      </c>
      <c r="M519" s="1">
        <v>4.1399999999999997</v>
      </c>
      <c r="N519" s="1">
        <v>52</v>
      </c>
      <c r="O519" s="1">
        <v>66.001000000000005</v>
      </c>
      <c r="P519" s="1">
        <v>-168.95604</v>
      </c>
      <c r="Q519" s="1">
        <v>3.12</v>
      </c>
      <c r="R519" s="1">
        <v>32.762999999999998</v>
      </c>
      <c r="S519" s="1">
        <v>299.24400000000003</v>
      </c>
      <c r="T519" s="1">
        <v>179.48</v>
      </c>
      <c r="U519" s="1">
        <v>26.28</v>
      </c>
      <c r="V519" s="1">
        <v>3720</v>
      </c>
      <c r="W519" s="3">
        <v>0.56469999999999998</v>
      </c>
      <c r="X519" s="1" t="s">
        <v>730</v>
      </c>
      <c r="Y519" s="1">
        <v>0.98</v>
      </c>
      <c r="Z519" s="1">
        <v>0.82</v>
      </c>
      <c r="AA519" s="1">
        <v>1.5509999999999999</v>
      </c>
      <c r="AB519" s="1">
        <v>24.1</v>
      </c>
      <c r="AC519" s="1">
        <v>14</v>
      </c>
      <c r="AD519" s="1">
        <v>0.2</v>
      </c>
      <c r="AE519" s="1">
        <v>2.37</v>
      </c>
      <c r="AF519" s="1">
        <v>14.2</v>
      </c>
      <c r="AH519" s="1" t="s">
        <v>731</v>
      </c>
      <c r="AI519" s="1">
        <v>7</v>
      </c>
      <c r="AJ519" s="1" t="s">
        <v>730</v>
      </c>
      <c r="AK519" s="1">
        <v>2</v>
      </c>
      <c r="AL519" s="1">
        <v>76.470699999999994</v>
      </c>
      <c r="AM519" s="1" t="s">
        <v>730</v>
      </c>
      <c r="AN519" s="1">
        <v>6.8295281582952798</v>
      </c>
      <c r="AO519" s="1">
        <v>1.03087217483702</v>
      </c>
    </row>
    <row r="520" spans="1:45">
      <c r="A520" s="1" t="s">
        <v>732</v>
      </c>
      <c r="B520" s="1">
        <v>209</v>
      </c>
      <c r="C520" s="1" t="s">
        <v>732</v>
      </c>
      <c r="D520" s="1" t="s">
        <v>733</v>
      </c>
      <c r="E520" s="1" t="s">
        <v>47</v>
      </c>
      <c r="F520" s="1" t="s">
        <v>728</v>
      </c>
      <c r="G520" s="1" t="s">
        <v>456</v>
      </c>
      <c r="H520" s="2" t="s">
        <v>729</v>
      </c>
      <c r="I520" s="1">
        <v>111</v>
      </c>
      <c r="J520" s="1">
        <v>0.2</v>
      </c>
      <c r="K520" s="1" t="s">
        <v>512</v>
      </c>
      <c r="L520" s="1" t="s">
        <v>65</v>
      </c>
      <c r="M520" s="1">
        <v>9.7799999999999994</v>
      </c>
      <c r="N520" s="1">
        <v>52</v>
      </c>
      <c r="O520" s="1">
        <v>66.001080000000002</v>
      </c>
      <c r="P520" s="1">
        <v>-168.95625000000001</v>
      </c>
      <c r="Q520" s="1">
        <v>3.1019999999999999</v>
      </c>
      <c r="R520" s="1">
        <v>32.762999999999998</v>
      </c>
      <c r="S520" s="1">
        <v>298.93400000000003</v>
      </c>
      <c r="T520" s="1">
        <v>169.18</v>
      </c>
      <c r="U520" s="1">
        <v>25.8</v>
      </c>
      <c r="V520" s="1">
        <v>3980</v>
      </c>
      <c r="W520" s="3">
        <v>0.96540000000000004</v>
      </c>
      <c r="X520" s="1" t="s">
        <v>734</v>
      </c>
      <c r="Y520" s="1">
        <v>1.03</v>
      </c>
      <c r="Z520" s="1">
        <v>0.82</v>
      </c>
      <c r="AA520" s="1">
        <v>1.536</v>
      </c>
      <c r="AB520" s="1">
        <v>25.1</v>
      </c>
      <c r="AC520" s="1">
        <v>14.4</v>
      </c>
      <c r="AD520" s="1">
        <v>0.2</v>
      </c>
      <c r="AE520" s="1">
        <v>2.2400000000000002</v>
      </c>
      <c r="AF520" s="1">
        <v>14.6</v>
      </c>
      <c r="AH520" s="1" t="s">
        <v>735</v>
      </c>
      <c r="AI520" s="1">
        <v>5</v>
      </c>
      <c r="AJ520" s="1" t="s">
        <v>734</v>
      </c>
      <c r="AK520" s="1">
        <v>2</v>
      </c>
      <c r="AL520" s="1">
        <v>76.090999999999994</v>
      </c>
      <c r="AM520" s="1" t="s">
        <v>734</v>
      </c>
      <c r="AN520" s="1">
        <v>6.55736434108527</v>
      </c>
      <c r="AO520" s="1">
        <v>0.98979084393739902</v>
      </c>
    </row>
    <row r="521" spans="1:45">
      <c r="A521" s="1" t="s">
        <v>736</v>
      </c>
      <c r="B521" s="1">
        <v>210</v>
      </c>
      <c r="C521" s="1" t="s">
        <v>736</v>
      </c>
      <c r="D521" s="1" t="s">
        <v>737</v>
      </c>
      <c r="E521" s="1" t="s">
        <v>47</v>
      </c>
      <c r="F521" s="1" t="s">
        <v>728</v>
      </c>
      <c r="G521" s="1" t="s">
        <v>456</v>
      </c>
      <c r="H521" s="2" t="s">
        <v>729</v>
      </c>
      <c r="I521" s="1">
        <v>111</v>
      </c>
      <c r="J521" s="1">
        <v>0.2</v>
      </c>
      <c r="K521" s="1" t="s">
        <v>150</v>
      </c>
      <c r="L521" s="1" t="s">
        <v>78</v>
      </c>
      <c r="M521" s="1">
        <v>47.84</v>
      </c>
      <c r="N521" s="1">
        <v>52</v>
      </c>
      <c r="O521" s="1">
        <v>66.001180000000005</v>
      </c>
      <c r="P521" s="1">
        <v>-168.95712</v>
      </c>
      <c r="Q521" s="1">
        <v>3.0945</v>
      </c>
      <c r="R521" s="1">
        <v>32.762999999999998</v>
      </c>
      <c r="S521" s="1">
        <v>298.68400000000003</v>
      </c>
      <c r="T521" s="1">
        <v>175.6</v>
      </c>
      <c r="U521" s="1">
        <v>25.38</v>
      </c>
      <c r="V521" s="1">
        <v>3679.99999999999</v>
      </c>
      <c r="W521" s="3">
        <v>1.0210999999999999</v>
      </c>
      <c r="X521" s="1" t="s">
        <v>738</v>
      </c>
      <c r="Y521" s="1">
        <v>1.01</v>
      </c>
      <c r="Z521" s="1">
        <v>0.73</v>
      </c>
      <c r="AA521" s="1">
        <v>1.585</v>
      </c>
      <c r="AB521" s="1">
        <v>26</v>
      </c>
      <c r="AC521" s="1">
        <v>15.1</v>
      </c>
      <c r="AD521" s="1">
        <v>0.21</v>
      </c>
      <c r="AE521" s="1">
        <v>2.31</v>
      </c>
      <c r="AF521" s="1">
        <v>15.31</v>
      </c>
      <c r="AH521" s="1" t="s">
        <v>739</v>
      </c>
      <c r="AI521" s="1">
        <v>1</v>
      </c>
      <c r="AJ521" s="1" t="s">
        <v>738</v>
      </c>
      <c r="AK521" s="1">
        <v>2</v>
      </c>
      <c r="AL521" s="1">
        <v>76.192899999999995</v>
      </c>
      <c r="AM521" s="1" t="s">
        <v>738</v>
      </c>
      <c r="AN521" s="1">
        <v>6.9188337273443699</v>
      </c>
      <c r="AO521" s="1">
        <v>1.0443522607312301</v>
      </c>
    </row>
    <row r="522" spans="1:45">
      <c r="A522" s="1" t="s">
        <v>740</v>
      </c>
      <c r="B522" s="1">
        <v>127</v>
      </c>
      <c r="C522" s="1" t="s">
        <v>740</v>
      </c>
      <c r="D522" s="1" t="s">
        <v>741</v>
      </c>
      <c r="E522" s="1" t="s">
        <v>47</v>
      </c>
      <c r="F522" s="1" t="s">
        <v>742</v>
      </c>
      <c r="G522" s="1" t="s">
        <v>456</v>
      </c>
      <c r="H522" s="2" t="s">
        <v>743</v>
      </c>
      <c r="I522" s="1">
        <v>78</v>
      </c>
      <c r="J522" s="1">
        <v>0.2</v>
      </c>
      <c r="K522" s="1" t="s">
        <v>52</v>
      </c>
      <c r="L522" s="1" t="s">
        <v>52</v>
      </c>
      <c r="M522" s="1">
        <v>2.94</v>
      </c>
      <c r="N522" s="1">
        <v>56</v>
      </c>
      <c r="O522" s="1">
        <v>68.250699999999995</v>
      </c>
      <c r="P522" s="1">
        <v>-168.95107999999999</v>
      </c>
      <c r="Q522" s="1">
        <v>3.5674999999999999</v>
      </c>
      <c r="R522" s="1">
        <v>32.887</v>
      </c>
      <c r="S522" s="1">
        <v>393.51600000000002</v>
      </c>
      <c r="T522" s="1">
        <v>567.94000000000005</v>
      </c>
      <c r="U522" s="1">
        <v>92.72</v>
      </c>
      <c r="V522" s="1">
        <v>3500</v>
      </c>
      <c r="W522" s="3">
        <v>0.57730000000000004</v>
      </c>
      <c r="X522" s="1" t="s">
        <v>744</v>
      </c>
      <c r="Y522" s="1">
        <v>1.91</v>
      </c>
      <c r="Z522" s="1">
        <v>0.37</v>
      </c>
      <c r="AA522" s="1">
        <v>0.626</v>
      </c>
      <c r="AB522" s="1">
        <v>1.8</v>
      </c>
      <c r="AC522" s="1">
        <v>0.5</v>
      </c>
      <c r="AD522" s="1">
        <v>0.03</v>
      </c>
      <c r="AE522" s="1">
        <v>0.27</v>
      </c>
      <c r="AF522" s="1">
        <v>0.53</v>
      </c>
      <c r="AH522" s="1" t="s">
        <v>745</v>
      </c>
      <c r="AI522" s="1">
        <v>11</v>
      </c>
      <c r="AJ522" s="1" t="s">
        <v>744</v>
      </c>
      <c r="AK522" s="1">
        <v>2</v>
      </c>
      <c r="AL522" s="1">
        <v>79.729699999999994</v>
      </c>
      <c r="AM522" s="1" t="s">
        <v>744</v>
      </c>
      <c r="AN522" s="1">
        <v>6.1253235547886096</v>
      </c>
      <c r="AO522" s="1">
        <v>0.92457714034545102</v>
      </c>
    </row>
    <row r="523" spans="1:45">
      <c r="A523" s="1" t="s">
        <v>746</v>
      </c>
      <c r="B523" s="1">
        <v>128</v>
      </c>
      <c r="C523" s="1" t="s">
        <v>746</v>
      </c>
      <c r="D523" s="1" t="s">
        <v>747</v>
      </c>
      <c r="E523" s="1" t="s">
        <v>47</v>
      </c>
      <c r="F523" s="1" t="s">
        <v>742</v>
      </c>
      <c r="G523" s="1" t="s">
        <v>456</v>
      </c>
      <c r="H523" s="2" t="s">
        <v>743</v>
      </c>
      <c r="I523" s="1">
        <v>78</v>
      </c>
      <c r="J523" s="1">
        <v>0.2</v>
      </c>
      <c r="K523" s="1" t="s">
        <v>512</v>
      </c>
      <c r="L523" s="1" t="s">
        <v>65</v>
      </c>
      <c r="M523" s="1">
        <v>9.7899999999999991</v>
      </c>
      <c r="N523" s="1">
        <v>56</v>
      </c>
      <c r="O523" s="1">
        <v>68.250680000000003</v>
      </c>
      <c r="P523" s="1">
        <v>-168.95107999999999</v>
      </c>
      <c r="Q523" s="1">
        <v>2.7075</v>
      </c>
      <c r="R523" s="1">
        <v>32.89</v>
      </c>
      <c r="S523" s="1">
        <v>367.553</v>
      </c>
      <c r="T523" s="1">
        <v>473.74</v>
      </c>
      <c r="U523" s="1">
        <v>84.36</v>
      </c>
      <c r="V523" s="1">
        <v>3560.00000000001</v>
      </c>
      <c r="W523" s="3">
        <v>4.33</v>
      </c>
      <c r="X523" s="1" t="s">
        <v>748</v>
      </c>
      <c r="Y523" s="1">
        <v>5.52</v>
      </c>
      <c r="Z523" s="1">
        <v>0.59</v>
      </c>
      <c r="AA523" s="1">
        <v>0.82499999999999996</v>
      </c>
      <c r="AB523" s="1">
        <v>5.5</v>
      </c>
      <c r="AC523" s="1">
        <v>2.4</v>
      </c>
      <c r="AD523" s="1">
        <v>0.06</v>
      </c>
      <c r="AE523" s="1">
        <v>0.81</v>
      </c>
      <c r="AF523" s="1">
        <v>2.46</v>
      </c>
      <c r="AH523" s="1" t="s">
        <v>749</v>
      </c>
      <c r="AI523" s="1">
        <v>8</v>
      </c>
      <c r="AJ523" s="1" t="s">
        <v>748</v>
      </c>
      <c r="AK523" s="1">
        <v>2</v>
      </c>
      <c r="AL523" s="1">
        <v>75.490499999999997</v>
      </c>
      <c r="AM523" s="1" t="s">
        <v>748</v>
      </c>
      <c r="AN523" s="1">
        <v>5.6156946420104301</v>
      </c>
      <c r="AO523" s="1">
        <v>0.84765202143553697</v>
      </c>
    </row>
    <row r="524" spans="1:45">
      <c r="A524" s="1" t="s">
        <v>750</v>
      </c>
      <c r="B524" s="1">
        <v>129</v>
      </c>
      <c r="C524" s="1" t="s">
        <v>750</v>
      </c>
      <c r="D524" s="1" t="s">
        <v>751</v>
      </c>
      <c r="E524" s="1" t="s">
        <v>47</v>
      </c>
      <c r="F524" s="1" t="s">
        <v>742</v>
      </c>
      <c r="G524" s="1" t="s">
        <v>456</v>
      </c>
      <c r="H524" s="2" t="s">
        <v>743</v>
      </c>
      <c r="I524" s="1">
        <v>78</v>
      </c>
      <c r="J524" s="1">
        <v>0.2</v>
      </c>
      <c r="K524" s="1" t="s">
        <v>150</v>
      </c>
      <c r="L524" s="1" t="s">
        <v>78</v>
      </c>
      <c r="M524" s="1">
        <v>53.88</v>
      </c>
      <c r="N524" s="1">
        <v>56</v>
      </c>
      <c r="O524" s="1">
        <v>68.250680000000003</v>
      </c>
      <c r="P524" s="1">
        <v>-168.95107999999999</v>
      </c>
      <c r="Q524" s="1">
        <v>1.9884999999999999</v>
      </c>
      <c r="R524" s="1">
        <v>32.922499999999999</v>
      </c>
      <c r="S524" s="1">
        <v>314.92099999999999</v>
      </c>
      <c r="T524" s="1">
        <v>333.34</v>
      </c>
      <c r="U524" s="1">
        <v>57.86</v>
      </c>
      <c r="V524" s="1">
        <v>6820.00000000001</v>
      </c>
      <c r="W524" s="3">
        <v>2.0013000000000001</v>
      </c>
      <c r="X524" s="1" t="s">
        <v>752</v>
      </c>
      <c r="Y524" s="1">
        <v>3.44</v>
      </c>
      <c r="Z524" s="1">
        <v>2.12</v>
      </c>
      <c r="AA524" s="1">
        <v>1.323</v>
      </c>
      <c r="AB524" s="1">
        <v>9</v>
      </c>
      <c r="AC524" s="1">
        <v>7.4</v>
      </c>
      <c r="AD524" s="1">
        <v>0.15</v>
      </c>
      <c r="AE524" s="1">
        <v>3.54</v>
      </c>
      <c r="AF524" s="1">
        <v>7.55</v>
      </c>
      <c r="AH524" s="1" t="s">
        <v>753</v>
      </c>
      <c r="AI524" s="1">
        <v>1</v>
      </c>
      <c r="AJ524" s="1" t="s">
        <v>752</v>
      </c>
      <c r="AK524" s="1">
        <v>2</v>
      </c>
      <c r="AL524" s="1">
        <v>54.576999999999998</v>
      </c>
      <c r="AM524" s="1" t="s">
        <v>752</v>
      </c>
      <c r="AN524" s="1">
        <v>5.7611475976494999</v>
      </c>
      <c r="AO524" s="1">
        <v>0.86960718455086805</v>
      </c>
    </row>
    <row r="525" spans="1:45">
      <c r="A525" s="1" t="s">
        <v>754</v>
      </c>
      <c r="B525" s="1">
        <v>124</v>
      </c>
      <c r="C525" s="1" t="s">
        <v>754</v>
      </c>
      <c r="D525" s="1" t="s">
        <v>755</v>
      </c>
      <c r="E525" s="1" t="s">
        <v>47</v>
      </c>
      <c r="F525" s="1" t="s">
        <v>756</v>
      </c>
      <c r="G525" s="1" t="s">
        <v>456</v>
      </c>
      <c r="H525" s="2" t="s">
        <v>757</v>
      </c>
      <c r="I525" s="1">
        <v>76</v>
      </c>
      <c r="J525" s="1">
        <v>0.2</v>
      </c>
      <c r="K525" s="1" t="s">
        <v>52</v>
      </c>
      <c r="L525" s="1" t="s">
        <v>52</v>
      </c>
      <c r="M525" s="1">
        <v>2.4700000000000002</v>
      </c>
      <c r="N525" s="1">
        <v>52</v>
      </c>
      <c r="O525" s="1">
        <v>68.751639999999995</v>
      </c>
      <c r="P525" s="1">
        <v>-168.95008000000001</v>
      </c>
      <c r="Q525" s="1">
        <v>5.4044999999999996</v>
      </c>
      <c r="R525" s="1">
        <v>32.021000000000001</v>
      </c>
      <c r="S525" s="1">
        <v>329.78500000000003</v>
      </c>
      <c r="T525" s="1">
        <v>138.74</v>
      </c>
      <c r="U525" s="1">
        <v>23.86</v>
      </c>
      <c r="V525" s="1">
        <v>2120</v>
      </c>
      <c r="W525" s="3">
        <v>0</v>
      </c>
      <c r="X525" s="1" t="s">
        <v>758</v>
      </c>
      <c r="Y525" s="1">
        <v>0.25</v>
      </c>
      <c r="Z525" s="1">
        <v>0.08</v>
      </c>
      <c r="AA525" s="1">
        <v>0.63800000000000001</v>
      </c>
      <c r="AB525" s="1">
        <v>1.8</v>
      </c>
      <c r="AC525" s="1">
        <v>0.4</v>
      </c>
      <c r="AD525" s="1">
        <v>0.02</v>
      </c>
      <c r="AE525" s="1">
        <v>1.43</v>
      </c>
      <c r="AF525" s="1">
        <v>0.42</v>
      </c>
      <c r="AH525" s="1" t="s">
        <v>759</v>
      </c>
      <c r="AI525" s="1">
        <v>7</v>
      </c>
      <c r="AJ525" s="1" t="s">
        <v>758</v>
      </c>
      <c r="AK525" s="1">
        <v>2</v>
      </c>
      <c r="AL525" s="1">
        <v>90.831000000000003</v>
      </c>
      <c r="AM525" s="1" t="s">
        <v>758</v>
      </c>
      <c r="AN525" s="1">
        <v>5.8147527242246397</v>
      </c>
      <c r="AO525" s="1">
        <v>0.87769852441126694</v>
      </c>
    </row>
    <row r="526" spans="1:45">
      <c r="A526" s="1" t="s">
        <v>760</v>
      </c>
      <c r="B526" s="1">
        <v>125</v>
      </c>
      <c r="C526" s="1" t="s">
        <v>760</v>
      </c>
      <c r="D526" s="1" t="s">
        <v>761</v>
      </c>
      <c r="E526" s="1" t="s">
        <v>47</v>
      </c>
      <c r="F526" s="1" t="s">
        <v>756</v>
      </c>
      <c r="G526" s="1" t="s">
        <v>456</v>
      </c>
      <c r="H526" s="2" t="s">
        <v>757</v>
      </c>
      <c r="I526" s="1">
        <v>76</v>
      </c>
      <c r="J526" s="1">
        <v>0.2</v>
      </c>
      <c r="K526" s="1" t="s">
        <v>486</v>
      </c>
      <c r="L526" s="1" t="s">
        <v>65</v>
      </c>
      <c r="M526" s="1">
        <v>14.95</v>
      </c>
      <c r="N526" s="1">
        <v>52</v>
      </c>
      <c r="O526" s="1">
        <v>68.751639999999995</v>
      </c>
      <c r="P526" s="1">
        <v>-168.95008000000001</v>
      </c>
      <c r="Q526" s="1">
        <v>4.6234999999999999</v>
      </c>
      <c r="R526" s="1">
        <v>32.392499999999998</v>
      </c>
      <c r="S526" s="1">
        <v>347.53</v>
      </c>
      <c r="T526" s="1">
        <v>164.12</v>
      </c>
      <c r="U526" s="1">
        <v>29.68</v>
      </c>
      <c r="V526" s="1">
        <v>2340.00000000001</v>
      </c>
      <c r="W526" s="3">
        <v>0.1366</v>
      </c>
      <c r="X526" s="1" t="s">
        <v>762</v>
      </c>
      <c r="AH526" s="1" t="s">
        <v>763</v>
      </c>
      <c r="AI526" s="1">
        <v>5</v>
      </c>
      <c r="AJ526" s="1" t="s">
        <v>762</v>
      </c>
      <c r="AK526" s="1">
        <v>2</v>
      </c>
      <c r="AL526" s="1">
        <v>92.725800000000007</v>
      </c>
      <c r="AM526" s="1" t="s">
        <v>762</v>
      </c>
      <c r="AN526" s="1">
        <v>5.5296495956873297</v>
      </c>
      <c r="AO526" s="1">
        <v>0.83466408991506902</v>
      </c>
    </row>
    <row r="527" spans="1:45">
      <c r="A527" s="1" t="s">
        <v>764</v>
      </c>
      <c r="B527" s="1">
        <v>126</v>
      </c>
      <c r="C527" s="1" t="s">
        <v>764</v>
      </c>
      <c r="D527" s="1" t="s">
        <v>765</v>
      </c>
      <c r="E527" s="1" t="s">
        <v>47</v>
      </c>
      <c r="F527" s="1" t="s">
        <v>756</v>
      </c>
      <c r="G527" s="1" t="s">
        <v>456</v>
      </c>
      <c r="H527" s="2" t="s">
        <v>757</v>
      </c>
      <c r="I527" s="1">
        <v>76</v>
      </c>
      <c r="J527" s="1">
        <v>0.2</v>
      </c>
      <c r="K527" s="1" t="s">
        <v>150</v>
      </c>
      <c r="L527" s="1" t="s">
        <v>78</v>
      </c>
      <c r="M527" s="1">
        <v>49.67</v>
      </c>
      <c r="N527" s="1">
        <v>52</v>
      </c>
      <c r="O527" s="1">
        <v>68.751639999999995</v>
      </c>
      <c r="P527" s="1">
        <v>-168.95009999999999</v>
      </c>
      <c r="Q527" s="1">
        <v>2.851</v>
      </c>
      <c r="R527" s="1">
        <v>32.819499999999998</v>
      </c>
      <c r="S527" s="1">
        <v>349.71800000000002</v>
      </c>
      <c r="T527" s="1">
        <v>141.4</v>
      </c>
      <c r="U527" s="1">
        <v>21.28</v>
      </c>
      <c r="V527" s="1">
        <v>2739.99999999999</v>
      </c>
      <c r="W527" s="3">
        <v>0.37869999999999998</v>
      </c>
      <c r="X527" s="1" t="s">
        <v>766</v>
      </c>
      <c r="Y527" s="1">
        <v>0.79</v>
      </c>
      <c r="Z527" s="1">
        <v>0.86</v>
      </c>
      <c r="AA527" s="1">
        <v>1.163</v>
      </c>
      <c r="AB527" s="1">
        <v>3.2</v>
      </c>
      <c r="AC527" s="1">
        <v>2.8</v>
      </c>
      <c r="AD527" s="1">
        <v>0.1</v>
      </c>
      <c r="AE527" s="1">
        <v>4.79</v>
      </c>
      <c r="AF527" s="1">
        <v>2.9</v>
      </c>
      <c r="AH527" s="1" t="s">
        <v>767</v>
      </c>
      <c r="AI527" s="1">
        <v>1</v>
      </c>
      <c r="AJ527" s="1" t="s">
        <v>766</v>
      </c>
      <c r="AK527" s="1">
        <v>2</v>
      </c>
      <c r="AL527" s="1">
        <v>75.037700000000001</v>
      </c>
      <c r="AM527" s="1" t="s">
        <v>766</v>
      </c>
      <c r="AN527" s="1">
        <v>6.6447368421052602</v>
      </c>
      <c r="AO527" s="1">
        <v>1.0029791459781501</v>
      </c>
    </row>
    <row r="528" spans="1:45">
      <c r="A528" s="1" t="s">
        <v>768</v>
      </c>
      <c r="B528" s="1">
        <v>204</v>
      </c>
      <c r="C528" s="1" t="s">
        <v>768</v>
      </c>
      <c r="D528" s="1" t="s">
        <v>769</v>
      </c>
      <c r="E528" s="1" t="s">
        <v>47</v>
      </c>
      <c r="F528" s="1" t="s">
        <v>770</v>
      </c>
      <c r="G528" s="1" t="s">
        <v>456</v>
      </c>
      <c r="H528" s="2" t="s">
        <v>771</v>
      </c>
      <c r="I528" s="1">
        <v>110</v>
      </c>
      <c r="J528" s="1">
        <v>0.2</v>
      </c>
      <c r="K528" s="1" t="s">
        <v>52</v>
      </c>
      <c r="L528" s="1" t="s">
        <v>52</v>
      </c>
      <c r="M528" s="1">
        <v>4.1100000000000003</v>
      </c>
      <c r="N528" s="1">
        <v>57</v>
      </c>
      <c r="O528" s="1">
        <v>66.250540000000001</v>
      </c>
      <c r="P528" s="1">
        <v>-168.95838000000001</v>
      </c>
      <c r="Q528" s="1">
        <v>4.3064999999999998</v>
      </c>
      <c r="R528" s="1">
        <v>32.707000000000001</v>
      </c>
      <c r="S528" s="1">
        <v>331.85</v>
      </c>
      <c r="T528" s="1">
        <v>823.6</v>
      </c>
      <c r="U528" s="1">
        <v>137.78</v>
      </c>
      <c r="V528" s="1">
        <v>4599.99999999999</v>
      </c>
      <c r="W528" s="3">
        <v>8.1562999999999999</v>
      </c>
      <c r="X528" s="1" t="s">
        <v>772</v>
      </c>
      <c r="Y528" s="1">
        <v>17.14</v>
      </c>
      <c r="Z528" s="1">
        <v>2.0499999999999998</v>
      </c>
      <c r="AA528" s="1">
        <v>0.871</v>
      </c>
      <c r="AB528" s="1">
        <v>13.3</v>
      </c>
      <c r="AC528" s="1">
        <v>5.0999999999999996</v>
      </c>
      <c r="AD528" s="1">
        <v>0.11</v>
      </c>
      <c r="AE528" s="1">
        <v>0.56000000000000005</v>
      </c>
      <c r="AF528" s="1">
        <v>5.21</v>
      </c>
      <c r="AH528" s="1" t="s">
        <v>773</v>
      </c>
      <c r="AI528" s="1">
        <v>10</v>
      </c>
      <c r="AJ528" s="1" t="s">
        <v>772</v>
      </c>
      <c r="AK528" s="1">
        <v>1.7</v>
      </c>
      <c r="AL528" s="1">
        <v>75.114500000000007</v>
      </c>
      <c r="AM528" s="1" t="s">
        <v>772</v>
      </c>
      <c r="AN528" s="1">
        <v>5.9776455218464202</v>
      </c>
      <c r="AO528" s="1">
        <v>0.90228611650512003</v>
      </c>
    </row>
    <row r="529" spans="1:45">
      <c r="A529" s="1" t="s">
        <v>774</v>
      </c>
      <c r="B529" s="1">
        <v>205</v>
      </c>
      <c r="C529" s="1" t="s">
        <v>774</v>
      </c>
      <c r="D529" s="1" t="s">
        <v>775</v>
      </c>
      <c r="E529" s="1" t="s">
        <v>47</v>
      </c>
      <c r="F529" s="1" t="s">
        <v>770</v>
      </c>
      <c r="G529" s="1" t="s">
        <v>456</v>
      </c>
      <c r="H529" s="2" t="s">
        <v>771</v>
      </c>
      <c r="I529" s="1">
        <v>110</v>
      </c>
      <c r="J529" s="1">
        <v>0.2</v>
      </c>
      <c r="K529" s="1" t="s">
        <v>512</v>
      </c>
      <c r="L529" s="1" t="s">
        <v>65</v>
      </c>
      <c r="M529" s="1">
        <v>9.73</v>
      </c>
      <c r="N529" s="1">
        <v>57</v>
      </c>
      <c r="O529" s="1">
        <v>66.250540000000001</v>
      </c>
      <c r="P529" s="1">
        <v>-168.95840000000001</v>
      </c>
      <c r="Q529" s="1">
        <v>4.2634999999999996</v>
      </c>
      <c r="R529" s="1">
        <v>32.709499999999998</v>
      </c>
      <c r="S529" s="1">
        <v>330.48200000000003</v>
      </c>
      <c r="W529" s="3">
        <v>8.3021999999999991</v>
      </c>
      <c r="X529" s="1" t="s">
        <v>776</v>
      </c>
      <c r="Y529" s="1">
        <v>15.39</v>
      </c>
      <c r="Z529" s="1">
        <v>3.05</v>
      </c>
      <c r="AA529" s="1">
        <v>0.85799999999999998</v>
      </c>
      <c r="AB529" s="1">
        <v>13.2</v>
      </c>
      <c r="AC529" s="1">
        <v>5</v>
      </c>
      <c r="AD529" s="1">
        <v>0.11</v>
      </c>
      <c r="AE529" s="1">
        <v>0.52</v>
      </c>
      <c r="AF529" s="1">
        <v>5.1100000000000003</v>
      </c>
      <c r="AH529" s="1" t="s">
        <v>777</v>
      </c>
      <c r="AI529" s="1">
        <v>8</v>
      </c>
      <c r="AJ529" s="1" t="s">
        <v>776</v>
      </c>
      <c r="AK529" s="1">
        <v>1.7</v>
      </c>
      <c r="AL529" s="1">
        <v>75.063299999999998</v>
      </c>
      <c r="AM529" s="1" t="s">
        <v>776</v>
      </c>
    </row>
    <row r="530" spans="1:45">
      <c r="A530" s="1" t="s">
        <v>778</v>
      </c>
      <c r="B530" s="1">
        <v>206</v>
      </c>
      <c r="C530" s="1" t="s">
        <v>778</v>
      </c>
      <c r="D530" s="1" t="s">
        <v>779</v>
      </c>
      <c r="E530" s="1" t="s">
        <v>47</v>
      </c>
      <c r="F530" s="1" t="s">
        <v>770</v>
      </c>
      <c r="G530" s="1" t="s">
        <v>456</v>
      </c>
      <c r="H530" s="2" t="s">
        <v>771</v>
      </c>
      <c r="I530" s="1">
        <v>110</v>
      </c>
      <c r="J530" s="1">
        <v>0.2</v>
      </c>
      <c r="K530" s="1" t="s">
        <v>780</v>
      </c>
      <c r="L530" s="1" t="s">
        <v>65</v>
      </c>
      <c r="M530" s="1">
        <v>25.6</v>
      </c>
      <c r="N530" s="1">
        <v>57</v>
      </c>
      <c r="O530" s="1">
        <v>66.250559999999993</v>
      </c>
      <c r="P530" s="1">
        <v>-168.95833999999999</v>
      </c>
      <c r="Q530" s="1">
        <v>3.7475000000000001</v>
      </c>
      <c r="R530" s="1">
        <v>32.728999999999999</v>
      </c>
      <c r="S530" s="1">
        <v>314.40600000000001</v>
      </c>
      <c r="T530" s="1">
        <v>288</v>
      </c>
      <c r="U530" s="1">
        <v>46.44</v>
      </c>
      <c r="V530" s="1">
        <v>4000</v>
      </c>
      <c r="W530" s="3">
        <v>4.3430999999999997</v>
      </c>
      <c r="X530" s="1" t="s">
        <v>781</v>
      </c>
      <c r="Y530" s="1">
        <v>4.43</v>
      </c>
      <c r="Z530" s="1">
        <v>0.56000000000000005</v>
      </c>
      <c r="AA530" s="1">
        <v>1.4510000000000001</v>
      </c>
      <c r="AB530" s="1">
        <v>23.1</v>
      </c>
      <c r="AC530" s="1">
        <v>13.6</v>
      </c>
      <c r="AD530" s="1">
        <v>0.19</v>
      </c>
      <c r="AE530" s="1">
        <v>1.86</v>
      </c>
      <c r="AF530" s="1">
        <v>13.79</v>
      </c>
      <c r="AH530" s="1" t="s">
        <v>782</v>
      </c>
      <c r="AI530" s="1">
        <v>5</v>
      </c>
      <c r="AJ530" s="1" t="s">
        <v>781</v>
      </c>
      <c r="AK530" s="1">
        <v>1.7</v>
      </c>
      <c r="AL530" s="1">
        <v>75.928299999999993</v>
      </c>
      <c r="AM530" s="1" t="s">
        <v>781</v>
      </c>
      <c r="AN530" s="1">
        <v>6.2015503875968996</v>
      </c>
      <c r="AO530" s="1">
        <v>0.93608307737311702</v>
      </c>
    </row>
    <row r="531" spans="1:45">
      <c r="A531" s="1" t="s">
        <v>783</v>
      </c>
      <c r="B531" s="1">
        <v>207</v>
      </c>
      <c r="C531" s="1" t="s">
        <v>783</v>
      </c>
      <c r="D531" s="1" t="s">
        <v>784</v>
      </c>
      <c r="E531" s="1" t="s">
        <v>47</v>
      </c>
      <c r="F531" s="1" t="s">
        <v>770</v>
      </c>
      <c r="G531" s="1" t="s">
        <v>456</v>
      </c>
      <c r="H531" s="2" t="s">
        <v>771</v>
      </c>
      <c r="I531" s="1">
        <v>110</v>
      </c>
      <c r="J531" s="1">
        <v>0.2</v>
      </c>
      <c r="K531" s="1" t="s">
        <v>150</v>
      </c>
      <c r="L531" s="1" t="s">
        <v>78</v>
      </c>
      <c r="M531" s="1">
        <v>52.64</v>
      </c>
      <c r="N531" s="1">
        <v>57</v>
      </c>
      <c r="O531" s="1">
        <v>66.250559999999993</v>
      </c>
      <c r="P531" s="1">
        <v>-168.95836</v>
      </c>
      <c r="Q531" s="1">
        <v>3.3130000000000002</v>
      </c>
      <c r="R531" s="1">
        <v>32.752000000000002</v>
      </c>
      <c r="S531" s="1">
        <v>298.05200000000002</v>
      </c>
      <c r="T531" s="1">
        <v>216.1</v>
      </c>
      <c r="U531" s="1">
        <v>34.54</v>
      </c>
      <c r="V531" s="1">
        <v>4180</v>
      </c>
      <c r="W531" s="3">
        <v>1.6597999999999999</v>
      </c>
      <c r="X531" s="1" t="s">
        <v>785</v>
      </c>
      <c r="Y531" s="1">
        <v>1.9</v>
      </c>
      <c r="Z531" s="1">
        <v>0.87</v>
      </c>
      <c r="AA531" s="1">
        <v>1.5429999999999999</v>
      </c>
      <c r="AB531" s="1">
        <v>24.7</v>
      </c>
      <c r="AC531" s="1">
        <v>14.8</v>
      </c>
      <c r="AD531" s="1">
        <v>0.21</v>
      </c>
      <c r="AE531" s="1">
        <v>2.02</v>
      </c>
      <c r="AF531" s="1">
        <v>15.01</v>
      </c>
      <c r="AH531" s="1" t="s">
        <v>786</v>
      </c>
      <c r="AI531" s="1">
        <v>1</v>
      </c>
      <c r="AJ531" s="1" t="s">
        <v>785</v>
      </c>
      <c r="AK531" s="1">
        <v>1.7</v>
      </c>
      <c r="AL531" s="1">
        <v>76.461600000000004</v>
      </c>
      <c r="AM531" s="1" t="s">
        <v>785</v>
      </c>
      <c r="AN531" s="1">
        <v>6.2565141864504898</v>
      </c>
      <c r="AO531" s="1">
        <v>0.94437949984158398</v>
      </c>
    </row>
    <row r="532" spans="1:45">
      <c r="A532" s="1" t="s">
        <v>787</v>
      </c>
      <c r="B532" s="1">
        <v>184</v>
      </c>
      <c r="C532" s="1" t="s">
        <v>787</v>
      </c>
      <c r="D532" s="1" t="s">
        <v>788</v>
      </c>
      <c r="E532" s="1" t="s">
        <v>47</v>
      </c>
      <c r="F532" s="1" t="s">
        <v>789</v>
      </c>
      <c r="G532" s="1" t="s">
        <v>456</v>
      </c>
      <c r="H532" s="2" t="s">
        <v>790</v>
      </c>
      <c r="I532" s="1">
        <v>99</v>
      </c>
      <c r="J532" s="1">
        <v>0.2</v>
      </c>
      <c r="K532" s="1" t="s">
        <v>52</v>
      </c>
      <c r="L532" s="1" t="s">
        <v>52</v>
      </c>
      <c r="M532" s="1">
        <v>4.24</v>
      </c>
      <c r="N532" s="1">
        <v>48</v>
      </c>
      <c r="O532" s="1">
        <v>67.000060000000005</v>
      </c>
      <c r="P532" s="1">
        <v>-168.95495</v>
      </c>
      <c r="Q532" s="1">
        <v>3.738</v>
      </c>
      <c r="R532" s="1">
        <v>32.8065</v>
      </c>
      <c r="S532" s="1">
        <v>311.25599999999997</v>
      </c>
      <c r="T532" s="1">
        <v>408.68</v>
      </c>
      <c r="U532" s="1">
        <v>74.42</v>
      </c>
      <c r="V532" s="1">
        <v>5680</v>
      </c>
      <c r="W532" s="3">
        <v>2.5621999999999998</v>
      </c>
      <c r="X532" s="1" t="s">
        <v>791</v>
      </c>
      <c r="Y532" s="1">
        <v>6.67</v>
      </c>
      <c r="Z532" s="1">
        <v>0.32</v>
      </c>
      <c r="AA532" s="1">
        <v>1.278</v>
      </c>
      <c r="AB532" s="1">
        <v>12.5</v>
      </c>
      <c r="AC532" s="1">
        <v>10.9</v>
      </c>
      <c r="AD532" s="1">
        <v>0.17</v>
      </c>
      <c r="AE532" s="1">
        <v>1.92</v>
      </c>
      <c r="AF532" s="1">
        <v>11.07</v>
      </c>
      <c r="AH532" s="1" t="s">
        <v>792</v>
      </c>
      <c r="AI532" s="1">
        <v>9</v>
      </c>
      <c r="AJ532" s="1" t="s">
        <v>793</v>
      </c>
      <c r="AK532" s="1">
        <v>2</v>
      </c>
      <c r="AL532" s="1">
        <v>77.790099999999995</v>
      </c>
      <c r="AM532" s="1" t="s">
        <v>791</v>
      </c>
      <c r="AN532" s="1">
        <v>5.4915345337274903</v>
      </c>
      <c r="AO532" s="1">
        <v>0.82891087301547095</v>
      </c>
    </row>
    <row r="533" spans="1:45">
      <c r="A533" s="1" t="s">
        <v>794</v>
      </c>
      <c r="B533" s="1">
        <v>185</v>
      </c>
      <c r="C533" s="1" t="s">
        <v>794</v>
      </c>
      <c r="D533" s="1" t="s">
        <v>795</v>
      </c>
      <c r="E533" s="1" t="s">
        <v>47</v>
      </c>
      <c r="F533" s="1" t="s">
        <v>789</v>
      </c>
      <c r="G533" s="1" t="s">
        <v>456</v>
      </c>
      <c r="H533" s="2" t="s">
        <v>790</v>
      </c>
      <c r="I533" s="1">
        <v>99</v>
      </c>
      <c r="J533" s="1">
        <v>0.2</v>
      </c>
      <c r="K533" s="1" t="s">
        <v>65</v>
      </c>
      <c r="L533" s="1" t="s">
        <v>65</v>
      </c>
      <c r="M533" s="1">
        <v>11.25</v>
      </c>
      <c r="N533" s="1">
        <v>48</v>
      </c>
      <c r="O533" s="1">
        <v>67.00009</v>
      </c>
      <c r="P533" s="1">
        <v>-168.95534000000001</v>
      </c>
      <c r="Q533" s="1">
        <v>3.7330000000000001</v>
      </c>
      <c r="R533" s="1">
        <v>32.805500000000002</v>
      </c>
      <c r="S533" s="1">
        <v>312.12</v>
      </c>
      <c r="W533" s="3">
        <v>3.0263</v>
      </c>
      <c r="X533" s="1" t="s">
        <v>796</v>
      </c>
      <c r="Y533" s="1">
        <v>6.2</v>
      </c>
      <c r="Z533" s="1">
        <v>0.6</v>
      </c>
      <c r="AA533" s="1">
        <v>1.2809999999999999</v>
      </c>
      <c r="AB533" s="1">
        <v>12</v>
      </c>
      <c r="AC533" s="1">
        <v>10.9</v>
      </c>
      <c r="AD533" s="1">
        <v>0.17</v>
      </c>
      <c r="AE533" s="1">
        <v>1.93</v>
      </c>
      <c r="AF533" s="1">
        <v>11.07</v>
      </c>
      <c r="AH533" s="1" t="s">
        <v>797</v>
      </c>
      <c r="AI533" s="1">
        <v>5</v>
      </c>
      <c r="AJ533" s="1" t="s">
        <v>798</v>
      </c>
      <c r="AK533" s="1">
        <v>2</v>
      </c>
      <c r="AL533" s="1">
        <v>78.114400000000003</v>
      </c>
      <c r="AM533" s="1" t="s">
        <v>796</v>
      </c>
    </row>
    <row r="534" spans="1:45">
      <c r="A534" s="1" t="s">
        <v>799</v>
      </c>
      <c r="B534" s="1">
        <v>186</v>
      </c>
      <c r="C534" s="1" t="s">
        <v>799</v>
      </c>
      <c r="D534" s="1" t="s">
        <v>800</v>
      </c>
      <c r="E534" s="1" t="s">
        <v>47</v>
      </c>
      <c r="F534" s="1" t="s">
        <v>789</v>
      </c>
      <c r="G534" s="1" t="s">
        <v>456</v>
      </c>
      <c r="H534" s="2" t="s">
        <v>790</v>
      </c>
      <c r="I534" s="1">
        <v>99</v>
      </c>
      <c r="J534" s="1">
        <v>0.2</v>
      </c>
      <c r="K534" s="1" t="s">
        <v>150</v>
      </c>
      <c r="L534" s="1" t="s">
        <v>78</v>
      </c>
      <c r="M534" s="1">
        <v>43.76</v>
      </c>
      <c r="N534" s="1">
        <v>48</v>
      </c>
      <c r="O534" s="1">
        <v>67.00018</v>
      </c>
      <c r="P534" s="1">
        <v>-168.95677000000001</v>
      </c>
      <c r="Q534" s="1">
        <v>3.6320000000000001</v>
      </c>
      <c r="R534" s="1">
        <v>32.827500000000001</v>
      </c>
      <c r="S534" s="1">
        <v>294.59199999999998</v>
      </c>
      <c r="T534" s="1">
        <v>376.64</v>
      </c>
      <c r="U534" s="1">
        <v>64.06</v>
      </c>
      <c r="V534" s="1">
        <v>13360</v>
      </c>
      <c r="W534" s="3">
        <v>1.6154999999999999</v>
      </c>
      <c r="X534" s="1" t="s">
        <v>801</v>
      </c>
      <c r="Y534" s="1">
        <v>2.6</v>
      </c>
      <c r="Z534" s="1">
        <v>4.3099999999999996</v>
      </c>
      <c r="AA534" s="1">
        <v>1.526</v>
      </c>
      <c r="AB534" s="1">
        <v>19.8</v>
      </c>
      <c r="AC534" s="1">
        <v>13.4</v>
      </c>
      <c r="AD534" s="1">
        <v>0.19</v>
      </c>
      <c r="AE534" s="1">
        <v>3.1</v>
      </c>
      <c r="AF534" s="1">
        <v>13.59</v>
      </c>
      <c r="AH534" s="1" t="s">
        <v>802</v>
      </c>
      <c r="AI534" s="1">
        <v>1</v>
      </c>
      <c r="AJ534" s="1" t="s">
        <v>801</v>
      </c>
      <c r="AK534" s="1">
        <v>2</v>
      </c>
      <c r="AL534" s="1">
        <v>57.767200000000003</v>
      </c>
      <c r="AM534" s="1" t="s">
        <v>801</v>
      </c>
      <c r="AN534" s="1">
        <v>5.8794879800187303</v>
      </c>
      <c r="AO534" s="1">
        <v>0.88746988377641201</v>
      </c>
    </row>
    <row r="535" spans="1:45">
      <c r="A535" s="1" t="s">
        <v>803</v>
      </c>
      <c r="B535" s="1">
        <v>76</v>
      </c>
      <c r="C535" s="1" t="s">
        <v>803</v>
      </c>
      <c r="D535" s="1" t="s">
        <v>804</v>
      </c>
      <c r="E535" s="1" t="s">
        <v>47</v>
      </c>
      <c r="F535" s="1" t="s">
        <v>805</v>
      </c>
      <c r="G535" s="1" t="s">
        <v>456</v>
      </c>
      <c r="H535" s="2" t="s">
        <v>806</v>
      </c>
      <c r="I535" s="1">
        <v>39</v>
      </c>
      <c r="J535" s="1">
        <v>0.2</v>
      </c>
      <c r="K535" s="1" t="s">
        <v>52</v>
      </c>
      <c r="L535" s="1" t="s">
        <v>52</v>
      </c>
      <c r="M535" s="1">
        <v>3.12</v>
      </c>
      <c r="N535" s="1">
        <v>49.5</v>
      </c>
      <c r="O535" s="1">
        <v>67.500119999999995</v>
      </c>
      <c r="P535" s="1">
        <v>-168.94924</v>
      </c>
      <c r="Q535" s="1">
        <v>4.7904999999999998</v>
      </c>
      <c r="R535" s="1">
        <v>32.816499999999998</v>
      </c>
      <c r="S535" s="1">
        <v>311.08699999999999</v>
      </c>
      <c r="T535" s="1">
        <v>171.48</v>
      </c>
      <c r="U535" s="1">
        <v>29.54</v>
      </c>
      <c r="V535" s="1">
        <v>3420.00000000001</v>
      </c>
      <c r="W535" s="3">
        <v>0.3327</v>
      </c>
      <c r="X535" s="1" t="s">
        <v>807</v>
      </c>
      <c r="Y535" s="1">
        <v>0.47</v>
      </c>
      <c r="Z535" s="1">
        <v>0.15</v>
      </c>
      <c r="AA535" s="1">
        <v>1.379</v>
      </c>
      <c r="AB535" s="1">
        <v>17.8</v>
      </c>
      <c r="AC535" s="1">
        <v>11.1</v>
      </c>
      <c r="AD535" s="1">
        <v>0.17</v>
      </c>
      <c r="AE535" s="1">
        <v>3.43</v>
      </c>
      <c r="AF535" s="1">
        <v>11.27</v>
      </c>
      <c r="AH535" s="1" t="s">
        <v>808</v>
      </c>
      <c r="AI535" s="1">
        <v>12</v>
      </c>
      <c r="AJ535" s="1" t="s">
        <v>809</v>
      </c>
      <c r="AK535" s="1">
        <v>1</v>
      </c>
      <c r="AL535" s="1">
        <v>79.101500000000001</v>
      </c>
      <c r="AM535" s="1" t="s">
        <v>807</v>
      </c>
      <c r="AN535" s="1">
        <v>5.8050101557210603</v>
      </c>
      <c r="AO535" s="1">
        <v>0.87622794803336701</v>
      </c>
    </row>
    <row r="536" spans="1:45">
      <c r="A536" s="1" t="s">
        <v>810</v>
      </c>
      <c r="B536" s="1">
        <v>75</v>
      </c>
      <c r="C536" s="1" t="s">
        <v>810</v>
      </c>
      <c r="D536" s="1" t="s">
        <v>811</v>
      </c>
      <c r="E536" s="1" t="s">
        <v>47</v>
      </c>
      <c r="F536" s="1" t="s">
        <v>805</v>
      </c>
      <c r="G536" s="1" t="s">
        <v>456</v>
      </c>
      <c r="H536" s="2" t="s">
        <v>806</v>
      </c>
      <c r="I536" s="1">
        <v>39</v>
      </c>
      <c r="J536" s="1">
        <v>0.2</v>
      </c>
      <c r="K536" s="1" t="s">
        <v>210</v>
      </c>
      <c r="L536" s="1" t="s">
        <v>65</v>
      </c>
      <c r="M536" s="1">
        <v>10.17</v>
      </c>
      <c r="N536" s="1">
        <v>49.5</v>
      </c>
      <c r="O536" s="1">
        <v>67.500119999999995</v>
      </c>
      <c r="P536" s="1">
        <v>-168.94924</v>
      </c>
      <c r="Q536" s="1">
        <v>2.8184999999999998</v>
      </c>
      <c r="R536" s="1">
        <v>32.783499999999997</v>
      </c>
      <c r="S536" s="1">
        <v>307.47800000000001</v>
      </c>
      <c r="W536" s="3">
        <v>0.74229999999999996</v>
      </c>
      <c r="X536" s="1" t="s">
        <v>812</v>
      </c>
      <c r="Y536" s="1">
        <v>0.78</v>
      </c>
      <c r="Z536" s="1">
        <v>1.01</v>
      </c>
      <c r="AA536" s="1">
        <v>1.419</v>
      </c>
      <c r="AB536" s="1">
        <v>17.8</v>
      </c>
      <c r="AC536" s="1">
        <v>11.1</v>
      </c>
      <c r="AD536" s="1">
        <v>0.17</v>
      </c>
      <c r="AE536" s="1">
        <v>3.83</v>
      </c>
      <c r="AF536" s="1">
        <v>11.27</v>
      </c>
      <c r="AH536" s="1" t="s">
        <v>813</v>
      </c>
      <c r="AI536" s="1">
        <v>10</v>
      </c>
      <c r="AJ536" s="1" t="s">
        <v>814</v>
      </c>
      <c r="AK536" s="1">
        <v>1</v>
      </c>
      <c r="AL536" s="1">
        <v>65.183899999999994</v>
      </c>
      <c r="AM536" s="1" t="s">
        <v>812</v>
      </c>
      <c r="AS536" s="1" t="s">
        <v>815</v>
      </c>
    </row>
    <row r="537" spans="1:45">
      <c r="A537" s="1" t="s">
        <v>816</v>
      </c>
      <c r="B537" s="1">
        <v>74</v>
      </c>
      <c r="C537" s="1" t="s">
        <v>816</v>
      </c>
      <c r="D537" s="1" t="s">
        <v>817</v>
      </c>
      <c r="E537" s="1" t="s">
        <v>47</v>
      </c>
      <c r="F537" s="1" t="s">
        <v>805</v>
      </c>
      <c r="G537" s="1" t="s">
        <v>456</v>
      </c>
      <c r="H537" s="2" t="s">
        <v>806</v>
      </c>
      <c r="I537" s="1">
        <v>39</v>
      </c>
      <c r="J537" s="1">
        <v>0.2</v>
      </c>
      <c r="K537" s="1" t="s">
        <v>150</v>
      </c>
      <c r="L537" s="1" t="s">
        <v>78</v>
      </c>
      <c r="M537" s="1">
        <v>46.86</v>
      </c>
      <c r="N537" s="1">
        <v>49.5</v>
      </c>
      <c r="O537" s="1">
        <v>67.500119999999995</v>
      </c>
      <c r="P537" s="1">
        <v>-168.94924</v>
      </c>
      <c r="Q537" s="1">
        <v>2.677</v>
      </c>
      <c r="R537" s="1">
        <v>32.783499999999997</v>
      </c>
      <c r="S537" s="1">
        <v>301.91300000000001</v>
      </c>
      <c r="T537" s="1">
        <v>255.4</v>
      </c>
      <c r="U537" s="1">
        <v>41.72</v>
      </c>
      <c r="V537" s="1">
        <v>7640</v>
      </c>
      <c r="W537" s="3">
        <v>0.67649999999999999</v>
      </c>
      <c r="X537" s="1" t="s">
        <v>818</v>
      </c>
      <c r="Y537" s="1">
        <v>2.04</v>
      </c>
      <c r="Z537" s="1">
        <v>2.14</v>
      </c>
      <c r="AA537" s="1">
        <v>1.486</v>
      </c>
      <c r="AB537" s="1">
        <v>22.5</v>
      </c>
      <c r="AC537" s="1">
        <v>11.8</v>
      </c>
      <c r="AD537" s="1">
        <v>0.18</v>
      </c>
      <c r="AE537" s="1">
        <v>4.4000000000000004</v>
      </c>
      <c r="AF537" s="1">
        <v>11.98</v>
      </c>
      <c r="AH537" s="1" t="s">
        <v>819</v>
      </c>
      <c r="AI537" s="1">
        <v>2</v>
      </c>
      <c r="AJ537" s="1" t="s">
        <v>820</v>
      </c>
      <c r="AK537" s="1">
        <v>1</v>
      </c>
      <c r="AL537" s="1">
        <v>49.457799999999999</v>
      </c>
      <c r="AM537" s="1" t="s">
        <v>818</v>
      </c>
      <c r="AN537" s="1">
        <v>6.1217641418983701</v>
      </c>
      <c r="AO537" s="1">
        <v>0.92403987047522596</v>
      </c>
      <c r="AS537" s="1" t="s">
        <v>716</v>
      </c>
    </row>
    <row r="538" spans="1:45">
      <c r="A538" s="1" t="s">
        <v>821</v>
      </c>
      <c r="B538" s="1">
        <v>130</v>
      </c>
      <c r="C538" s="1" t="s">
        <v>821</v>
      </c>
      <c r="D538" s="1" t="s">
        <v>822</v>
      </c>
      <c r="E538" s="1" t="s">
        <v>47</v>
      </c>
      <c r="F538" s="1" t="s">
        <v>823</v>
      </c>
      <c r="G538" s="1" t="s">
        <v>456</v>
      </c>
      <c r="H538" s="2" t="s">
        <v>824</v>
      </c>
      <c r="I538" s="1">
        <v>79</v>
      </c>
      <c r="J538" s="1">
        <v>0.2</v>
      </c>
      <c r="K538" s="1" t="s">
        <v>52</v>
      </c>
      <c r="L538" s="1" t="s">
        <v>52</v>
      </c>
      <c r="M538" s="1">
        <v>3.28</v>
      </c>
      <c r="N538" s="1">
        <v>57</v>
      </c>
      <c r="O538" s="1">
        <v>68.000680000000003</v>
      </c>
      <c r="P538" s="1">
        <v>-168.95084</v>
      </c>
      <c r="Q538" s="1">
        <v>3.222</v>
      </c>
      <c r="R538" s="1">
        <v>32.610500000000002</v>
      </c>
      <c r="S538" s="1">
        <v>353.20299999999997</v>
      </c>
      <c r="T538" s="1">
        <v>304.83999999999997</v>
      </c>
      <c r="U538" s="1">
        <v>63.22</v>
      </c>
      <c r="V538" s="1">
        <v>2640</v>
      </c>
      <c r="W538" s="3">
        <v>0.29320000000000002</v>
      </c>
      <c r="X538" s="1" t="s">
        <v>825</v>
      </c>
      <c r="Y538" s="1">
        <v>0.63</v>
      </c>
      <c r="Z538" s="1">
        <v>0.11</v>
      </c>
      <c r="AA538" s="1">
        <v>0.60799999999999998</v>
      </c>
      <c r="AB538" s="1">
        <v>1.2</v>
      </c>
      <c r="AC538" s="1">
        <v>0.3</v>
      </c>
      <c r="AD538" s="1">
        <v>0.01</v>
      </c>
      <c r="AE538" s="1">
        <v>0.17</v>
      </c>
      <c r="AF538" s="1">
        <v>0.31</v>
      </c>
      <c r="AH538" s="1" t="s">
        <v>826</v>
      </c>
      <c r="AI538" s="1">
        <v>6</v>
      </c>
      <c r="AJ538" s="1" t="s">
        <v>825</v>
      </c>
      <c r="AK538" s="1">
        <v>2</v>
      </c>
      <c r="AL538" s="1">
        <v>84.692099999999996</v>
      </c>
      <c r="AM538" s="1" t="s">
        <v>825</v>
      </c>
      <c r="AN538" s="1">
        <v>4.8218918063903802</v>
      </c>
      <c r="AO538" s="1">
        <v>0.72783272549288802</v>
      </c>
    </row>
    <row r="539" spans="1:45">
      <c r="A539" s="1" t="s">
        <v>827</v>
      </c>
      <c r="B539" s="1">
        <v>131</v>
      </c>
      <c r="C539" s="1" t="s">
        <v>827</v>
      </c>
      <c r="D539" s="1" t="s">
        <v>828</v>
      </c>
      <c r="E539" s="1" t="s">
        <v>47</v>
      </c>
      <c r="F539" s="1" t="s">
        <v>823</v>
      </c>
      <c r="G539" s="1" t="s">
        <v>456</v>
      </c>
      <c r="H539" s="2" t="s">
        <v>824</v>
      </c>
      <c r="I539" s="1">
        <v>79</v>
      </c>
      <c r="J539" s="1">
        <v>0.2</v>
      </c>
      <c r="K539" s="1" t="s">
        <v>512</v>
      </c>
      <c r="L539" s="1" t="s">
        <v>65</v>
      </c>
      <c r="M539" s="1">
        <v>19.95</v>
      </c>
      <c r="N539" s="1">
        <v>57</v>
      </c>
      <c r="O539" s="1">
        <v>68.000680000000003</v>
      </c>
      <c r="P539" s="1">
        <v>-168.95084</v>
      </c>
      <c r="Q539" s="1">
        <v>1.9735</v>
      </c>
      <c r="R539" s="1">
        <v>32.768500000000003</v>
      </c>
      <c r="S539" s="1">
        <v>365.88099999999997</v>
      </c>
      <c r="T539" s="1">
        <v>282.86</v>
      </c>
      <c r="U539" s="1">
        <v>73.819999999999993</v>
      </c>
      <c r="V539" s="1">
        <v>4440</v>
      </c>
      <c r="W539" s="3">
        <v>1.7177</v>
      </c>
      <c r="X539" s="1" t="s">
        <v>829</v>
      </c>
      <c r="Y539" s="1">
        <v>4.43</v>
      </c>
      <c r="Z539" s="1">
        <v>0.28000000000000003</v>
      </c>
      <c r="AA539" s="1">
        <v>1.0680000000000001</v>
      </c>
      <c r="AB539" s="1">
        <v>6.3</v>
      </c>
      <c r="AC539" s="1">
        <v>4.5</v>
      </c>
      <c r="AD539" s="1">
        <v>0.09</v>
      </c>
      <c r="AE539" s="1">
        <v>2.23</v>
      </c>
      <c r="AF539" s="1">
        <v>4.59</v>
      </c>
      <c r="AH539" s="1" t="s">
        <v>830</v>
      </c>
      <c r="AI539" s="1">
        <v>4</v>
      </c>
      <c r="AJ539" s="1" t="s">
        <v>829</v>
      </c>
      <c r="AK539" s="1">
        <v>2</v>
      </c>
      <c r="AL539" s="1">
        <v>86.279200000000003</v>
      </c>
      <c r="AM539" s="1" t="s">
        <v>829</v>
      </c>
      <c r="AN539" s="1">
        <v>3.83175291248984</v>
      </c>
      <c r="AO539" s="1">
        <v>0.578377798111674</v>
      </c>
    </row>
    <row r="540" spans="1:45">
      <c r="A540" s="1" t="s">
        <v>831</v>
      </c>
      <c r="B540" s="1">
        <v>132</v>
      </c>
      <c r="C540" s="1" t="s">
        <v>831</v>
      </c>
      <c r="D540" s="1" t="s">
        <v>832</v>
      </c>
      <c r="E540" s="1" t="s">
        <v>47</v>
      </c>
      <c r="F540" s="1" t="s">
        <v>823</v>
      </c>
      <c r="G540" s="1" t="s">
        <v>456</v>
      </c>
      <c r="H540" s="2" t="s">
        <v>824</v>
      </c>
      <c r="I540" s="1">
        <v>79</v>
      </c>
      <c r="J540" s="1">
        <v>0.2</v>
      </c>
      <c r="K540" s="1" t="s">
        <v>833</v>
      </c>
      <c r="L540" s="1" t="s">
        <v>65</v>
      </c>
      <c r="M540" s="1">
        <v>29.85</v>
      </c>
      <c r="N540" s="1">
        <v>57</v>
      </c>
      <c r="O540" s="1">
        <v>68.000680000000003</v>
      </c>
      <c r="P540" s="1">
        <v>-168.95081999999999</v>
      </c>
      <c r="Q540" s="1">
        <v>1.7295</v>
      </c>
      <c r="R540" s="1">
        <v>32.807000000000002</v>
      </c>
      <c r="S540" s="1">
        <v>323.49299999999999</v>
      </c>
      <c r="W540" s="3">
        <v>3.2936000000000001</v>
      </c>
      <c r="X540" s="1" t="s">
        <v>834</v>
      </c>
      <c r="Y540" s="1">
        <v>3.09</v>
      </c>
      <c r="Z540" s="1">
        <v>2.08</v>
      </c>
      <c r="AA540" s="1">
        <v>1.2889999999999999</v>
      </c>
      <c r="AB540" s="1">
        <v>10.5</v>
      </c>
      <c r="AC540" s="1">
        <v>7</v>
      </c>
      <c r="AD540" s="1">
        <v>0.13</v>
      </c>
      <c r="AE540" s="1">
        <v>3.42</v>
      </c>
      <c r="AF540" s="1">
        <v>7.13</v>
      </c>
      <c r="AH540" s="1" t="s">
        <v>835</v>
      </c>
      <c r="AI540" s="1">
        <v>3</v>
      </c>
      <c r="AJ540" s="1" t="s">
        <v>834</v>
      </c>
      <c r="AK540" s="1">
        <v>2</v>
      </c>
      <c r="AL540" s="1">
        <v>78.989000000000004</v>
      </c>
      <c r="AM540" s="1" t="s">
        <v>834</v>
      </c>
    </row>
    <row r="541" spans="1:45">
      <c r="A541" s="1" t="s">
        <v>836</v>
      </c>
      <c r="B541" s="1">
        <v>133</v>
      </c>
      <c r="C541" s="1" t="s">
        <v>836</v>
      </c>
      <c r="D541" s="1" t="s">
        <v>837</v>
      </c>
      <c r="E541" s="1" t="s">
        <v>47</v>
      </c>
      <c r="F541" s="1" t="s">
        <v>823</v>
      </c>
      <c r="G541" s="1" t="s">
        <v>456</v>
      </c>
      <c r="H541" s="2" t="s">
        <v>824</v>
      </c>
      <c r="I541" s="1">
        <v>79</v>
      </c>
      <c r="J541" s="1">
        <v>0.2</v>
      </c>
      <c r="K541" s="1" t="s">
        <v>150</v>
      </c>
      <c r="L541" s="1" t="s">
        <v>78</v>
      </c>
      <c r="M541" s="1">
        <v>53.97</v>
      </c>
      <c r="N541" s="1">
        <v>57</v>
      </c>
      <c r="O541" s="1">
        <v>68.000680000000003</v>
      </c>
      <c r="P541" s="1">
        <v>-168.95081999999999</v>
      </c>
      <c r="Q541" s="1">
        <v>1.9735</v>
      </c>
      <c r="R541" s="1">
        <v>32.836500000000001</v>
      </c>
      <c r="S541" s="1">
        <v>293.005</v>
      </c>
      <c r="T541" s="1">
        <v>368.74</v>
      </c>
      <c r="U541" s="1">
        <v>56.2</v>
      </c>
      <c r="V541" s="1">
        <v>11260</v>
      </c>
      <c r="W541" s="3">
        <v>1.3733</v>
      </c>
      <c r="X541" s="1" t="s">
        <v>838</v>
      </c>
      <c r="Y541" s="1">
        <v>2.13</v>
      </c>
      <c r="Z541" s="1">
        <v>4.76</v>
      </c>
      <c r="AA541" s="1">
        <v>1.4059999999999999</v>
      </c>
      <c r="AB541" s="1">
        <v>12.4</v>
      </c>
      <c r="AC541" s="1">
        <v>6.9</v>
      </c>
      <c r="AD541" s="1">
        <v>0.12</v>
      </c>
      <c r="AE541" s="1">
        <v>3.98</v>
      </c>
      <c r="AF541" s="1">
        <v>7.02</v>
      </c>
      <c r="AH541" s="1" t="s">
        <v>839</v>
      </c>
      <c r="AI541" s="1">
        <v>1</v>
      </c>
      <c r="AJ541" s="1" t="s">
        <v>838</v>
      </c>
      <c r="AK541" s="1">
        <v>2</v>
      </c>
      <c r="AL541" s="1">
        <v>29.411999999999999</v>
      </c>
      <c r="AM541" s="1" t="s">
        <v>838</v>
      </c>
      <c r="AN541" s="1">
        <v>6.5612099644128099</v>
      </c>
      <c r="AO541" s="1">
        <v>0.990371315383066</v>
      </c>
    </row>
    <row r="542" spans="1:45">
      <c r="A542" s="1" t="s">
        <v>840</v>
      </c>
      <c r="B542" s="1">
        <v>202</v>
      </c>
      <c r="C542" s="1" t="s">
        <v>840</v>
      </c>
      <c r="D542" s="1" t="s">
        <v>841</v>
      </c>
      <c r="E542" s="1" t="s">
        <v>47</v>
      </c>
      <c r="F542" s="1" t="s">
        <v>842</v>
      </c>
      <c r="G542" s="1" t="s">
        <v>456</v>
      </c>
      <c r="H542" s="2" t="s">
        <v>843</v>
      </c>
      <c r="I542" s="1">
        <v>109</v>
      </c>
      <c r="J542" s="1">
        <v>0.2</v>
      </c>
      <c r="K542" s="1" t="s">
        <v>52</v>
      </c>
      <c r="L542" s="1" t="s">
        <v>52</v>
      </c>
      <c r="M542" s="1">
        <v>3.79</v>
      </c>
      <c r="N542" s="1">
        <v>15</v>
      </c>
      <c r="O542" s="1">
        <v>66.499840000000006</v>
      </c>
      <c r="P542" s="1">
        <v>-165.59976</v>
      </c>
      <c r="Q542" s="1">
        <v>5.33</v>
      </c>
      <c r="R542" s="1">
        <v>30.715</v>
      </c>
      <c r="S542" s="1">
        <v>309.62700000000001</v>
      </c>
      <c r="T542" s="1">
        <v>275.42</v>
      </c>
      <c r="U542" s="1">
        <v>46.16</v>
      </c>
      <c r="V542" s="1">
        <v>4600.00000000001</v>
      </c>
      <c r="W542" s="3">
        <v>0.94810000000000005</v>
      </c>
      <c r="X542" s="1" t="s">
        <v>844</v>
      </c>
      <c r="AA542" s="1">
        <v>0.68799999999999994</v>
      </c>
      <c r="AB542" s="1">
        <v>5.2</v>
      </c>
      <c r="AC542" s="1">
        <v>0</v>
      </c>
      <c r="AD542" s="1">
        <v>0.01</v>
      </c>
      <c r="AE542" s="1">
        <v>0.2</v>
      </c>
      <c r="AF542" s="1">
        <v>0.01</v>
      </c>
      <c r="AH542" s="1" t="s">
        <v>845</v>
      </c>
      <c r="AI542" s="1">
        <v>2</v>
      </c>
      <c r="AJ542" s="1" t="s">
        <v>844</v>
      </c>
      <c r="AK542" s="1">
        <v>2</v>
      </c>
      <c r="AL542" s="1">
        <v>74.205200000000005</v>
      </c>
      <c r="AM542" s="1" t="s">
        <v>844</v>
      </c>
      <c r="AN542" s="1">
        <v>5.9666377816291201</v>
      </c>
      <c r="AO542" s="1">
        <v>0.90062457081194203</v>
      </c>
    </row>
    <row r="543" spans="1:45">
      <c r="A543" s="1" t="s">
        <v>846</v>
      </c>
      <c r="B543" s="1">
        <v>203</v>
      </c>
      <c r="C543" s="1" t="s">
        <v>846</v>
      </c>
      <c r="D543" s="1" t="s">
        <v>847</v>
      </c>
      <c r="E543" s="1" t="s">
        <v>47</v>
      </c>
      <c r="F543" s="1" t="s">
        <v>842</v>
      </c>
      <c r="G543" s="1" t="s">
        <v>456</v>
      </c>
      <c r="H543" s="2" t="s">
        <v>843</v>
      </c>
      <c r="I543" s="1">
        <v>109</v>
      </c>
      <c r="J543" s="1">
        <v>0.2</v>
      </c>
      <c r="K543" s="1" t="s">
        <v>150</v>
      </c>
      <c r="L543" s="1" t="s">
        <v>78</v>
      </c>
      <c r="M543" s="1">
        <v>12</v>
      </c>
      <c r="N543" s="1">
        <v>15</v>
      </c>
      <c r="O543" s="1">
        <v>66.499840000000006</v>
      </c>
      <c r="P543" s="1">
        <v>-165.59974</v>
      </c>
      <c r="Q543" s="1">
        <v>5.3395000000000001</v>
      </c>
      <c r="R543" s="1">
        <v>30.7075</v>
      </c>
      <c r="S543" s="1">
        <v>309.21600000000001</v>
      </c>
      <c r="T543" s="1">
        <v>241.88</v>
      </c>
      <c r="U543" s="1">
        <v>39.96</v>
      </c>
      <c r="V543" s="1">
        <v>3760</v>
      </c>
      <c r="W543" s="3">
        <v>1.0988</v>
      </c>
      <c r="X543" s="1" t="s">
        <v>848</v>
      </c>
      <c r="AA543" s="1">
        <v>0.68899999999999995</v>
      </c>
      <c r="AB543" s="1">
        <v>4.8</v>
      </c>
      <c r="AC543" s="1">
        <v>0</v>
      </c>
      <c r="AD543" s="1">
        <v>0</v>
      </c>
      <c r="AE543" s="1">
        <v>0.2</v>
      </c>
      <c r="AF543" s="1">
        <v>0</v>
      </c>
      <c r="AH543" s="1" t="s">
        <v>849</v>
      </c>
      <c r="AI543" s="1">
        <v>1</v>
      </c>
      <c r="AJ543" s="1" t="s">
        <v>848</v>
      </c>
      <c r="AK543" s="1">
        <v>2</v>
      </c>
      <c r="AL543" s="1">
        <v>75.053700000000006</v>
      </c>
      <c r="AM543" s="1" t="s">
        <v>848</v>
      </c>
      <c r="AN543" s="1">
        <v>6.0530530530530502</v>
      </c>
      <c r="AO543" s="1">
        <v>0.91366838536649797</v>
      </c>
    </row>
    <row r="544" spans="1:45">
      <c r="A544" s="1" t="s">
        <v>850</v>
      </c>
      <c r="B544" s="1">
        <v>200</v>
      </c>
      <c r="C544" s="1" t="s">
        <v>850</v>
      </c>
      <c r="D544" s="1" t="s">
        <v>851</v>
      </c>
      <c r="E544" s="1" t="s">
        <v>47</v>
      </c>
      <c r="F544" s="1" t="s">
        <v>852</v>
      </c>
      <c r="G544" s="1" t="s">
        <v>456</v>
      </c>
      <c r="H544" s="2" t="s">
        <v>853</v>
      </c>
      <c r="I544" s="1">
        <v>108</v>
      </c>
      <c r="J544" s="1">
        <v>0.2</v>
      </c>
      <c r="K544" s="1" t="s">
        <v>52</v>
      </c>
      <c r="L544" s="1" t="s">
        <v>52</v>
      </c>
      <c r="M544" s="1">
        <v>3.73</v>
      </c>
      <c r="N544" s="1">
        <v>18</v>
      </c>
      <c r="O544" s="1">
        <v>66.500519999999995</v>
      </c>
      <c r="P544" s="1">
        <v>-166.01818</v>
      </c>
      <c r="Q544" s="1">
        <v>5.4089999999999998</v>
      </c>
      <c r="R544" s="1">
        <v>30.532</v>
      </c>
      <c r="S544" s="1">
        <v>309.27800000000002</v>
      </c>
      <c r="T544" s="1">
        <v>193.2</v>
      </c>
      <c r="U544" s="1">
        <v>30.38</v>
      </c>
      <c r="V544" s="1">
        <v>2800</v>
      </c>
      <c r="W544" s="3">
        <v>0.8901</v>
      </c>
      <c r="X544" s="1" t="s">
        <v>854</v>
      </c>
      <c r="Y544" s="1">
        <v>0.77</v>
      </c>
      <c r="Z544" s="1">
        <v>0.44</v>
      </c>
      <c r="AA544" s="1">
        <v>0.68899999999999995</v>
      </c>
      <c r="AB544" s="1">
        <v>4.4000000000000004</v>
      </c>
      <c r="AC544" s="1">
        <v>0.2</v>
      </c>
      <c r="AD544" s="1">
        <v>0</v>
      </c>
      <c r="AE544" s="1">
        <v>0.26</v>
      </c>
      <c r="AF544" s="1">
        <v>0.2</v>
      </c>
      <c r="AH544" s="1" t="s">
        <v>855</v>
      </c>
      <c r="AI544" s="1">
        <v>2</v>
      </c>
      <c r="AJ544" s="1" t="s">
        <v>854</v>
      </c>
      <c r="AK544" s="1">
        <v>2</v>
      </c>
      <c r="AL544" s="1">
        <v>82.966300000000004</v>
      </c>
      <c r="AM544" s="1" t="s">
        <v>854</v>
      </c>
      <c r="AN544" s="1">
        <v>6.35944700460829</v>
      </c>
      <c r="AO544" s="1">
        <v>0.95991652899747903</v>
      </c>
    </row>
    <row r="545" spans="1:45">
      <c r="A545" s="1" t="s">
        <v>856</v>
      </c>
      <c r="B545" s="1">
        <v>201</v>
      </c>
      <c r="C545" s="1" t="s">
        <v>856</v>
      </c>
      <c r="D545" s="1" t="s">
        <v>857</v>
      </c>
      <c r="E545" s="1" t="s">
        <v>47</v>
      </c>
      <c r="F545" s="1" t="s">
        <v>852</v>
      </c>
      <c r="G545" s="1" t="s">
        <v>456</v>
      </c>
      <c r="H545" s="2" t="s">
        <v>853</v>
      </c>
      <c r="I545" s="1">
        <v>108</v>
      </c>
      <c r="J545" s="1">
        <v>0.2</v>
      </c>
      <c r="K545" s="1" t="s">
        <v>150</v>
      </c>
      <c r="L545" s="1" t="s">
        <v>78</v>
      </c>
      <c r="M545" s="1">
        <v>12.84</v>
      </c>
      <c r="N545" s="1">
        <v>18</v>
      </c>
      <c r="O545" s="1">
        <v>66.500540000000001</v>
      </c>
      <c r="P545" s="1">
        <v>-166.01818</v>
      </c>
      <c r="Q545" s="1">
        <v>5.3819999999999997</v>
      </c>
      <c r="R545" s="1">
        <v>30.555</v>
      </c>
      <c r="S545" s="1">
        <v>309.46300000000002</v>
      </c>
      <c r="T545" s="1">
        <v>551.28</v>
      </c>
      <c r="U545" s="1">
        <v>82.02</v>
      </c>
      <c r="V545" s="1">
        <v>2920.00000000001</v>
      </c>
      <c r="W545" s="3">
        <v>0.89549999999999996</v>
      </c>
      <c r="X545" s="1" t="s">
        <v>858</v>
      </c>
      <c r="Y545" s="1">
        <v>1.03</v>
      </c>
      <c r="Z545" s="1">
        <v>0.61</v>
      </c>
      <c r="AA545" s="1">
        <v>0.70599999999999996</v>
      </c>
      <c r="AB545" s="1">
        <v>4.4000000000000004</v>
      </c>
      <c r="AC545" s="1">
        <v>0</v>
      </c>
      <c r="AD545" s="1">
        <v>0</v>
      </c>
      <c r="AE545" s="1">
        <v>0.24</v>
      </c>
      <c r="AF545" s="1">
        <v>0</v>
      </c>
      <c r="AH545" s="1" t="s">
        <v>859</v>
      </c>
      <c r="AI545" s="1">
        <v>1</v>
      </c>
      <c r="AJ545" s="1" t="s">
        <v>858</v>
      </c>
      <c r="AK545" s="1">
        <v>2</v>
      </c>
      <c r="AL545" s="1">
        <v>83.099100000000007</v>
      </c>
      <c r="AM545" s="1" t="s">
        <v>858</v>
      </c>
      <c r="AN545" s="1">
        <v>6.7212874908558904</v>
      </c>
      <c r="AO545" s="1">
        <v>1.0145339608839099</v>
      </c>
    </row>
    <row r="546" spans="1:45">
      <c r="A546" s="1" t="s">
        <v>860</v>
      </c>
      <c r="B546" s="1">
        <v>198</v>
      </c>
      <c r="C546" s="1" t="s">
        <v>860</v>
      </c>
      <c r="D546" s="1" t="s">
        <v>861</v>
      </c>
      <c r="E546" s="1" t="s">
        <v>47</v>
      </c>
      <c r="F546" s="1" t="s">
        <v>862</v>
      </c>
      <c r="G546" s="1" t="s">
        <v>456</v>
      </c>
      <c r="H546" s="2" t="s">
        <v>863</v>
      </c>
      <c r="I546" s="1">
        <v>107</v>
      </c>
      <c r="J546" s="1">
        <v>0.2</v>
      </c>
      <c r="K546" s="1" t="s">
        <v>52</v>
      </c>
      <c r="L546" s="1" t="s">
        <v>52</v>
      </c>
      <c r="M546" s="1">
        <v>4.5599999999999996</v>
      </c>
      <c r="N546" s="1">
        <v>16</v>
      </c>
      <c r="O546" s="1">
        <v>66.500479999999996</v>
      </c>
      <c r="P546" s="1">
        <v>-166.43824000000001</v>
      </c>
      <c r="Q546" s="1">
        <v>5.6440000000000001</v>
      </c>
      <c r="R546" s="1">
        <v>30.413</v>
      </c>
      <c r="S546" s="1">
        <v>305.25900000000001</v>
      </c>
      <c r="T546" s="1">
        <v>287.22000000000003</v>
      </c>
      <c r="U546" s="1">
        <v>51.52</v>
      </c>
      <c r="V546" s="1">
        <v>4580</v>
      </c>
      <c r="W546" s="3">
        <v>1.0743</v>
      </c>
      <c r="X546" s="1" t="s">
        <v>864</v>
      </c>
      <c r="Y546" s="1">
        <v>1.28</v>
      </c>
      <c r="Z546" s="1">
        <v>3.64</v>
      </c>
      <c r="AA546" s="1">
        <v>0.71399999999999997</v>
      </c>
      <c r="AB546" s="1">
        <v>4.7</v>
      </c>
      <c r="AC546" s="1">
        <v>0.1</v>
      </c>
      <c r="AD546" s="1">
        <v>0</v>
      </c>
      <c r="AE546" s="1">
        <v>0.24</v>
      </c>
      <c r="AF546" s="1">
        <v>0.1</v>
      </c>
      <c r="AH546" s="1" t="s">
        <v>865</v>
      </c>
      <c r="AI546" s="1">
        <v>2</v>
      </c>
      <c r="AJ546" s="1" t="s">
        <v>864</v>
      </c>
      <c r="AK546" s="1">
        <v>2</v>
      </c>
      <c r="AL546" s="1">
        <v>74.595100000000002</v>
      </c>
      <c r="AM546" s="1" t="s">
        <v>864</v>
      </c>
      <c r="AN546" s="1">
        <v>5.5749223602484497</v>
      </c>
      <c r="AO546" s="1">
        <v>0.84149771475448298</v>
      </c>
    </row>
    <row r="547" spans="1:45">
      <c r="A547" s="1" t="s">
        <v>866</v>
      </c>
      <c r="B547" s="1">
        <v>199</v>
      </c>
      <c r="C547" s="1" t="s">
        <v>866</v>
      </c>
      <c r="D547" s="1" t="s">
        <v>867</v>
      </c>
      <c r="E547" s="1" t="s">
        <v>47</v>
      </c>
      <c r="F547" s="1" t="s">
        <v>862</v>
      </c>
      <c r="G547" s="1" t="s">
        <v>456</v>
      </c>
      <c r="H547" s="2" t="s">
        <v>863</v>
      </c>
      <c r="I547" s="1">
        <v>107</v>
      </c>
      <c r="J547" s="1">
        <v>0.2</v>
      </c>
      <c r="K547" s="1" t="s">
        <v>150</v>
      </c>
      <c r="L547" s="1" t="s">
        <v>78</v>
      </c>
      <c r="M547" s="1">
        <v>11.93</v>
      </c>
      <c r="N547" s="1">
        <v>16</v>
      </c>
      <c r="O547" s="1">
        <v>66.500479999999996</v>
      </c>
      <c r="P547" s="1">
        <v>-166.43823</v>
      </c>
      <c r="Q547" s="1">
        <v>5.6559999999999997</v>
      </c>
      <c r="R547" s="1">
        <v>30.411000000000001</v>
      </c>
      <c r="S547" s="1">
        <v>305.73500000000001</v>
      </c>
      <c r="T547" s="1">
        <v>344.16</v>
      </c>
      <c r="U547" s="1">
        <v>65.599999999999994</v>
      </c>
      <c r="V547" s="1">
        <v>4279.99999999999</v>
      </c>
      <c r="W547" s="3">
        <v>1.1664000000000001</v>
      </c>
      <c r="X547" s="1" t="s">
        <v>868</v>
      </c>
      <c r="Y547" s="1">
        <v>1.0900000000000001</v>
      </c>
      <c r="Z547" s="1">
        <v>3.63</v>
      </c>
      <c r="AA547" s="1">
        <v>0.70499999999999996</v>
      </c>
      <c r="AB547" s="1">
        <v>4.7</v>
      </c>
      <c r="AC547" s="1">
        <v>0</v>
      </c>
      <c r="AD547" s="1">
        <v>0</v>
      </c>
      <c r="AE547" s="1">
        <v>0.27</v>
      </c>
      <c r="AF547" s="1">
        <v>0</v>
      </c>
      <c r="AH547" s="1" t="s">
        <v>869</v>
      </c>
      <c r="AI547" s="1">
        <v>1</v>
      </c>
      <c r="AJ547" s="1" t="s">
        <v>868</v>
      </c>
      <c r="AK547" s="1">
        <v>2</v>
      </c>
      <c r="AL547" s="1">
        <v>74.653700000000001</v>
      </c>
      <c r="AM547" s="1" t="s">
        <v>868</v>
      </c>
      <c r="AN547" s="1">
        <v>5.2463414634146401</v>
      </c>
      <c r="AO547" s="1">
        <v>0.79190059825126602</v>
      </c>
    </row>
    <row r="548" spans="1:45">
      <c r="A548" s="1" t="s">
        <v>870</v>
      </c>
      <c r="B548" s="1">
        <v>196</v>
      </c>
      <c r="C548" s="1" t="s">
        <v>870</v>
      </c>
      <c r="D548" s="1" t="s">
        <v>871</v>
      </c>
      <c r="E548" s="1" t="s">
        <v>47</v>
      </c>
      <c r="F548" s="1" t="s">
        <v>872</v>
      </c>
      <c r="G548" s="1" t="s">
        <v>456</v>
      </c>
      <c r="H548" s="2" t="s">
        <v>873</v>
      </c>
      <c r="I548" s="1">
        <v>105</v>
      </c>
      <c r="J548" s="1">
        <v>0.2</v>
      </c>
      <c r="K548" s="1" t="s">
        <v>52</v>
      </c>
      <c r="L548" s="1" t="s">
        <v>52</v>
      </c>
      <c r="M548" s="1">
        <v>3.13</v>
      </c>
      <c r="N548" s="1">
        <v>29</v>
      </c>
      <c r="O548" s="1">
        <v>66.500339999999994</v>
      </c>
      <c r="P548" s="1">
        <v>-167.27892</v>
      </c>
      <c r="Q548" s="1">
        <v>4.266</v>
      </c>
      <c r="R548" s="1">
        <v>31.919499999999999</v>
      </c>
      <c r="S548" s="1">
        <v>329.62200000000001</v>
      </c>
      <c r="T548" s="1">
        <v>255</v>
      </c>
      <c r="U548" s="1">
        <v>41.02</v>
      </c>
      <c r="V548" s="1">
        <v>3620</v>
      </c>
      <c r="W548" s="3">
        <v>0.9577</v>
      </c>
      <c r="X548" s="1" t="s">
        <v>874</v>
      </c>
      <c r="Y548" s="1">
        <v>1.42</v>
      </c>
      <c r="Z548" s="1">
        <v>1.47</v>
      </c>
      <c r="AA548" s="1">
        <v>0.58399999999999996</v>
      </c>
      <c r="AB548" s="1">
        <v>2.2999999999999998</v>
      </c>
      <c r="AC548" s="1">
        <v>0</v>
      </c>
      <c r="AD548" s="1">
        <v>0</v>
      </c>
      <c r="AE548" s="1">
        <v>0.44</v>
      </c>
      <c r="AF548" s="1">
        <v>0</v>
      </c>
      <c r="AH548" s="1" t="s">
        <v>875</v>
      </c>
      <c r="AI548" s="1">
        <v>3</v>
      </c>
      <c r="AJ548" s="1" t="s">
        <v>874</v>
      </c>
      <c r="AK548" s="1">
        <v>2</v>
      </c>
      <c r="AL548" s="1">
        <v>79.997500000000002</v>
      </c>
      <c r="AM548" s="1" t="s">
        <v>874</v>
      </c>
      <c r="AN548" s="1">
        <v>6.2164797659678204</v>
      </c>
      <c r="AO548" s="1">
        <v>0.93833656844797297</v>
      </c>
    </row>
    <row r="549" spans="1:45">
      <c r="A549" s="1" t="s">
        <v>876</v>
      </c>
      <c r="B549" s="1">
        <v>193</v>
      </c>
      <c r="C549" s="1" t="s">
        <v>876</v>
      </c>
      <c r="D549" s="1" t="s">
        <v>877</v>
      </c>
      <c r="E549" s="1" t="s">
        <v>47</v>
      </c>
      <c r="F549" s="1" t="s">
        <v>878</v>
      </c>
      <c r="G549" s="1" t="s">
        <v>456</v>
      </c>
      <c r="H549" s="2" t="s">
        <v>879</v>
      </c>
      <c r="I549" s="1">
        <v>104</v>
      </c>
      <c r="J549" s="1">
        <v>0.2</v>
      </c>
      <c r="K549" s="1" t="s">
        <v>52</v>
      </c>
      <c r="L549" s="1" t="s">
        <v>52</v>
      </c>
      <c r="M549" s="1">
        <v>3.73</v>
      </c>
      <c r="N549" s="1">
        <v>26</v>
      </c>
      <c r="O549" s="1">
        <v>66.500619999999998</v>
      </c>
      <c r="P549" s="1">
        <v>-167.69394</v>
      </c>
      <c r="Q549" s="1">
        <v>3.0470000000000002</v>
      </c>
      <c r="R549" s="1">
        <v>32.195500000000003</v>
      </c>
      <c r="S549" s="1">
        <v>349.43599999999998</v>
      </c>
      <c r="T549" s="1">
        <v>1254.04</v>
      </c>
      <c r="U549" s="1">
        <v>188.52</v>
      </c>
      <c r="V549" s="1">
        <v>3239.99999999999</v>
      </c>
      <c r="W549" s="3">
        <v>1.1855</v>
      </c>
      <c r="X549" s="1" t="s">
        <v>880</v>
      </c>
      <c r="Y549" s="1">
        <v>1.5</v>
      </c>
      <c r="Z549" s="1">
        <v>0.62</v>
      </c>
      <c r="AA549" s="1">
        <v>0.64800000000000002</v>
      </c>
      <c r="AB549" s="1">
        <v>2.1</v>
      </c>
      <c r="AC549" s="1">
        <v>0.1</v>
      </c>
      <c r="AD549" s="1">
        <v>0.02</v>
      </c>
      <c r="AE549" s="1">
        <v>0.89</v>
      </c>
      <c r="AF549" s="1">
        <v>0.12</v>
      </c>
      <c r="AH549" s="1" t="s">
        <v>881</v>
      </c>
      <c r="AI549" s="1">
        <v>24</v>
      </c>
      <c r="AJ549" s="1" t="s">
        <v>882</v>
      </c>
      <c r="AK549" s="1">
        <v>1.5</v>
      </c>
      <c r="AL549" s="1">
        <v>82.021900000000002</v>
      </c>
      <c r="AM549" s="1" t="s">
        <v>880</v>
      </c>
      <c r="AN549" s="1">
        <v>6.6520263102058097</v>
      </c>
      <c r="AO549" s="1">
        <v>1.00407944304993</v>
      </c>
    </row>
    <row r="550" spans="1:45">
      <c r="A550" s="1" t="s">
        <v>883</v>
      </c>
      <c r="B550" s="1">
        <v>194</v>
      </c>
      <c r="C550" s="1" t="s">
        <v>883</v>
      </c>
      <c r="D550" s="1" t="s">
        <v>884</v>
      </c>
      <c r="E550" s="1" t="s">
        <v>47</v>
      </c>
      <c r="F550" s="1" t="s">
        <v>878</v>
      </c>
      <c r="G550" s="1" t="s">
        <v>456</v>
      </c>
      <c r="H550" s="2" t="s">
        <v>879</v>
      </c>
      <c r="I550" s="1">
        <v>104</v>
      </c>
      <c r="J550" s="1">
        <v>0.2</v>
      </c>
      <c r="K550" s="1" t="s">
        <v>65</v>
      </c>
      <c r="L550" s="1" t="s">
        <v>65</v>
      </c>
      <c r="M550" s="1">
        <v>10.87</v>
      </c>
      <c r="N550" s="1">
        <v>26</v>
      </c>
      <c r="O550" s="1">
        <v>66.500640000000004</v>
      </c>
      <c r="P550" s="1">
        <v>-167.69512</v>
      </c>
      <c r="Q550" s="1">
        <v>2.931</v>
      </c>
      <c r="R550" s="1">
        <v>32.195</v>
      </c>
      <c r="S550" s="1">
        <v>348.81400000000002</v>
      </c>
      <c r="W550" s="3">
        <v>1.2656000000000001</v>
      </c>
      <c r="X550" s="1" t="s">
        <v>885</v>
      </c>
      <c r="Y550" s="1">
        <v>2.29</v>
      </c>
      <c r="Z550" s="1">
        <v>0.27</v>
      </c>
      <c r="AA550" s="1">
        <v>0.66100000000000003</v>
      </c>
      <c r="AB550" s="1">
        <v>2.2000000000000002</v>
      </c>
      <c r="AC550" s="1">
        <v>0.2</v>
      </c>
      <c r="AD550" s="1">
        <v>0.02</v>
      </c>
      <c r="AE550" s="1">
        <v>0.85</v>
      </c>
      <c r="AF550" s="1">
        <v>0.22</v>
      </c>
      <c r="AH550" s="1" t="s">
        <v>886</v>
      </c>
      <c r="AI550" s="1">
        <v>11</v>
      </c>
      <c r="AJ550" s="1" t="s">
        <v>885</v>
      </c>
      <c r="AK550" s="1">
        <v>2</v>
      </c>
      <c r="AL550" s="1">
        <v>82.029899999999998</v>
      </c>
      <c r="AM550" s="1" t="s">
        <v>885</v>
      </c>
    </row>
    <row r="551" spans="1:45">
      <c r="A551" s="1" t="s">
        <v>887</v>
      </c>
      <c r="B551" s="1">
        <v>195</v>
      </c>
      <c r="C551" s="1" t="s">
        <v>887</v>
      </c>
      <c r="D551" s="1" t="s">
        <v>888</v>
      </c>
      <c r="E551" s="1" t="s">
        <v>47</v>
      </c>
      <c r="F551" s="1" t="s">
        <v>878</v>
      </c>
      <c r="G551" s="1" t="s">
        <v>456</v>
      </c>
      <c r="H551" s="2" t="s">
        <v>879</v>
      </c>
      <c r="I551" s="1">
        <v>104</v>
      </c>
      <c r="J551" s="1">
        <v>0.2</v>
      </c>
      <c r="K551" s="1" t="s">
        <v>150</v>
      </c>
      <c r="L551" s="1" t="s">
        <v>78</v>
      </c>
      <c r="M551" s="1">
        <v>21.81</v>
      </c>
      <c r="N551" s="1">
        <v>26</v>
      </c>
      <c r="O551" s="1">
        <v>66.500640000000004</v>
      </c>
      <c r="P551" s="1">
        <v>-167.69576000000001</v>
      </c>
      <c r="Q551" s="1">
        <v>2.9384999999999999</v>
      </c>
      <c r="R551" s="1">
        <v>32.195500000000003</v>
      </c>
      <c r="S551" s="1">
        <v>348.43</v>
      </c>
      <c r="T551" s="1">
        <v>163.72</v>
      </c>
      <c r="U551" s="1">
        <v>36.58</v>
      </c>
      <c r="V551" s="1">
        <v>3300</v>
      </c>
      <c r="W551" s="3">
        <v>1.1245000000000001</v>
      </c>
      <c r="X551" s="1" t="s">
        <v>889</v>
      </c>
      <c r="Y551" s="1">
        <v>1.29</v>
      </c>
      <c r="Z551" s="1">
        <v>1.3</v>
      </c>
      <c r="AA551" s="1">
        <v>0.622</v>
      </c>
      <c r="AB551" s="1">
        <v>2.5</v>
      </c>
      <c r="AC551" s="1">
        <v>0.2</v>
      </c>
      <c r="AD551" s="1">
        <v>0.02</v>
      </c>
      <c r="AE551" s="1">
        <v>0.94</v>
      </c>
      <c r="AF551" s="1">
        <v>0.22</v>
      </c>
      <c r="AH551" s="1" t="s">
        <v>890</v>
      </c>
      <c r="AI551" s="1">
        <v>1</v>
      </c>
      <c r="AJ551" s="1" t="s">
        <v>889</v>
      </c>
      <c r="AK551" s="1">
        <v>2</v>
      </c>
      <c r="AL551" s="1">
        <v>81.874099999999999</v>
      </c>
      <c r="AM551" s="1" t="s">
        <v>889</v>
      </c>
      <c r="AN551" s="1">
        <v>4.4756697648988499</v>
      </c>
      <c r="AO551" s="1">
        <v>0.67557279470171305</v>
      </c>
    </row>
    <row r="552" spans="1:45">
      <c r="A552" s="1" t="s">
        <v>891</v>
      </c>
      <c r="B552" s="1">
        <v>190</v>
      </c>
      <c r="C552" s="1" t="s">
        <v>891</v>
      </c>
      <c r="D552" s="1" t="s">
        <v>892</v>
      </c>
      <c r="E552" s="1" t="s">
        <v>47</v>
      </c>
      <c r="F552" s="1" t="s">
        <v>893</v>
      </c>
      <c r="G552" s="1" t="s">
        <v>456</v>
      </c>
      <c r="H552" s="2" t="s">
        <v>894</v>
      </c>
      <c r="I552" s="1">
        <v>103</v>
      </c>
      <c r="J552" s="1">
        <v>0.2</v>
      </c>
      <c r="K552" s="1" t="s">
        <v>52</v>
      </c>
      <c r="L552" s="1" t="s">
        <v>52</v>
      </c>
      <c r="M552" s="1">
        <v>4.57</v>
      </c>
      <c r="N552" s="1">
        <v>28</v>
      </c>
      <c r="O552" s="1">
        <v>66.500399999999999</v>
      </c>
      <c r="P552" s="1">
        <v>-168.11922000000001</v>
      </c>
      <c r="Q552" s="1">
        <v>3.5030000000000001</v>
      </c>
      <c r="R552" s="1">
        <v>32.415500000000002</v>
      </c>
      <c r="S552" s="1">
        <v>343.09899999999999</v>
      </c>
      <c r="T552" s="1">
        <v>307.45999999999998</v>
      </c>
      <c r="U552" s="1">
        <v>56.24</v>
      </c>
      <c r="V552" s="1">
        <v>3840</v>
      </c>
      <c r="W552" s="3">
        <v>1.4336</v>
      </c>
      <c r="X552" s="1" t="s">
        <v>895</v>
      </c>
      <c r="Y552" s="1">
        <v>5.08</v>
      </c>
      <c r="Z552" s="1">
        <v>0.52</v>
      </c>
      <c r="AA552" s="1">
        <v>0.67800000000000005</v>
      </c>
      <c r="AB552" s="1">
        <v>1.9</v>
      </c>
      <c r="AC552" s="1">
        <v>1.2</v>
      </c>
      <c r="AD552" s="1">
        <v>0.04</v>
      </c>
      <c r="AE552" s="1">
        <v>0.96</v>
      </c>
      <c r="AF552" s="1">
        <v>1.24</v>
      </c>
      <c r="AH552" s="1" t="s">
        <v>896</v>
      </c>
      <c r="AI552" s="1">
        <v>4</v>
      </c>
      <c r="AJ552" s="1" t="s">
        <v>895</v>
      </c>
      <c r="AK552" s="1">
        <v>2</v>
      </c>
      <c r="AL552" s="1">
        <v>82.779700000000005</v>
      </c>
      <c r="AM552" s="1" t="s">
        <v>895</v>
      </c>
      <c r="AN552" s="1">
        <v>5.4669274537695598</v>
      </c>
      <c r="AO552" s="1">
        <v>0.82519659679540502</v>
      </c>
    </row>
    <row r="553" spans="1:45">
      <c r="A553" s="1" t="s">
        <v>897</v>
      </c>
      <c r="B553" s="1">
        <v>191</v>
      </c>
      <c r="C553" s="1" t="s">
        <v>897</v>
      </c>
      <c r="D553" s="1" t="s">
        <v>898</v>
      </c>
      <c r="E553" s="1" t="s">
        <v>47</v>
      </c>
      <c r="F553" s="1" t="s">
        <v>893</v>
      </c>
      <c r="G553" s="1" t="s">
        <v>456</v>
      </c>
      <c r="H553" s="2" t="s">
        <v>894</v>
      </c>
      <c r="I553" s="1">
        <v>103</v>
      </c>
      <c r="J553" s="1">
        <v>0.2</v>
      </c>
      <c r="K553" s="1" t="s">
        <v>65</v>
      </c>
      <c r="L553" s="1" t="s">
        <v>78</v>
      </c>
      <c r="M553" s="1">
        <v>19.899999999999999</v>
      </c>
      <c r="N553" s="1">
        <v>28</v>
      </c>
      <c r="O553" s="1">
        <v>66.500420000000005</v>
      </c>
      <c r="P553" s="1">
        <v>-168.11923999999999</v>
      </c>
      <c r="Q553" s="1">
        <v>3.5095000000000001</v>
      </c>
      <c r="R553" s="1">
        <v>32.435000000000002</v>
      </c>
      <c r="S553" s="1">
        <v>342.25299999999999</v>
      </c>
      <c r="W553" s="3">
        <v>3.278</v>
      </c>
      <c r="X553" s="1" t="s">
        <v>899</v>
      </c>
      <c r="Y553" s="1">
        <v>8.0299999999999994</v>
      </c>
      <c r="Z553" s="1">
        <v>0.57999999999999996</v>
      </c>
      <c r="AA553" s="1">
        <v>0.69599999999999995</v>
      </c>
      <c r="AB553" s="1">
        <v>2.1</v>
      </c>
      <c r="AC553" s="1">
        <v>1.6</v>
      </c>
      <c r="AD553" s="1">
        <v>0.04</v>
      </c>
      <c r="AE553" s="1">
        <v>0.91</v>
      </c>
      <c r="AF553" s="1">
        <v>1.64</v>
      </c>
      <c r="AH553" s="1" t="s">
        <v>900</v>
      </c>
      <c r="AI553" s="1">
        <v>2</v>
      </c>
      <c r="AJ553" s="1" t="s">
        <v>899</v>
      </c>
      <c r="AK553" s="1">
        <v>2</v>
      </c>
      <c r="AL553" s="1">
        <v>82.387699999999995</v>
      </c>
      <c r="AM553" s="1" t="s">
        <v>899</v>
      </c>
    </row>
    <row r="554" spans="1:45">
      <c r="A554" s="1" t="s">
        <v>901</v>
      </c>
      <c r="B554" s="1">
        <v>192</v>
      </c>
      <c r="C554" s="1" t="s">
        <v>901</v>
      </c>
      <c r="D554" s="1" t="s">
        <v>902</v>
      </c>
      <c r="E554" s="1" t="s">
        <v>47</v>
      </c>
      <c r="F554" s="1" t="s">
        <v>893</v>
      </c>
      <c r="G554" s="1" t="s">
        <v>456</v>
      </c>
      <c r="H554" s="2" t="s">
        <v>894</v>
      </c>
      <c r="I554" s="1">
        <v>103</v>
      </c>
      <c r="J554" s="1">
        <v>0.2</v>
      </c>
      <c r="K554" s="1" t="s">
        <v>903</v>
      </c>
      <c r="L554" s="1" t="s">
        <v>78</v>
      </c>
      <c r="M554" s="1">
        <v>24.84</v>
      </c>
      <c r="N554" s="1">
        <v>28</v>
      </c>
      <c r="O554" s="1">
        <v>66.500420000000005</v>
      </c>
      <c r="P554" s="1">
        <v>-168.11922000000001</v>
      </c>
      <c r="Q554" s="1">
        <v>3.5430000000000001</v>
      </c>
      <c r="R554" s="1">
        <v>32.456000000000003</v>
      </c>
      <c r="S554" s="1">
        <v>341.30099999999999</v>
      </c>
      <c r="T554" s="1">
        <v>340.72</v>
      </c>
      <c r="U554" s="1">
        <v>65.12</v>
      </c>
      <c r="V554" s="1">
        <v>15660</v>
      </c>
      <c r="W554" s="3">
        <v>3.6034000000000002</v>
      </c>
      <c r="X554" s="1" t="s">
        <v>904</v>
      </c>
      <c r="Y554" s="1">
        <v>6.06</v>
      </c>
      <c r="Z554" s="1">
        <v>1.2</v>
      </c>
      <c r="AA554" s="1">
        <v>0.68</v>
      </c>
      <c r="AB554" s="1">
        <v>2.1</v>
      </c>
      <c r="AC554" s="1">
        <v>1.6</v>
      </c>
      <c r="AD554" s="1">
        <v>0.04</v>
      </c>
      <c r="AE554" s="1">
        <v>0.91</v>
      </c>
      <c r="AF554" s="1">
        <v>1.64</v>
      </c>
      <c r="AH554" s="1" t="s">
        <v>905</v>
      </c>
      <c r="AI554" s="1">
        <v>1</v>
      </c>
      <c r="AJ554" s="1" t="s">
        <v>904</v>
      </c>
      <c r="AK554" s="1">
        <v>2</v>
      </c>
      <c r="AL554" s="1">
        <v>77.086699999999993</v>
      </c>
      <c r="AM554" s="1" t="s">
        <v>904</v>
      </c>
      <c r="AN554" s="1">
        <v>5.2321867321867304</v>
      </c>
      <c r="AO554" s="1">
        <v>0.78976403504705395</v>
      </c>
    </row>
    <row r="555" spans="1:45">
      <c r="A555" s="1" t="s">
        <v>906</v>
      </c>
      <c r="B555" s="1">
        <v>187</v>
      </c>
      <c r="C555" s="1" t="s">
        <v>906</v>
      </c>
      <c r="D555" s="1" t="s">
        <v>907</v>
      </c>
      <c r="E555" s="1" t="s">
        <v>47</v>
      </c>
      <c r="F555" s="1" t="s">
        <v>908</v>
      </c>
      <c r="G555" s="1" t="s">
        <v>456</v>
      </c>
      <c r="H555" s="2" t="s">
        <v>909</v>
      </c>
      <c r="I555" s="1">
        <v>102</v>
      </c>
      <c r="J555" s="1">
        <v>0.2</v>
      </c>
      <c r="K555" s="1" t="s">
        <v>52</v>
      </c>
      <c r="L555" s="1" t="s">
        <v>52</v>
      </c>
      <c r="M555" s="1">
        <v>3.61</v>
      </c>
      <c r="N555" s="1">
        <v>52</v>
      </c>
      <c r="O555" s="1">
        <v>66.501559999999998</v>
      </c>
      <c r="P555" s="1">
        <v>-168.5402</v>
      </c>
      <c r="Q555" s="1">
        <v>3.7050000000000001</v>
      </c>
      <c r="R555" s="1">
        <v>32.511499999999998</v>
      </c>
      <c r="S555" s="1">
        <v>337.79899999999998</v>
      </c>
      <c r="T555" s="1">
        <v>319.16000000000003</v>
      </c>
      <c r="U555" s="1">
        <v>61.1</v>
      </c>
      <c r="V555" s="1">
        <v>3120.00000000001</v>
      </c>
      <c r="W555" s="3">
        <v>4.1810999999999998</v>
      </c>
      <c r="X555" s="1" t="s">
        <v>910</v>
      </c>
      <c r="Y555" s="1">
        <v>12.91</v>
      </c>
      <c r="Z555" s="1">
        <v>7.08</v>
      </c>
      <c r="AA555" s="1">
        <v>0.748</v>
      </c>
      <c r="AB555" s="1">
        <v>3.4</v>
      </c>
      <c r="AC555" s="1">
        <v>0.9</v>
      </c>
      <c r="AD555" s="1">
        <v>0.05</v>
      </c>
      <c r="AE555" s="1">
        <v>0.97</v>
      </c>
      <c r="AF555" s="1">
        <v>0.95</v>
      </c>
      <c r="AH555" s="1" t="s">
        <v>911</v>
      </c>
      <c r="AI555" s="1">
        <v>8</v>
      </c>
      <c r="AJ555" s="1" t="s">
        <v>910</v>
      </c>
      <c r="AK555" s="1">
        <v>2</v>
      </c>
      <c r="AL555" s="1">
        <v>75.6691</v>
      </c>
      <c r="AM555" s="1" t="s">
        <v>910</v>
      </c>
      <c r="AN555" s="1">
        <v>5.2235679214402602</v>
      </c>
      <c r="AO555" s="1">
        <v>0.78846308248154895</v>
      </c>
    </row>
    <row r="556" spans="1:45">
      <c r="A556" s="1" t="s">
        <v>912</v>
      </c>
      <c r="B556" s="1">
        <v>188</v>
      </c>
      <c r="C556" s="1" t="s">
        <v>912</v>
      </c>
      <c r="D556" s="1" t="s">
        <v>913</v>
      </c>
      <c r="E556" s="1" t="s">
        <v>47</v>
      </c>
      <c r="F556" s="1" t="s">
        <v>908</v>
      </c>
      <c r="G556" s="1" t="s">
        <v>456</v>
      </c>
      <c r="H556" s="2" t="s">
        <v>909</v>
      </c>
      <c r="I556" s="1">
        <v>102</v>
      </c>
      <c r="J556" s="1">
        <v>0.2</v>
      </c>
      <c r="K556" s="1" t="s">
        <v>65</v>
      </c>
      <c r="L556" s="1" t="s">
        <v>65</v>
      </c>
      <c r="M556" s="1">
        <v>30.32</v>
      </c>
      <c r="N556" s="1">
        <v>52</v>
      </c>
      <c r="O556" s="1">
        <v>66.501239999999996</v>
      </c>
      <c r="P556" s="1">
        <v>-168.54017999999999</v>
      </c>
      <c r="Q556" s="1">
        <v>3.7360000000000002</v>
      </c>
      <c r="R556" s="1">
        <v>32.551499999999997</v>
      </c>
      <c r="S556" s="1">
        <v>333.50200000000001</v>
      </c>
      <c r="W556" s="3">
        <v>4.7892999999999999</v>
      </c>
      <c r="X556" s="1" t="s">
        <v>914</v>
      </c>
      <c r="Y556" s="1">
        <v>10.58</v>
      </c>
      <c r="Z556" s="1">
        <v>6.21</v>
      </c>
      <c r="AA556" s="1">
        <v>0.79</v>
      </c>
      <c r="AB556" s="1">
        <v>4.5</v>
      </c>
      <c r="AC556" s="1">
        <v>3.2</v>
      </c>
      <c r="AD556" s="1">
        <v>0.06</v>
      </c>
      <c r="AE556" s="1">
        <v>1.0900000000000001</v>
      </c>
      <c r="AF556" s="1">
        <v>3.26</v>
      </c>
      <c r="AH556" s="1" t="s">
        <v>915</v>
      </c>
      <c r="AI556" s="1">
        <v>4</v>
      </c>
      <c r="AJ556" s="1" t="s">
        <v>914</v>
      </c>
      <c r="AK556" s="1">
        <v>2</v>
      </c>
      <c r="AL556" s="1">
        <v>75.159300000000002</v>
      </c>
      <c r="AM556" s="1" t="s">
        <v>914</v>
      </c>
    </row>
    <row r="557" spans="1:45">
      <c r="A557" s="1" t="s">
        <v>916</v>
      </c>
      <c r="B557" s="1">
        <v>189</v>
      </c>
      <c r="C557" s="1" t="s">
        <v>916</v>
      </c>
      <c r="D557" s="1" t="s">
        <v>917</v>
      </c>
      <c r="E557" s="1" t="s">
        <v>47</v>
      </c>
      <c r="F557" s="1" t="s">
        <v>908</v>
      </c>
      <c r="G557" s="1" t="s">
        <v>456</v>
      </c>
      <c r="H557" s="2" t="s">
        <v>909</v>
      </c>
      <c r="I557" s="1">
        <v>102</v>
      </c>
      <c r="J557" s="1">
        <v>0.2</v>
      </c>
      <c r="K557" s="1" t="s">
        <v>918</v>
      </c>
      <c r="L557" s="1" t="s">
        <v>65</v>
      </c>
      <c r="M557" s="1">
        <v>40.11</v>
      </c>
      <c r="N557" s="1">
        <v>52</v>
      </c>
      <c r="O557" s="1">
        <v>66.501080000000002</v>
      </c>
      <c r="P557" s="1">
        <v>-168.5402</v>
      </c>
      <c r="Q557" s="1">
        <v>3.94</v>
      </c>
      <c r="R557" s="1">
        <v>32.618499999999997</v>
      </c>
      <c r="S557" s="1">
        <v>327.75</v>
      </c>
      <c r="W557" s="3">
        <v>6.2270000000000003</v>
      </c>
      <c r="X557" s="1" t="s">
        <v>919</v>
      </c>
      <c r="Y557" s="1">
        <v>12.24</v>
      </c>
      <c r="Z557" s="1">
        <v>2.44</v>
      </c>
      <c r="AA557" s="1">
        <v>0.86499999999999999</v>
      </c>
      <c r="AB557" s="1">
        <v>6.1</v>
      </c>
      <c r="AC557" s="1">
        <v>4.7</v>
      </c>
      <c r="AD557" s="1">
        <v>7.0000000000000007E-2</v>
      </c>
      <c r="AE557" s="1">
        <v>1.1599999999999999</v>
      </c>
      <c r="AF557" s="1">
        <v>4.7699999999999996</v>
      </c>
      <c r="AH557" s="1" t="s">
        <v>920</v>
      </c>
      <c r="AI557" s="1">
        <v>3</v>
      </c>
      <c r="AJ557" s="1" t="s">
        <v>919</v>
      </c>
      <c r="AK557" s="1">
        <v>2</v>
      </c>
      <c r="AL557" s="1">
        <v>67.754900000000006</v>
      </c>
      <c r="AM557" s="1" t="s">
        <v>919</v>
      </c>
    </row>
    <row r="558" spans="1:45">
      <c r="A558" s="1" t="s">
        <v>921</v>
      </c>
      <c r="B558" s="1">
        <v>239</v>
      </c>
      <c r="C558" s="1" t="s">
        <v>921</v>
      </c>
      <c r="D558" s="1" t="s">
        <v>922</v>
      </c>
      <c r="E558" s="1" t="s">
        <v>47</v>
      </c>
      <c r="F558" s="1" t="s">
        <v>923</v>
      </c>
      <c r="G558" s="1" t="s">
        <v>456</v>
      </c>
      <c r="H558" s="2" t="s">
        <v>924</v>
      </c>
      <c r="I558" s="1">
        <v>141</v>
      </c>
      <c r="J558" s="1">
        <v>0.2</v>
      </c>
      <c r="K558" s="1" t="s">
        <v>52</v>
      </c>
      <c r="L558" s="1" t="s">
        <v>65</v>
      </c>
      <c r="M558" s="1">
        <v>13.17</v>
      </c>
      <c r="N558" s="1">
        <v>54</v>
      </c>
      <c r="O558" s="1">
        <v>63.603900000000003</v>
      </c>
      <c r="P558" s="1">
        <v>-172.59227999999999</v>
      </c>
      <c r="Q558" s="1">
        <v>6.4264999999999999</v>
      </c>
      <c r="R558" s="1">
        <v>31.9115</v>
      </c>
      <c r="S558" s="1">
        <v>307.18599999999998</v>
      </c>
      <c r="T558" s="1">
        <v>167.52</v>
      </c>
      <c r="U558" s="1">
        <v>25.32</v>
      </c>
      <c r="V558" s="1">
        <v>4219.99999999999</v>
      </c>
      <c r="W558" s="3">
        <v>0.42599999999999999</v>
      </c>
      <c r="X558" s="1" t="s">
        <v>925</v>
      </c>
      <c r="Y558" s="1">
        <v>0.52</v>
      </c>
      <c r="Z558" s="1">
        <v>0.25</v>
      </c>
      <c r="AA558" s="1">
        <v>0.183</v>
      </c>
      <c r="AB558" s="1">
        <v>2</v>
      </c>
      <c r="AC558" s="1">
        <v>0</v>
      </c>
      <c r="AD558" s="1">
        <v>0</v>
      </c>
      <c r="AE558" s="1">
        <v>0.04</v>
      </c>
      <c r="AF558" s="1">
        <v>0</v>
      </c>
      <c r="AH558" s="1" t="s">
        <v>926</v>
      </c>
      <c r="AI558" s="1">
        <v>14</v>
      </c>
      <c r="AJ558" s="1" t="s">
        <v>927</v>
      </c>
      <c r="AK558" s="1">
        <v>1.7</v>
      </c>
      <c r="AL558" s="1">
        <v>92.6554</v>
      </c>
      <c r="AM558" s="1" t="s">
        <v>925</v>
      </c>
      <c r="AN558" s="1">
        <v>6.6161137440758298</v>
      </c>
      <c r="AO558" s="1">
        <v>0.99865867835106903</v>
      </c>
      <c r="AS558" s="1" t="s">
        <v>928</v>
      </c>
    </row>
    <row r="559" spans="1:45">
      <c r="A559" s="1" t="s">
        <v>929</v>
      </c>
      <c r="B559" s="1">
        <v>240</v>
      </c>
      <c r="C559" s="1" t="s">
        <v>929</v>
      </c>
      <c r="D559" s="1" t="s">
        <v>930</v>
      </c>
      <c r="E559" s="1" t="s">
        <v>47</v>
      </c>
      <c r="F559" s="1" t="s">
        <v>923</v>
      </c>
      <c r="G559" s="1" t="s">
        <v>456</v>
      </c>
      <c r="H559" s="2" t="s">
        <v>924</v>
      </c>
      <c r="I559" s="1">
        <v>141</v>
      </c>
      <c r="J559" s="1">
        <v>0.2</v>
      </c>
      <c r="K559" s="1" t="s">
        <v>486</v>
      </c>
      <c r="L559" s="1" t="s">
        <v>65</v>
      </c>
      <c r="M559" s="1">
        <v>19.82</v>
      </c>
      <c r="N559" s="1">
        <v>54</v>
      </c>
      <c r="O559" s="1">
        <v>63.604019999999998</v>
      </c>
      <c r="P559" s="1">
        <v>-172.59201999999999</v>
      </c>
      <c r="Q559" s="1">
        <v>6.2645</v>
      </c>
      <c r="R559" s="1">
        <v>31.948499999999999</v>
      </c>
      <c r="S559" s="1">
        <v>312.73399999999998</v>
      </c>
      <c r="W559" s="3">
        <v>1.0694999999999999</v>
      </c>
      <c r="X559" s="1" t="s">
        <v>931</v>
      </c>
      <c r="AA559" s="1">
        <v>0.27100000000000002</v>
      </c>
      <c r="AB559" s="1">
        <v>4.0999999999999996</v>
      </c>
      <c r="AC559" s="1">
        <v>0.6</v>
      </c>
      <c r="AD559" s="1">
        <v>0.01</v>
      </c>
      <c r="AE559" s="1">
        <v>0.11</v>
      </c>
      <c r="AF559" s="1">
        <v>0.61</v>
      </c>
      <c r="AH559" s="1" t="s">
        <v>932</v>
      </c>
      <c r="AI559" s="1">
        <v>11</v>
      </c>
      <c r="AJ559" s="1" t="s">
        <v>931</v>
      </c>
      <c r="AK559" s="1">
        <v>1.7</v>
      </c>
      <c r="AL559" s="1">
        <v>90.769099999999995</v>
      </c>
      <c r="AM559" s="1" t="s">
        <v>931</v>
      </c>
      <c r="AS559" s="1" t="s">
        <v>933</v>
      </c>
    </row>
    <row r="560" spans="1:45">
      <c r="A560" s="1" t="s">
        <v>934</v>
      </c>
      <c r="B560" s="1">
        <v>241</v>
      </c>
      <c r="C560" s="1" t="s">
        <v>934</v>
      </c>
      <c r="D560" s="1" t="s">
        <v>935</v>
      </c>
      <c r="E560" s="1" t="s">
        <v>47</v>
      </c>
      <c r="F560" s="1" t="s">
        <v>923</v>
      </c>
      <c r="G560" s="1" t="s">
        <v>456</v>
      </c>
      <c r="H560" s="2" t="s">
        <v>924</v>
      </c>
      <c r="I560" s="1">
        <v>141</v>
      </c>
      <c r="J560" s="1">
        <v>0.2</v>
      </c>
      <c r="K560" s="1" t="s">
        <v>512</v>
      </c>
      <c r="L560" s="1" t="s">
        <v>65</v>
      </c>
      <c r="M560" s="1">
        <v>25.03</v>
      </c>
      <c r="N560" s="1">
        <v>54</v>
      </c>
      <c r="O560" s="1">
        <v>63.604059999999997</v>
      </c>
      <c r="P560" s="1">
        <v>-172.59193999999999</v>
      </c>
      <c r="Q560" s="1">
        <v>-0.123</v>
      </c>
      <c r="R560" s="1">
        <v>32.149000000000001</v>
      </c>
      <c r="S560" s="1">
        <v>418.88499999999999</v>
      </c>
      <c r="T560" s="1">
        <v>494.22</v>
      </c>
      <c r="U560" s="1">
        <v>91.76</v>
      </c>
      <c r="V560" s="1">
        <v>2660</v>
      </c>
      <c r="W560" s="3">
        <v>9.7464999999999993</v>
      </c>
      <c r="X560" s="1" t="s">
        <v>936</v>
      </c>
      <c r="Y560" s="1">
        <v>6.35</v>
      </c>
      <c r="Z560" s="1">
        <v>1.3</v>
      </c>
      <c r="AA560" s="1">
        <v>0.97699999999999998</v>
      </c>
      <c r="AB560" s="1">
        <v>16.7</v>
      </c>
      <c r="AC560" s="1">
        <v>7.2</v>
      </c>
      <c r="AD560" s="1">
        <v>0.14000000000000001</v>
      </c>
      <c r="AE560" s="1">
        <v>0.37</v>
      </c>
      <c r="AF560" s="1">
        <v>7.34</v>
      </c>
      <c r="AH560" s="1" t="s">
        <v>937</v>
      </c>
      <c r="AI560" s="1">
        <v>7</v>
      </c>
      <c r="AJ560" s="1" t="s">
        <v>936</v>
      </c>
      <c r="AK560" s="1">
        <v>1.7</v>
      </c>
      <c r="AL560" s="1">
        <v>72.186700000000002</v>
      </c>
      <c r="AM560" s="1" t="s">
        <v>936</v>
      </c>
      <c r="AN560" s="1">
        <v>5.3860069747166497</v>
      </c>
      <c r="AO560" s="1">
        <v>0.81298218486289098</v>
      </c>
    </row>
    <row r="561" spans="1:45">
      <c r="A561" s="1" t="s">
        <v>938</v>
      </c>
      <c r="B561" s="1">
        <v>242</v>
      </c>
      <c r="C561" s="1" t="s">
        <v>938</v>
      </c>
      <c r="D561" s="1" t="s">
        <v>939</v>
      </c>
      <c r="E561" s="1" t="s">
        <v>47</v>
      </c>
      <c r="F561" s="1" t="s">
        <v>923</v>
      </c>
      <c r="G561" s="1" t="s">
        <v>456</v>
      </c>
      <c r="H561" s="2" t="s">
        <v>924</v>
      </c>
      <c r="I561" s="1">
        <v>141</v>
      </c>
      <c r="J561" s="1">
        <v>0.2</v>
      </c>
      <c r="K561" s="1" t="s">
        <v>150</v>
      </c>
      <c r="L561" s="1" t="s">
        <v>78</v>
      </c>
      <c r="M561" s="1">
        <v>49.01</v>
      </c>
      <c r="N561" s="1">
        <v>54</v>
      </c>
      <c r="O561" s="1">
        <v>63.604520000000001</v>
      </c>
      <c r="P561" s="1">
        <v>-172.59099000000001</v>
      </c>
      <c r="Q561" s="1">
        <v>0.69799999999999995</v>
      </c>
      <c r="R561" s="1">
        <v>32.664000000000001</v>
      </c>
      <c r="S561" s="1">
        <v>281.19</v>
      </c>
      <c r="T561" s="1">
        <v>139.80000000000001</v>
      </c>
      <c r="U561" s="1">
        <v>18.940000000000001</v>
      </c>
      <c r="V561" s="1">
        <v>3640</v>
      </c>
      <c r="W561" s="3">
        <v>0.63829999999999998</v>
      </c>
      <c r="X561" s="1" t="s">
        <v>940</v>
      </c>
      <c r="Y561" s="1">
        <v>0.51</v>
      </c>
      <c r="Z561" s="1">
        <v>1.23</v>
      </c>
      <c r="AA561" s="1">
        <v>1.857</v>
      </c>
      <c r="AB561" s="1">
        <v>36.9</v>
      </c>
      <c r="AC561" s="1">
        <v>17.600000000000001</v>
      </c>
      <c r="AD561" s="1">
        <v>0.12</v>
      </c>
      <c r="AE561" s="1">
        <v>1.78</v>
      </c>
      <c r="AF561" s="1">
        <v>17.72</v>
      </c>
      <c r="AH561" s="1" t="s">
        <v>941</v>
      </c>
      <c r="AI561" s="1">
        <v>1</v>
      </c>
      <c r="AJ561" s="1" t="s">
        <v>940</v>
      </c>
      <c r="AK561" s="1">
        <v>1.7</v>
      </c>
      <c r="AL561" s="1">
        <v>79.474800000000002</v>
      </c>
      <c r="AM561" s="1" t="s">
        <v>940</v>
      </c>
      <c r="AN561" s="1">
        <v>7.3812038014783496</v>
      </c>
      <c r="AO561" s="1">
        <v>1.11414397003447</v>
      </c>
    </row>
    <row r="562" spans="1:45">
      <c r="A562" s="1" t="s">
        <v>942</v>
      </c>
      <c r="B562" s="1">
        <v>243</v>
      </c>
      <c r="C562" s="1" t="s">
        <v>942</v>
      </c>
      <c r="D562" s="1" t="s">
        <v>943</v>
      </c>
      <c r="E562" s="1" t="s">
        <v>47</v>
      </c>
      <c r="F562" s="1" t="s">
        <v>944</v>
      </c>
      <c r="G562" s="1" t="s">
        <v>456</v>
      </c>
      <c r="H562" s="2" t="s">
        <v>945</v>
      </c>
      <c r="I562" s="1">
        <v>144</v>
      </c>
      <c r="J562" s="1">
        <v>0.2</v>
      </c>
      <c r="K562" s="1" t="s">
        <v>52</v>
      </c>
      <c r="L562" s="1" t="s">
        <v>52</v>
      </c>
      <c r="M562" s="1">
        <v>3.36</v>
      </c>
      <c r="N562" s="1">
        <v>46</v>
      </c>
      <c r="O562" s="1">
        <v>64.680000000000007</v>
      </c>
      <c r="P562" s="1">
        <v>-169.09971999999999</v>
      </c>
      <c r="Q562" s="1">
        <v>3.4125000000000001</v>
      </c>
      <c r="R562" s="1">
        <v>32.756999999999998</v>
      </c>
      <c r="S562" s="1">
        <v>317.726</v>
      </c>
      <c r="T562" s="1">
        <v>160.28</v>
      </c>
      <c r="U562" s="1">
        <v>28</v>
      </c>
      <c r="V562" s="1">
        <v>3200.00000000001</v>
      </c>
      <c r="W562" s="3">
        <v>1.0389999999999999</v>
      </c>
      <c r="X562" s="1" t="s">
        <v>946</v>
      </c>
      <c r="Y562" s="1">
        <v>3.26</v>
      </c>
      <c r="Z562" s="1">
        <v>0.14000000000000001</v>
      </c>
      <c r="AA562" s="1">
        <v>1.506</v>
      </c>
      <c r="AB562" s="1">
        <v>30.3</v>
      </c>
      <c r="AC562" s="1">
        <v>16.2</v>
      </c>
      <c r="AD562" s="1">
        <v>0.22</v>
      </c>
      <c r="AE562" s="1">
        <v>0.23</v>
      </c>
      <c r="AF562" s="1">
        <v>16.420000000000002</v>
      </c>
      <c r="AH562" s="1" t="s">
        <v>947</v>
      </c>
      <c r="AI562" s="1">
        <v>22</v>
      </c>
      <c r="AJ562" s="1" t="s">
        <v>946</v>
      </c>
      <c r="AK562" s="1">
        <v>2</v>
      </c>
      <c r="AL562" s="1">
        <v>74.444699999999997</v>
      </c>
      <c r="AM562" s="1" t="s">
        <v>946</v>
      </c>
      <c r="AN562" s="1">
        <v>5.7242857142857098</v>
      </c>
      <c r="AO562" s="1">
        <v>0.86404312668463601</v>
      </c>
    </row>
    <row r="563" spans="1:45">
      <c r="A563" s="1" t="s">
        <v>948</v>
      </c>
      <c r="B563" s="1">
        <v>244</v>
      </c>
      <c r="C563" s="1" t="s">
        <v>948</v>
      </c>
      <c r="D563" s="1" t="s">
        <v>949</v>
      </c>
      <c r="E563" s="1" t="s">
        <v>47</v>
      </c>
      <c r="F563" s="1" t="s">
        <v>944</v>
      </c>
      <c r="G563" s="1" t="s">
        <v>456</v>
      </c>
      <c r="H563" s="2" t="s">
        <v>945</v>
      </c>
      <c r="I563" s="1">
        <v>144</v>
      </c>
      <c r="J563" s="1">
        <v>0.2</v>
      </c>
      <c r="K563" s="1" t="s">
        <v>512</v>
      </c>
      <c r="L563" s="1" t="s">
        <v>65</v>
      </c>
      <c r="M563" s="1">
        <v>16.68</v>
      </c>
      <c r="N563" s="1">
        <v>46</v>
      </c>
      <c r="O563" s="1">
        <v>64.680000000000007</v>
      </c>
      <c r="P563" s="1">
        <v>-169.09971999999999</v>
      </c>
      <c r="Q563" s="1">
        <v>2.8704999999999998</v>
      </c>
      <c r="R563" s="1">
        <v>32.773499999999999</v>
      </c>
      <c r="S563" s="1">
        <v>314.983</v>
      </c>
      <c r="T563" s="1">
        <v>202.9</v>
      </c>
      <c r="U563" s="1">
        <v>37.14</v>
      </c>
      <c r="V563" s="1">
        <v>2640</v>
      </c>
      <c r="W563" s="3">
        <v>3.1913</v>
      </c>
      <c r="X563" s="1" t="s">
        <v>950</v>
      </c>
      <c r="Y563" s="1">
        <v>2.4700000000000002</v>
      </c>
      <c r="Z563" s="1">
        <v>0.61</v>
      </c>
      <c r="AA563" s="1">
        <v>1.619</v>
      </c>
      <c r="AB563" s="1">
        <v>30.6</v>
      </c>
      <c r="AC563" s="1">
        <v>16.899999999999999</v>
      </c>
      <c r="AD563" s="1">
        <v>0.22</v>
      </c>
      <c r="AE563" s="1">
        <v>0.78</v>
      </c>
      <c r="AF563" s="1">
        <v>17.12</v>
      </c>
      <c r="AH563" s="1" t="s">
        <v>951</v>
      </c>
      <c r="AI563" s="1">
        <v>6</v>
      </c>
      <c r="AJ563" s="1" t="s">
        <v>950</v>
      </c>
      <c r="AK563" s="1">
        <v>2</v>
      </c>
      <c r="AL563" s="1">
        <v>79.050299999999993</v>
      </c>
      <c r="AM563" s="1" t="s">
        <v>950</v>
      </c>
      <c r="AN563" s="1">
        <v>5.4631125471190103</v>
      </c>
      <c r="AO563" s="1">
        <v>0.82462076182928401</v>
      </c>
      <c r="AS563" s="1" t="s">
        <v>952</v>
      </c>
    </row>
    <row r="564" spans="1:45">
      <c r="A564" s="1" t="s">
        <v>953</v>
      </c>
      <c r="B564" s="1">
        <v>245</v>
      </c>
      <c r="C564" s="1" t="s">
        <v>953</v>
      </c>
      <c r="D564" s="1" t="s">
        <v>954</v>
      </c>
      <c r="E564" s="1" t="s">
        <v>47</v>
      </c>
      <c r="F564" s="1" t="s">
        <v>944</v>
      </c>
      <c r="G564" s="1" t="s">
        <v>456</v>
      </c>
      <c r="H564" s="2" t="s">
        <v>945</v>
      </c>
      <c r="I564" s="1">
        <v>144</v>
      </c>
      <c r="J564" s="1">
        <v>0.2</v>
      </c>
      <c r="K564" s="1" t="s">
        <v>150</v>
      </c>
      <c r="L564" s="1" t="s">
        <v>78</v>
      </c>
      <c r="M564" s="1">
        <v>41.6</v>
      </c>
      <c r="N564" s="1">
        <v>46</v>
      </c>
      <c r="O564" s="1">
        <v>64.67998</v>
      </c>
      <c r="P564" s="1">
        <v>-169.09974</v>
      </c>
      <c r="Q564" s="1">
        <v>2.7679999999999998</v>
      </c>
      <c r="R564" s="1">
        <v>32.786999999999999</v>
      </c>
      <c r="S564" s="1">
        <v>305.92700000000002</v>
      </c>
      <c r="T564" s="1">
        <v>197.06</v>
      </c>
      <c r="U564" s="1">
        <v>32.200000000000003</v>
      </c>
      <c r="V564" s="1">
        <v>6679.99999999999</v>
      </c>
      <c r="W564" s="3">
        <v>1.2794000000000001</v>
      </c>
      <c r="X564" s="1" t="s">
        <v>955</v>
      </c>
      <c r="Y564" s="1">
        <v>1.2</v>
      </c>
      <c r="Z564" s="1">
        <v>1.04</v>
      </c>
      <c r="AA564" s="1">
        <v>1.6759999999999999</v>
      </c>
      <c r="AB564" s="1">
        <v>31.1</v>
      </c>
      <c r="AC564" s="1">
        <v>16.7</v>
      </c>
      <c r="AD564" s="1">
        <v>0.22</v>
      </c>
      <c r="AE564" s="1">
        <v>1.74</v>
      </c>
      <c r="AF564" s="1">
        <v>16.920000000000002</v>
      </c>
      <c r="AH564" s="1" t="s">
        <v>956</v>
      </c>
      <c r="AI564" s="1">
        <v>1</v>
      </c>
      <c r="AJ564" s="1" t="s">
        <v>955</v>
      </c>
      <c r="AK564" s="1">
        <v>2</v>
      </c>
      <c r="AL564" s="1">
        <v>71.375</v>
      </c>
      <c r="AM564" s="1" t="s">
        <v>955</v>
      </c>
      <c r="AN564" s="1">
        <v>6.11987577639752</v>
      </c>
      <c r="AO564" s="1">
        <v>0.92375483417321003</v>
      </c>
    </row>
    <row r="565" spans="1:45">
      <c r="A565" s="1" t="s">
        <v>957</v>
      </c>
      <c r="B565" s="1">
        <v>248</v>
      </c>
      <c r="C565" s="1" t="s">
        <v>957</v>
      </c>
      <c r="D565" s="1" t="s">
        <v>958</v>
      </c>
      <c r="E565" s="1" t="s">
        <v>47</v>
      </c>
      <c r="F565" s="1" t="s">
        <v>959</v>
      </c>
      <c r="G565" s="1" t="s">
        <v>456</v>
      </c>
      <c r="H565" s="2" t="s">
        <v>960</v>
      </c>
      <c r="I565" s="1">
        <v>146</v>
      </c>
      <c r="J565" s="1">
        <v>0.2</v>
      </c>
      <c r="K565" s="1" t="s">
        <v>961</v>
      </c>
      <c r="L565" s="1" t="s">
        <v>52</v>
      </c>
      <c r="M565" s="1">
        <v>3.78</v>
      </c>
      <c r="N565" s="1">
        <v>38</v>
      </c>
      <c r="O565" s="1">
        <v>64.670580000000001</v>
      </c>
      <c r="P565" s="1">
        <v>-168.24116000000001</v>
      </c>
      <c r="Q565" s="1">
        <v>5.4809999999999999</v>
      </c>
      <c r="R565" s="1">
        <v>32.291499999999999</v>
      </c>
      <c r="S565" s="1">
        <v>328.32799999999997</v>
      </c>
      <c r="T565" s="1">
        <v>475.72</v>
      </c>
      <c r="U565" s="1">
        <v>73.78</v>
      </c>
      <c r="V565" s="1">
        <v>3239.99999999999</v>
      </c>
      <c r="W565" s="3">
        <v>5.6139999999999999</v>
      </c>
      <c r="X565" s="1" t="s">
        <v>962</v>
      </c>
      <c r="Y565" s="1">
        <v>5.3</v>
      </c>
      <c r="Z565" s="1">
        <v>0.28000000000000003</v>
      </c>
      <c r="AH565" s="1" t="s">
        <v>963</v>
      </c>
      <c r="AI565" s="1">
        <v>7</v>
      </c>
      <c r="AJ565" s="1" t="s">
        <v>962</v>
      </c>
      <c r="AK565" s="1">
        <v>2</v>
      </c>
      <c r="AL565" s="1">
        <v>74.820099999999996</v>
      </c>
      <c r="AM565" s="1" t="s">
        <v>962</v>
      </c>
      <c r="AN565" s="1">
        <v>6.4478178368121402</v>
      </c>
      <c r="AO565" s="1">
        <v>0.97325552253768199</v>
      </c>
      <c r="AS565" s="1" t="s">
        <v>964</v>
      </c>
    </row>
    <row r="566" spans="1:45">
      <c r="A566" s="1" t="s">
        <v>965</v>
      </c>
      <c r="B566" s="1">
        <v>249</v>
      </c>
      <c r="C566" s="1" t="s">
        <v>965</v>
      </c>
      <c r="D566" s="1" t="s">
        <v>966</v>
      </c>
      <c r="E566" s="1" t="s">
        <v>47</v>
      </c>
      <c r="F566" s="1" t="s">
        <v>959</v>
      </c>
      <c r="G566" s="1" t="s">
        <v>456</v>
      </c>
      <c r="H566" s="2" t="s">
        <v>960</v>
      </c>
      <c r="I566" s="1">
        <v>146</v>
      </c>
      <c r="J566" s="1">
        <v>0.2</v>
      </c>
      <c r="K566" s="1" t="s">
        <v>512</v>
      </c>
      <c r="L566" s="1" t="s">
        <v>65</v>
      </c>
      <c r="M566" s="1">
        <v>10.09</v>
      </c>
      <c r="N566" s="1">
        <v>38</v>
      </c>
      <c r="O566" s="1">
        <v>64.670580000000001</v>
      </c>
      <c r="P566" s="1">
        <v>-168.24116000000001</v>
      </c>
      <c r="Q566" s="1">
        <v>5.4444999999999997</v>
      </c>
      <c r="R566" s="1">
        <v>32.29</v>
      </c>
      <c r="S566" s="1">
        <v>327.44400000000002</v>
      </c>
      <c r="T566" s="1">
        <v>380.06</v>
      </c>
      <c r="U566" s="1">
        <v>62.52</v>
      </c>
      <c r="V566" s="1">
        <v>2920.00000000001</v>
      </c>
      <c r="W566" s="3">
        <v>5.0320999999999998</v>
      </c>
      <c r="X566" s="1" t="s">
        <v>967</v>
      </c>
      <c r="Y566" s="1">
        <v>3.65</v>
      </c>
      <c r="Z566" s="1">
        <v>0.65</v>
      </c>
      <c r="AA566" s="1">
        <v>0.36</v>
      </c>
      <c r="AB566" s="1">
        <v>7.3</v>
      </c>
      <c r="AC566" s="1">
        <v>0.1</v>
      </c>
      <c r="AD566" s="1">
        <v>0.02</v>
      </c>
      <c r="AE566" s="1">
        <v>0.15</v>
      </c>
      <c r="AF566" s="1">
        <v>0.12</v>
      </c>
      <c r="AH566" s="1" t="s">
        <v>968</v>
      </c>
      <c r="AI566" s="1">
        <v>5</v>
      </c>
      <c r="AJ566" s="1" t="s">
        <v>967</v>
      </c>
      <c r="AK566" s="1">
        <v>2</v>
      </c>
      <c r="AL566" s="1">
        <v>76.4542</v>
      </c>
      <c r="AM566" s="1" t="s">
        <v>967</v>
      </c>
      <c r="AN566" s="1">
        <v>6.0790147152911098</v>
      </c>
      <c r="AO566" s="1">
        <v>0.91758712683639299</v>
      </c>
    </row>
    <row r="567" spans="1:45">
      <c r="A567" s="1" t="s">
        <v>969</v>
      </c>
      <c r="B567" s="1">
        <v>250</v>
      </c>
      <c r="C567" s="1" t="s">
        <v>969</v>
      </c>
      <c r="D567" s="1" t="s">
        <v>970</v>
      </c>
      <c r="E567" s="1" t="s">
        <v>47</v>
      </c>
      <c r="F567" s="1" t="s">
        <v>959</v>
      </c>
      <c r="G567" s="1" t="s">
        <v>456</v>
      </c>
      <c r="H567" s="2" t="s">
        <v>960</v>
      </c>
      <c r="I567" s="1">
        <v>146</v>
      </c>
      <c r="J567" s="1">
        <v>0.2</v>
      </c>
      <c r="K567" s="1" t="s">
        <v>150</v>
      </c>
      <c r="L567" s="1" t="s">
        <v>78</v>
      </c>
      <c r="M567" s="1">
        <v>34.71</v>
      </c>
      <c r="N567" s="1">
        <v>38</v>
      </c>
      <c r="O567" s="1">
        <v>64.670580000000001</v>
      </c>
      <c r="P567" s="1">
        <v>-168.24118000000001</v>
      </c>
      <c r="Q567" s="1">
        <v>2.4085000000000001</v>
      </c>
      <c r="R567" s="1">
        <v>32.366500000000002</v>
      </c>
      <c r="S567" s="1">
        <v>282.23</v>
      </c>
      <c r="T567" s="1">
        <v>427</v>
      </c>
      <c r="U567" s="1">
        <v>67.7</v>
      </c>
      <c r="V567" s="1">
        <v>6300</v>
      </c>
      <c r="W567" s="3">
        <v>6.1714000000000002</v>
      </c>
      <c r="X567" s="1" t="s">
        <v>971</v>
      </c>
      <c r="Y567" s="1">
        <v>5.16</v>
      </c>
      <c r="Z567" s="1">
        <v>3.64</v>
      </c>
      <c r="AA567" s="1">
        <v>1.1299999999999999</v>
      </c>
      <c r="AB567" s="1">
        <v>3.4</v>
      </c>
      <c r="AC567" s="1">
        <v>4</v>
      </c>
      <c r="AD567" s="1">
        <v>0.13</v>
      </c>
      <c r="AE567" s="1">
        <v>3.21</v>
      </c>
      <c r="AF567" s="1">
        <v>4.13</v>
      </c>
      <c r="AH567" s="1" t="s">
        <v>972</v>
      </c>
      <c r="AI567" s="1">
        <v>1</v>
      </c>
      <c r="AJ567" s="1" t="s">
        <v>971</v>
      </c>
      <c r="AK567" s="1">
        <v>2</v>
      </c>
      <c r="AL567" s="1">
        <v>61.221400000000003</v>
      </c>
      <c r="AM567" s="1" t="s">
        <v>971</v>
      </c>
      <c r="AN567" s="1">
        <v>6.3072378138847904</v>
      </c>
      <c r="AO567" s="1">
        <v>0.95203589643543896</v>
      </c>
    </row>
    <row r="568" spans="1:45">
      <c r="A568" s="1" t="s">
        <v>973</v>
      </c>
      <c r="B568" s="1">
        <v>251</v>
      </c>
      <c r="C568" s="1" t="s">
        <v>973</v>
      </c>
      <c r="D568" s="1" t="s">
        <v>974</v>
      </c>
      <c r="E568" s="1" t="s">
        <v>47</v>
      </c>
      <c r="F568" s="1" t="s">
        <v>975</v>
      </c>
      <c r="G568" s="1" t="s">
        <v>456</v>
      </c>
      <c r="H568" s="2" t="s">
        <v>976</v>
      </c>
      <c r="I568" s="1">
        <v>148</v>
      </c>
      <c r="J568" s="1">
        <v>0.2</v>
      </c>
      <c r="K568" s="1" t="s">
        <v>52</v>
      </c>
      <c r="L568" s="1" t="s">
        <v>52</v>
      </c>
      <c r="M568" s="1">
        <v>3.57</v>
      </c>
      <c r="N568" s="1">
        <v>31</v>
      </c>
      <c r="O568" s="1">
        <v>64.681790000000007</v>
      </c>
      <c r="P568" s="1">
        <v>-167.39789999999999</v>
      </c>
      <c r="Q568" s="1">
        <v>6.9050000000000002</v>
      </c>
      <c r="R568" s="1">
        <v>31.95</v>
      </c>
      <c r="S568" s="1">
        <v>301.48</v>
      </c>
      <c r="T568" s="1">
        <v>174.38</v>
      </c>
      <c r="U568" s="1">
        <v>38.54</v>
      </c>
      <c r="V568" s="1">
        <v>2360</v>
      </c>
      <c r="W568" s="3">
        <v>0.31780000000000003</v>
      </c>
      <c r="X568" s="1" t="s">
        <v>977</v>
      </c>
      <c r="Y568" s="1">
        <v>0.28999999999999998</v>
      </c>
      <c r="Z568" s="1">
        <v>0.17</v>
      </c>
      <c r="AA568" s="1">
        <v>0.35899999999999999</v>
      </c>
      <c r="AB568" s="1">
        <v>1.2</v>
      </c>
      <c r="AC568" s="1">
        <v>0.1</v>
      </c>
      <c r="AD568" s="1">
        <v>0</v>
      </c>
      <c r="AE568" s="1">
        <v>0.13</v>
      </c>
      <c r="AF568" s="1">
        <v>0.1</v>
      </c>
      <c r="AH568" s="1" t="s">
        <v>978</v>
      </c>
      <c r="AI568" s="1">
        <v>4</v>
      </c>
      <c r="AJ568" s="1" t="s">
        <v>977</v>
      </c>
      <c r="AK568" s="1">
        <v>2</v>
      </c>
      <c r="AL568" s="1">
        <v>91.761600000000001</v>
      </c>
      <c r="AM568" s="1" t="s">
        <v>977</v>
      </c>
      <c r="AN568" s="1">
        <v>4.5246497145822504</v>
      </c>
      <c r="AO568" s="1">
        <v>0.68296599465392505</v>
      </c>
    </row>
    <row r="569" spans="1:45">
      <c r="A569" s="1" t="s">
        <v>979</v>
      </c>
      <c r="B569" s="1">
        <v>252</v>
      </c>
      <c r="C569" s="1" t="s">
        <v>979</v>
      </c>
      <c r="D569" s="1" t="s">
        <v>980</v>
      </c>
      <c r="E569" s="1" t="s">
        <v>47</v>
      </c>
      <c r="F569" s="1" t="s">
        <v>975</v>
      </c>
      <c r="G569" s="1" t="s">
        <v>456</v>
      </c>
      <c r="H569" s="2" t="s">
        <v>976</v>
      </c>
      <c r="I569" s="1">
        <v>148</v>
      </c>
      <c r="J569" s="1">
        <v>0.2</v>
      </c>
      <c r="K569" s="1" t="s">
        <v>486</v>
      </c>
      <c r="L569" s="1" t="s">
        <v>65</v>
      </c>
      <c r="M569" s="1">
        <v>9.61</v>
      </c>
      <c r="N569" s="1">
        <v>31</v>
      </c>
      <c r="O569" s="1">
        <v>64.681560000000005</v>
      </c>
      <c r="P569" s="1">
        <v>-167.39796000000001</v>
      </c>
      <c r="Q569" s="1">
        <v>6.3404999999999996</v>
      </c>
      <c r="R569" s="1">
        <v>31.9755</v>
      </c>
      <c r="S569" s="1">
        <v>310.52800000000002</v>
      </c>
      <c r="T569" s="1">
        <v>182.48</v>
      </c>
      <c r="U569" s="1">
        <v>40.619999999999997</v>
      </c>
      <c r="V569" s="1">
        <v>1760</v>
      </c>
      <c r="W569" s="3">
        <v>0.47620000000000001</v>
      </c>
      <c r="X569" s="1" t="s">
        <v>981</v>
      </c>
      <c r="Y569" s="1">
        <v>0.93</v>
      </c>
      <c r="Z569" s="1">
        <v>0.34</v>
      </c>
      <c r="AA569" s="1">
        <v>0.61599999999999999</v>
      </c>
      <c r="AB569" s="1">
        <v>5.8</v>
      </c>
      <c r="AC569" s="1">
        <v>0.1</v>
      </c>
      <c r="AD569" s="1">
        <v>0.01</v>
      </c>
      <c r="AE569" s="1">
        <v>0.55000000000000004</v>
      </c>
      <c r="AF569" s="1">
        <v>0.11</v>
      </c>
      <c r="AH569" s="1" t="s">
        <v>982</v>
      </c>
      <c r="AI569" s="1">
        <v>3</v>
      </c>
      <c r="AJ569" s="1" t="s">
        <v>981</v>
      </c>
      <c r="AK569" s="1">
        <v>2</v>
      </c>
      <c r="AL569" s="1">
        <v>89.837400000000002</v>
      </c>
      <c r="AM569" s="1" t="s">
        <v>981</v>
      </c>
      <c r="AN569" s="1">
        <v>4.4923682914820304</v>
      </c>
      <c r="AO569" s="1">
        <v>0.67809332701615499</v>
      </c>
    </row>
    <row r="570" spans="1:45">
      <c r="A570" s="1" t="s">
        <v>983</v>
      </c>
      <c r="B570" s="1">
        <v>253</v>
      </c>
      <c r="C570" s="1" t="s">
        <v>983</v>
      </c>
      <c r="D570" s="1" t="s">
        <v>984</v>
      </c>
      <c r="E570" s="1" t="s">
        <v>47</v>
      </c>
      <c r="F570" s="1" t="s">
        <v>975</v>
      </c>
      <c r="G570" s="1" t="s">
        <v>456</v>
      </c>
      <c r="H570" s="2" t="s">
        <v>976</v>
      </c>
      <c r="I570" s="1">
        <v>148</v>
      </c>
      <c r="J570" s="1">
        <v>0.2</v>
      </c>
      <c r="K570" s="1" t="s">
        <v>150</v>
      </c>
      <c r="L570" s="1" t="s">
        <v>78</v>
      </c>
      <c r="M570" s="1">
        <v>27.73</v>
      </c>
      <c r="N570" s="1">
        <v>31</v>
      </c>
      <c r="O570" s="1">
        <v>64.681030000000007</v>
      </c>
      <c r="P570" s="1">
        <v>-167.39830000000001</v>
      </c>
      <c r="Q570" s="1">
        <v>1.18</v>
      </c>
      <c r="R570" s="1">
        <v>32.103000000000002</v>
      </c>
      <c r="S570" s="1">
        <v>373.74900000000002</v>
      </c>
      <c r="T570" s="1">
        <v>736.94</v>
      </c>
      <c r="U570" s="1">
        <v>145.06</v>
      </c>
      <c r="V570" s="1">
        <v>3540</v>
      </c>
      <c r="W570" s="3">
        <v>1.3703000000000001</v>
      </c>
      <c r="X570" s="1" t="s">
        <v>985</v>
      </c>
      <c r="Y570" s="1">
        <v>0.98</v>
      </c>
      <c r="Z570" s="1">
        <v>0.61</v>
      </c>
      <c r="AA570" s="1">
        <v>0.73599999999999999</v>
      </c>
      <c r="AB570" s="1">
        <v>4</v>
      </c>
      <c r="AC570" s="1">
        <v>0.2</v>
      </c>
      <c r="AD570" s="1">
        <v>0.02</v>
      </c>
      <c r="AE570" s="1">
        <v>0.84</v>
      </c>
      <c r="AF570" s="1">
        <v>0.22</v>
      </c>
      <c r="AH570" s="1" t="s">
        <v>986</v>
      </c>
      <c r="AI570" s="1">
        <v>1</v>
      </c>
      <c r="AJ570" s="1" t="s">
        <v>985</v>
      </c>
      <c r="AK570" s="1">
        <v>2</v>
      </c>
      <c r="AL570" s="1">
        <v>80.609700000000004</v>
      </c>
      <c r="AM570" s="1" t="s">
        <v>985</v>
      </c>
      <c r="AN570" s="1">
        <v>5.0802426582104001</v>
      </c>
      <c r="AO570" s="1">
        <v>0.76682908048458798</v>
      </c>
    </row>
    <row r="571" spans="1:45">
      <c r="A571" s="1" t="s">
        <v>987</v>
      </c>
      <c r="B571" s="1">
        <v>217</v>
      </c>
      <c r="C571" s="1" t="s">
        <v>987</v>
      </c>
      <c r="D571" s="1" t="s">
        <v>988</v>
      </c>
      <c r="E571" s="1" t="s">
        <v>47</v>
      </c>
      <c r="F571" s="1" t="s">
        <v>989</v>
      </c>
      <c r="G571" s="1" t="s">
        <v>456</v>
      </c>
      <c r="H571" s="2" t="s">
        <v>990</v>
      </c>
      <c r="I571" s="1">
        <v>128</v>
      </c>
      <c r="J571" s="1">
        <v>0.2</v>
      </c>
      <c r="K571" s="1" t="s">
        <v>52</v>
      </c>
      <c r="L571" s="1" t="s">
        <v>52</v>
      </c>
      <c r="M571" s="1">
        <v>4.22</v>
      </c>
      <c r="N571" s="1">
        <v>48</v>
      </c>
      <c r="O571" s="1">
        <v>64.99042</v>
      </c>
      <c r="P571" s="1">
        <v>-169.13971000000001</v>
      </c>
      <c r="Q571" s="1">
        <v>3.3140000000000001</v>
      </c>
      <c r="R571" s="1">
        <v>32.884</v>
      </c>
      <c r="S571" s="1">
        <v>321.76799999999997</v>
      </c>
      <c r="W571" s="3">
        <v>1.0767</v>
      </c>
      <c r="X571" s="1" t="s">
        <v>991</v>
      </c>
      <c r="Y571" s="1">
        <v>1.69</v>
      </c>
      <c r="Z571" s="1">
        <v>1.21</v>
      </c>
      <c r="AA571" s="1">
        <v>1.4750000000000001</v>
      </c>
      <c r="AB571" s="1">
        <v>25.5</v>
      </c>
      <c r="AC571" s="1">
        <v>15.1</v>
      </c>
      <c r="AD571" s="1">
        <v>0.19</v>
      </c>
      <c r="AE571" s="1">
        <v>1.47</v>
      </c>
      <c r="AF571" s="1">
        <v>15.29</v>
      </c>
      <c r="AH571" s="1" t="s">
        <v>992</v>
      </c>
      <c r="AI571" s="1">
        <v>5</v>
      </c>
      <c r="AJ571" s="1" t="s">
        <v>991</v>
      </c>
      <c r="AK571" s="1">
        <v>10</v>
      </c>
      <c r="AL571" s="1">
        <v>78.431700000000006</v>
      </c>
      <c r="AM571" s="1" t="s">
        <v>991</v>
      </c>
    </row>
    <row r="572" spans="1:45">
      <c r="A572" s="1" t="s">
        <v>993</v>
      </c>
      <c r="B572" s="1">
        <v>218</v>
      </c>
      <c r="C572" s="1" t="s">
        <v>993</v>
      </c>
      <c r="D572" s="1" t="s">
        <v>994</v>
      </c>
      <c r="E572" s="1" t="s">
        <v>47</v>
      </c>
      <c r="F572" s="1" t="s">
        <v>989</v>
      </c>
      <c r="G572" s="1" t="s">
        <v>456</v>
      </c>
      <c r="H572" s="2" t="s">
        <v>990</v>
      </c>
      <c r="I572" s="1">
        <v>128</v>
      </c>
      <c r="J572" s="1">
        <v>0.2</v>
      </c>
      <c r="K572" s="1" t="s">
        <v>150</v>
      </c>
      <c r="L572" s="1" t="s">
        <v>78</v>
      </c>
      <c r="M572" s="1">
        <v>44.96</v>
      </c>
      <c r="N572" s="1">
        <v>48</v>
      </c>
      <c r="O572" s="1">
        <v>64.99042</v>
      </c>
      <c r="P572" s="1">
        <v>-169.13972000000001</v>
      </c>
      <c r="Q572" s="1">
        <v>3.2719999999999998</v>
      </c>
      <c r="R572" s="1">
        <v>32.880499999999998</v>
      </c>
      <c r="S572" s="1">
        <v>319.97000000000003</v>
      </c>
      <c r="T572" s="1">
        <v>220.32</v>
      </c>
      <c r="U572" s="1">
        <v>36.26</v>
      </c>
      <c r="V572" s="1">
        <v>17560</v>
      </c>
      <c r="W572" s="3">
        <v>1.3583000000000001</v>
      </c>
      <c r="X572" s="1" t="s">
        <v>995</v>
      </c>
      <c r="Y572" s="1">
        <v>1.83</v>
      </c>
      <c r="Z572" s="1">
        <v>0.85</v>
      </c>
      <c r="AA572" s="1">
        <v>1.4890000000000001</v>
      </c>
      <c r="AB572" s="1">
        <v>25.9</v>
      </c>
      <c r="AC572" s="1">
        <v>15.1</v>
      </c>
      <c r="AD572" s="1">
        <v>0.19</v>
      </c>
      <c r="AE572" s="1">
        <v>1.65</v>
      </c>
      <c r="AF572" s="1">
        <v>15.29</v>
      </c>
      <c r="AH572" s="1" t="s">
        <v>996</v>
      </c>
      <c r="AI572" s="1">
        <v>1</v>
      </c>
      <c r="AJ572" s="1" t="s">
        <v>995</v>
      </c>
      <c r="AK572" s="1">
        <v>10</v>
      </c>
      <c r="AL572" s="1">
        <v>76.856800000000007</v>
      </c>
      <c r="AM572" s="1" t="s">
        <v>995</v>
      </c>
      <c r="AN572" s="1">
        <v>6.0761169332597902</v>
      </c>
      <c r="AO572" s="1">
        <v>0.91714972577506304</v>
      </c>
    </row>
    <row r="573" spans="1:45">
      <c r="A573" s="1" t="s">
        <v>997</v>
      </c>
      <c r="B573" s="1">
        <v>164</v>
      </c>
      <c r="C573" s="1" t="s">
        <v>997</v>
      </c>
      <c r="D573" s="1" t="s">
        <v>998</v>
      </c>
      <c r="E573" s="1" t="s">
        <v>47</v>
      </c>
      <c r="F573" s="1" t="s">
        <v>999</v>
      </c>
      <c r="G573" s="1" t="s">
        <v>456</v>
      </c>
      <c r="H573" s="2" t="s">
        <v>1000</v>
      </c>
      <c r="I573" s="1">
        <v>88</v>
      </c>
      <c r="J573" s="1">
        <v>0.2</v>
      </c>
      <c r="K573" s="1" t="s">
        <v>52</v>
      </c>
      <c r="L573" s="1" t="s">
        <v>52</v>
      </c>
      <c r="M573" s="1">
        <v>3.44</v>
      </c>
      <c r="N573" s="1">
        <v>35</v>
      </c>
      <c r="O573" s="1">
        <v>68.300420000000003</v>
      </c>
      <c r="P573" s="1">
        <v>-166.94126</v>
      </c>
      <c r="Q573" s="1">
        <v>6.08</v>
      </c>
      <c r="R573" s="1">
        <v>30.81</v>
      </c>
      <c r="S573" s="1">
        <v>309.47699999999998</v>
      </c>
      <c r="T573" s="1">
        <v>187.46</v>
      </c>
      <c r="U573" s="1">
        <v>32.26</v>
      </c>
      <c r="V573" s="1">
        <v>1020.00000000001</v>
      </c>
      <c r="W573" s="3">
        <v>0.31950000000000001</v>
      </c>
      <c r="X573" s="1" t="s">
        <v>1001</v>
      </c>
      <c r="Y573" s="1">
        <v>0.37</v>
      </c>
      <c r="Z573" s="1">
        <v>0.16</v>
      </c>
      <c r="AA573" s="1">
        <v>0.41099999999999998</v>
      </c>
      <c r="AB573" s="1">
        <v>2.6</v>
      </c>
      <c r="AC573" s="1">
        <v>0</v>
      </c>
      <c r="AD573" s="1">
        <v>0</v>
      </c>
      <c r="AE573" s="1">
        <v>0</v>
      </c>
      <c r="AF573" s="1">
        <v>0</v>
      </c>
      <c r="AH573" s="1" t="s">
        <v>1002</v>
      </c>
      <c r="AI573" s="1">
        <v>5</v>
      </c>
      <c r="AJ573" s="1" t="s">
        <v>1001</v>
      </c>
      <c r="AK573" s="1">
        <v>2</v>
      </c>
      <c r="AL573" s="1">
        <v>90.475800000000007</v>
      </c>
      <c r="AM573" s="1" t="s">
        <v>1001</v>
      </c>
      <c r="AN573" s="1">
        <v>5.8109113453192798</v>
      </c>
      <c r="AO573" s="1">
        <v>0.87711869363309902</v>
      </c>
    </row>
    <row r="574" spans="1:45">
      <c r="A574" s="1" t="s">
        <v>1003</v>
      </c>
      <c r="B574" s="1">
        <v>165</v>
      </c>
      <c r="C574" s="1" t="s">
        <v>1003</v>
      </c>
      <c r="D574" s="1" t="s">
        <v>1004</v>
      </c>
      <c r="E574" s="1" t="s">
        <v>47</v>
      </c>
      <c r="F574" s="1" t="s">
        <v>999</v>
      </c>
      <c r="G574" s="1" t="s">
        <v>456</v>
      </c>
      <c r="H574" s="2" t="s">
        <v>1000</v>
      </c>
      <c r="I574" s="1">
        <v>88</v>
      </c>
      <c r="J574" s="1">
        <v>0.2</v>
      </c>
      <c r="K574" s="1" t="s">
        <v>65</v>
      </c>
      <c r="L574" s="1" t="s">
        <v>65</v>
      </c>
      <c r="M574" s="1">
        <v>15.25</v>
      </c>
      <c r="N574" s="1">
        <v>35</v>
      </c>
      <c r="O574" s="1">
        <v>68.300420000000003</v>
      </c>
      <c r="P574" s="1">
        <v>-166.94126</v>
      </c>
      <c r="Q574" s="1">
        <v>1.7755000000000001</v>
      </c>
      <c r="R574" s="1">
        <v>31.252500000000001</v>
      </c>
      <c r="S574" s="1">
        <v>381.76499999999999</v>
      </c>
      <c r="W574" s="3">
        <v>0.64119999999999999</v>
      </c>
      <c r="X574" s="1" t="s">
        <v>1005</v>
      </c>
      <c r="AH574" s="1" t="s">
        <v>1006</v>
      </c>
      <c r="AI574" s="1">
        <v>3</v>
      </c>
      <c r="AJ574" s="1" t="s">
        <v>1005</v>
      </c>
      <c r="AK574" s="1">
        <v>2</v>
      </c>
      <c r="AL574" s="1">
        <v>89.798500000000004</v>
      </c>
      <c r="AM574" s="1" t="s">
        <v>1005</v>
      </c>
    </row>
    <row r="575" spans="1:45">
      <c r="A575" s="1" t="s">
        <v>1007</v>
      </c>
      <c r="B575" s="1">
        <v>166</v>
      </c>
      <c r="C575" s="1" t="s">
        <v>1007</v>
      </c>
      <c r="D575" s="1" t="s">
        <v>1008</v>
      </c>
      <c r="E575" s="1" t="s">
        <v>47</v>
      </c>
      <c r="F575" s="1" t="s">
        <v>999</v>
      </c>
      <c r="G575" s="1" t="s">
        <v>456</v>
      </c>
      <c r="H575" s="2" t="s">
        <v>1000</v>
      </c>
      <c r="I575" s="1">
        <v>88</v>
      </c>
      <c r="J575" s="1">
        <v>0.2</v>
      </c>
      <c r="K575" s="1" t="s">
        <v>150</v>
      </c>
      <c r="L575" s="1" t="s">
        <v>78</v>
      </c>
      <c r="M575" s="1">
        <v>32.04</v>
      </c>
      <c r="N575" s="1">
        <v>35</v>
      </c>
      <c r="O575" s="1">
        <v>68.300420000000003</v>
      </c>
      <c r="P575" s="1">
        <v>-166.94126</v>
      </c>
      <c r="Q575" s="1">
        <v>0.76200000000000001</v>
      </c>
      <c r="R575" s="1">
        <v>31.422499999999999</v>
      </c>
      <c r="S575" s="1">
        <v>398.90899999999999</v>
      </c>
      <c r="T575" s="1">
        <v>133.68</v>
      </c>
      <c r="U575" s="1">
        <v>20.66</v>
      </c>
      <c r="V575" s="1">
        <v>1580.00000000001</v>
      </c>
      <c r="W575" s="3">
        <v>0.73150000000000004</v>
      </c>
      <c r="X575" s="1" t="s">
        <v>1009</v>
      </c>
      <c r="Y575" s="1">
        <v>0.63</v>
      </c>
      <c r="Z575" s="1">
        <v>0.3</v>
      </c>
      <c r="AA575" s="1">
        <v>0.59699999999999998</v>
      </c>
      <c r="AB575" s="1">
        <v>6.4</v>
      </c>
      <c r="AC575" s="1">
        <v>0</v>
      </c>
      <c r="AD575" s="1">
        <v>0</v>
      </c>
      <c r="AE575" s="1">
        <v>0.18</v>
      </c>
      <c r="AF575" s="1">
        <v>0</v>
      </c>
      <c r="AH575" s="1" t="s">
        <v>1010</v>
      </c>
      <c r="AI575" s="1">
        <v>1</v>
      </c>
      <c r="AJ575" s="1" t="s">
        <v>1009</v>
      </c>
      <c r="AK575" s="1">
        <v>2</v>
      </c>
      <c r="AL575" s="1">
        <v>89.919600000000003</v>
      </c>
      <c r="AM575" s="1" t="s">
        <v>1009</v>
      </c>
      <c r="AN575" s="1">
        <v>6.4704743465634103</v>
      </c>
      <c r="AO575" s="1">
        <v>0.97667537306617502</v>
      </c>
    </row>
    <row r="576" spans="1:45">
      <c r="A576" s="1" t="s">
        <v>1011</v>
      </c>
      <c r="B576" s="1">
        <v>161</v>
      </c>
      <c r="C576" s="1" t="s">
        <v>1011</v>
      </c>
      <c r="D576" s="1" t="s">
        <v>1012</v>
      </c>
      <c r="E576" s="1" t="s">
        <v>47</v>
      </c>
      <c r="F576" s="1" t="s">
        <v>1013</v>
      </c>
      <c r="G576" s="1" t="s">
        <v>456</v>
      </c>
      <c r="H576" s="2" t="s">
        <v>1014</v>
      </c>
      <c r="I576" s="1">
        <v>87</v>
      </c>
      <c r="J576" s="1">
        <v>0.2</v>
      </c>
      <c r="K576" s="1" t="s">
        <v>52</v>
      </c>
      <c r="L576" s="1" t="s">
        <v>52</v>
      </c>
      <c r="M576" s="1">
        <v>3.22</v>
      </c>
      <c r="N576" s="1">
        <v>43</v>
      </c>
      <c r="O576" s="1">
        <v>68.242279999999994</v>
      </c>
      <c r="P576" s="1">
        <v>-167.11974000000001</v>
      </c>
      <c r="Q576" s="1">
        <v>1.1425000000000001</v>
      </c>
      <c r="R576" s="1">
        <v>31.683</v>
      </c>
      <c r="S576" s="1">
        <v>378.495</v>
      </c>
      <c r="T576" s="1">
        <v>219.78</v>
      </c>
      <c r="U576" s="1">
        <v>38.700000000000003</v>
      </c>
      <c r="V576" s="1">
        <v>1960</v>
      </c>
      <c r="W576" s="3">
        <v>0.76929999999999998</v>
      </c>
      <c r="X576" s="1" t="s">
        <v>1015</v>
      </c>
      <c r="Y576" s="1">
        <v>1.1399999999999999</v>
      </c>
      <c r="Z576" s="1">
        <v>0.6</v>
      </c>
      <c r="AA576" s="1">
        <v>0.65300000000000002</v>
      </c>
      <c r="AB576" s="1">
        <v>4.9000000000000004</v>
      </c>
      <c r="AC576" s="1">
        <v>0.4</v>
      </c>
      <c r="AD576" s="1">
        <v>0.03</v>
      </c>
      <c r="AE576" s="1">
        <v>0.44</v>
      </c>
      <c r="AF576" s="1">
        <v>0.43</v>
      </c>
      <c r="AH576" s="1" t="s">
        <v>1016</v>
      </c>
      <c r="AI576" s="1">
        <v>5</v>
      </c>
      <c r="AJ576" s="1" t="s">
        <v>1015</v>
      </c>
      <c r="AK576" s="1">
        <v>2</v>
      </c>
      <c r="AL576" s="1">
        <v>87.6584</v>
      </c>
      <c r="AM576" s="1" t="s">
        <v>1015</v>
      </c>
      <c r="AN576" s="1">
        <v>5.6790697674418604</v>
      </c>
      <c r="AO576" s="1">
        <v>0.85721807810443196</v>
      </c>
    </row>
    <row r="577" spans="1:46">
      <c r="A577" s="1" t="s">
        <v>2699</v>
      </c>
      <c r="C577" s="1" t="s">
        <v>2699</v>
      </c>
      <c r="D577" s="1" t="s">
        <v>2700</v>
      </c>
      <c r="E577" s="1" t="s">
        <v>1466</v>
      </c>
      <c r="F577" s="1" t="s">
        <v>1013</v>
      </c>
      <c r="G577" s="1" t="s">
        <v>456</v>
      </c>
      <c r="H577" s="2" t="s">
        <v>2701</v>
      </c>
      <c r="I577" s="1">
        <v>7</v>
      </c>
      <c r="J577" s="1">
        <v>0.2</v>
      </c>
      <c r="K577" s="1" t="s">
        <v>1488</v>
      </c>
      <c r="L577" s="1" t="s">
        <v>65</v>
      </c>
      <c r="M577" s="1">
        <v>10.946999999999999</v>
      </c>
      <c r="N577" s="1">
        <v>44</v>
      </c>
      <c r="O577" s="1">
        <v>68.243600000000001</v>
      </c>
      <c r="P577" s="1">
        <v>-167.12696</v>
      </c>
      <c r="Q577" s="1">
        <v>9.0986999999999991</v>
      </c>
      <c r="R577" s="1">
        <v>31.414400000000001</v>
      </c>
      <c r="S577" s="1">
        <v>280.45499999999998</v>
      </c>
      <c r="W577" s="3">
        <v>1.071</v>
      </c>
      <c r="X577" s="1" t="s">
        <v>2702</v>
      </c>
      <c r="Y577" s="1">
        <v>1.81</v>
      </c>
      <c r="AA577" s="1">
        <v>0.48</v>
      </c>
      <c r="AB577" s="1">
        <v>6.31</v>
      </c>
      <c r="AE577" s="1">
        <v>0.26</v>
      </c>
      <c r="AF577" s="1">
        <v>0.26</v>
      </c>
      <c r="AI577" s="1">
        <v>7</v>
      </c>
      <c r="AJ577" s="1" t="s">
        <v>2702</v>
      </c>
      <c r="AK577" s="1">
        <v>1.7</v>
      </c>
      <c r="AL577" s="1">
        <v>88.446399999999997</v>
      </c>
      <c r="AM577" s="1" t="s">
        <v>2702</v>
      </c>
      <c r="AP577" s="1" t="s">
        <v>2703</v>
      </c>
      <c r="AR577" s="1">
        <v>11.27</v>
      </c>
      <c r="AT577" s="1">
        <v>10</v>
      </c>
    </row>
    <row r="578" spans="1:46">
      <c r="A578" s="1" t="s">
        <v>2704</v>
      </c>
      <c r="C578" s="1" t="s">
        <v>2704</v>
      </c>
      <c r="D578" s="1" t="s">
        <v>2705</v>
      </c>
      <c r="E578" s="1" t="s">
        <v>1394</v>
      </c>
      <c r="F578" s="1" t="s">
        <v>1013</v>
      </c>
      <c r="G578" s="1" t="s">
        <v>456</v>
      </c>
      <c r="H578" s="2" t="s">
        <v>2706</v>
      </c>
      <c r="I578" s="1">
        <v>7</v>
      </c>
      <c r="J578" s="1">
        <v>0.2</v>
      </c>
      <c r="K578" s="1">
        <v>6</v>
      </c>
      <c r="L578" s="1" t="s">
        <v>65</v>
      </c>
      <c r="M578" s="1">
        <v>10.992000000000001</v>
      </c>
      <c r="N578" s="1">
        <v>43.2</v>
      </c>
      <c r="O578" s="1">
        <v>68.246833330000001</v>
      </c>
      <c r="P578" s="1">
        <v>-167.12166669999999</v>
      </c>
      <c r="Q578" s="1">
        <v>8.6371000000000002</v>
      </c>
      <c r="R578" s="1">
        <v>30.588049999999999</v>
      </c>
      <c r="S578" s="1">
        <v>304.09674899999999</v>
      </c>
      <c r="W578" s="3">
        <v>1.0092000000000001</v>
      </c>
      <c r="Y578" s="1">
        <v>1.802</v>
      </c>
      <c r="Z578" s="1">
        <v>0.878</v>
      </c>
      <c r="AA578" s="1">
        <v>0.69199999999999995</v>
      </c>
      <c r="AB578" s="1">
        <v>6.3</v>
      </c>
      <c r="AC578" s="1">
        <v>0</v>
      </c>
      <c r="AD578" s="1">
        <v>0.03</v>
      </c>
      <c r="AE578" s="1">
        <v>0.12</v>
      </c>
      <c r="AF578" s="1">
        <v>0.03</v>
      </c>
      <c r="AH578" s="8" t="s">
        <v>2707</v>
      </c>
      <c r="AI578" s="8">
        <v>12</v>
      </c>
      <c r="AJ578" s="8" t="s">
        <v>2708</v>
      </c>
      <c r="AK578" s="8">
        <v>5</v>
      </c>
      <c r="AM578" s="1" t="s">
        <v>2709</v>
      </c>
      <c r="AT578" s="8" t="s">
        <v>1607</v>
      </c>
    </row>
    <row r="579" spans="1:46">
      <c r="A579" s="1" t="s">
        <v>2710</v>
      </c>
      <c r="C579" s="1" t="s">
        <v>2710</v>
      </c>
      <c r="D579" s="1" t="s">
        <v>2711</v>
      </c>
      <c r="E579" s="1" t="s">
        <v>1394</v>
      </c>
      <c r="F579" s="1" t="s">
        <v>1013</v>
      </c>
      <c r="G579" s="1" t="s">
        <v>456</v>
      </c>
      <c r="H579" s="2" t="s">
        <v>2706</v>
      </c>
      <c r="I579" s="1">
        <v>7</v>
      </c>
      <c r="J579" s="1">
        <v>0.2</v>
      </c>
      <c r="K579" s="1">
        <v>10</v>
      </c>
      <c r="L579" s="1" t="s">
        <v>65</v>
      </c>
      <c r="M579" s="1">
        <v>11.285</v>
      </c>
      <c r="N579" s="1">
        <v>43.2</v>
      </c>
      <c r="O579" s="1">
        <v>68.246833330000001</v>
      </c>
      <c r="P579" s="1">
        <v>-167.12166669999999</v>
      </c>
      <c r="Q579" s="1">
        <v>8.6374999999999993</v>
      </c>
      <c r="R579" s="1">
        <v>30.588200000000001</v>
      </c>
      <c r="S579" s="1">
        <v>304.05655410000003</v>
      </c>
      <c r="W579" s="3">
        <v>1.0866</v>
      </c>
      <c r="X579" s="1" t="s">
        <v>2709</v>
      </c>
      <c r="Y579" s="1">
        <v>1.802</v>
      </c>
      <c r="Z579" s="1">
        <v>0.878</v>
      </c>
      <c r="AA579" s="1">
        <v>0.69199999999999995</v>
      </c>
      <c r="AB579" s="1">
        <v>6.3</v>
      </c>
      <c r="AC579" s="1">
        <v>0</v>
      </c>
      <c r="AD579" s="1">
        <v>0.03</v>
      </c>
      <c r="AE579" s="1">
        <v>0.12</v>
      </c>
      <c r="AF579" s="1">
        <v>0.03</v>
      </c>
      <c r="AH579" s="8" t="s">
        <v>2712</v>
      </c>
      <c r="AI579" s="8">
        <v>11</v>
      </c>
      <c r="AJ579" s="8" t="s">
        <v>2713</v>
      </c>
      <c r="AK579" s="8">
        <v>5</v>
      </c>
      <c r="AM579" s="1" t="s">
        <v>2709</v>
      </c>
      <c r="AT579" s="8" t="s">
        <v>1607</v>
      </c>
    </row>
    <row r="580" spans="1:46">
      <c r="A580" s="1" t="s">
        <v>1017</v>
      </c>
      <c r="B580" s="1">
        <v>162</v>
      </c>
      <c r="C580" s="1" t="s">
        <v>1017</v>
      </c>
      <c r="D580" s="1" t="s">
        <v>1018</v>
      </c>
      <c r="E580" s="1" t="s">
        <v>47</v>
      </c>
      <c r="F580" s="1" t="s">
        <v>1013</v>
      </c>
      <c r="G580" s="1" t="s">
        <v>456</v>
      </c>
      <c r="H580" s="2" t="s">
        <v>1014</v>
      </c>
      <c r="I580" s="1">
        <v>87</v>
      </c>
      <c r="J580" s="1">
        <v>0.2</v>
      </c>
      <c r="K580" s="1" t="s">
        <v>65</v>
      </c>
      <c r="L580" s="1" t="s">
        <v>65</v>
      </c>
      <c r="M580" s="1">
        <v>20.010000000000002</v>
      </c>
      <c r="N580" s="1">
        <v>43</v>
      </c>
      <c r="O580" s="1">
        <v>68.242279999999994</v>
      </c>
      <c r="P580" s="1">
        <v>-167.11975000000001</v>
      </c>
      <c r="Q580" s="1">
        <v>1.107</v>
      </c>
      <c r="R580" s="1">
        <v>31.688500000000001</v>
      </c>
      <c r="S580" s="1">
        <v>380.21600000000001</v>
      </c>
      <c r="W580" s="3">
        <v>1.1771</v>
      </c>
      <c r="X580" s="1" t="s">
        <v>1019</v>
      </c>
      <c r="Y580" s="1">
        <v>0.94</v>
      </c>
      <c r="Z580" s="1">
        <v>0.78</v>
      </c>
      <c r="AA580" s="1">
        <v>0.64300000000000002</v>
      </c>
      <c r="AB580" s="1">
        <v>4.2</v>
      </c>
      <c r="AC580" s="1">
        <v>0.4</v>
      </c>
      <c r="AD580" s="1">
        <v>0.02</v>
      </c>
      <c r="AE580" s="1">
        <v>0.51</v>
      </c>
      <c r="AF580" s="1">
        <v>0.42</v>
      </c>
      <c r="AH580" s="1" t="s">
        <v>1020</v>
      </c>
      <c r="AI580" s="1">
        <v>3</v>
      </c>
      <c r="AJ580" s="1" t="s">
        <v>1019</v>
      </c>
      <c r="AK580" s="1">
        <v>2</v>
      </c>
      <c r="AL580" s="1">
        <v>87.5762</v>
      </c>
      <c r="AM580" s="1" t="s">
        <v>1019</v>
      </c>
    </row>
    <row r="581" spans="1:46">
      <c r="A581" s="1" t="s">
        <v>2714</v>
      </c>
      <c r="C581" s="1" t="s">
        <v>2714</v>
      </c>
      <c r="D581" s="1" t="s">
        <v>2715</v>
      </c>
      <c r="E581" s="1" t="s">
        <v>1394</v>
      </c>
      <c r="F581" s="1" t="s">
        <v>1013</v>
      </c>
      <c r="G581" s="1" t="s">
        <v>456</v>
      </c>
      <c r="H581" s="2" t="s">
        <v>2706</v>
      </c>
      <c r="I581" s="1">
        <v>7</v>
      </c>
      <c r="J581" s="1">
        <v>0.2</v>
      </c>
      <c r="K581" s="1">
        <v>30</v>
      </c>
      <c r="L581" s="1" t="s">
        <v>65</v>
      </c>
      <c r="M581" s="1">
        <v>31.513000000000002</v>
      </c>
      <c r="N581" s="1">
        <v>43.2</v>
      </c>
      <c r="O581" s="1">
        <v>68.246833330000001</v>
      </c>
      <c r="P581" s="1">
        <v>-167.12166669999999</v>
      </c>
      <c r="Q581" s="1">
        <v>5.1681499999999998</v>
      </c>
      <c r="R581" s="1">
        <v>32.2547</v>
      </c>
      <c r="S581" s="1">
        <v>289.17550890000001</v>
      </c>
      <c r="W581" s="3">
        <v>0.2591</v>
      </c>
      <c r="X581" s="1" t="s">
        <v>2716</v>
      </c>
      <c r="Y581" s="1">
        <v>0.27</v>
      </c>
      <c r="Z581" s="1">
        <v>0.34399999999999997</v>
      </c>
      <c r="AA581" s="1">
        <v>1.411</v>
      </c>
      <c r="AB581" s="1">
        <v>20.6</v>
      </c>
      <c r="AC581" s="1">
        <v>2.8</v>
      </c>
      <c r="AD581" s="1">
        <v>0.18</v>
      </c>
      <c r="AE581" s="1">
        <v>5.5</v>
      </c>
      <c r="AF581" s="1">
        <v>2.98</v>
      </c>
      <c r="AH581" s="8" t="s">
        <v>2717</v>
      </c>
      <c r="AI581" s="8">
        <v>6</v>
      </c>
      <c r="AJ581" s="8" t="s">
        <v>2718</v>
      </c>
      <c r="AK581" s="8">
        <v>5</v>
      </c>
      <c r="AM581" s="1" t="s">
        <v>2716</v>
      </c>
      <c r="AT581" s="8" t="s">
        <v>1607</v>
      </c>
    </row>
    <row r="582" spans="1:46">
      <c r="A582" s="1" t="s">
        <v>2719</v>
      </c>
      <c r="C582" s="1" t="s">
        <v>2719</v>
      </c>
      <c r="D582" s="1" t="s">
        <v>2720</v>
      </c>
      <c r="E582" s="1" t="s">
        <v>1394</v>
      </c>
      <c r="F582" s="1" t="s">
        <v>1013</v>
      </c>
      <c r="G582" s="1" t="s">
        <v>456</v>
      </c>
      <c r="H582" s="2" t="s">
        <v>2706</v>
      </c>
      <c r="I582" s="1">
        <v>7</v>
      </c>
      <c r="J582" s="1">
        <v>0.2</v>
      </c>
      <c r="K582" s="1">
        <v>40</v>
      </c>
      <c r="L582" s="1" t="s">
        <v>78</v>
      </c>
      <c r="M582" s="1">
        <v>39.494999999999997</v>
      </c>
      <c r="N582" s="1">
        <v>43.2</v>
      </c>
      <c r="O582" s="1">
        <v>68.246833330000001</v>
      </c>
      <c r="P582" s="1">
        <v>-167.12166669999999</v>
      </c>
      <c r="Q582" s="1">
        <v>5.1652500000000003</v>
      </c>
      <c r="R582" s="1">
        <v>32.256</v>
      </c>
      <c r="S582" s="1">
        <v>288.28675500000003</v>
      </c>
      <c r="W582" s="3">
        <v>0.25119999999999998</v>
      </c>
      <c r="X582" s="1" t="s">
        <v>2721</v>
      </c>
      <c r="Y582" s="1">
        <v>0.27900000000000003</v>
      </c>
      <c r="Z582" s="1">
        <v>0.36099999999999999</v>
      </c>
      <c r="AA582" s="1">
        <v>1.3939999999999999</v>
      </c>
      <c r="AB582" s="1">
        <v>20.399999999999999</v>
      </c>
      <c r="AC582" s="1">
        <v>2.8</v>
      </c>
      <c r="AD582" s="1">
        <v>0.18</v>
      </c>
      <c r="AE582" s="1">
        <v>5.4</v>
      </c>
      <c r="AF582" s="1">
        <v>2.98</v>
      </c>
      <c r="AH582" s="8" t="s">
        <v>2722</v>
      </c>
      <c r="AI582" s="8">
        <v>4</v>
      </c>
      <c r="AJ582" s="8" t="s">
        <v>2723</v>
      </c>
      <c r="AK582" s="8">
        <v>5</v>
      </c>
      <c r="AM582" s="1" t="s">
        <v>2721</v>
      </c>
      <c r="AT582" s="8" t="s">
        <v>1607</v>
      </c>
    </row>
    <row r="583" spans="1:46">
      <c r="A583" s="1" t="s">
        <v>1021</v>
      </c>
      <c r="B583" s="1">
        <v>163</v>
      </c>
      <c r="C583" s="1" t="s">
        <v>1021</v>
      </c>
      <c r="D583" s="1" t="s">
        <v>1022</v>
      </c>
      <c r="E583" s="1" t="s">
        <v>47</v>
      </c>
      <c r="F583" s="1" t="s">
        <v>1013</v>
      </c>
      <c r="G583" s="1" t="s">
        <v>456</v>
      </c>
      <c r="H583" s="2" t="s">
        <v>1014</v>
      </c>
      <c r="I583" s="1">
        <v>87</v>
      </c>
      <c r="J583" s="1">
        <v>0.2</v>
      </c>
      <c r="K583" s="1" t="s">
        <v>150</v>
      </c>
      <c r="L583" s="1" t="s">
        <v>78</v>
      </c>
      <c r="M583" s="1">
        <v>39.950000000000003</v>
      </c>
      <c r="N583" s="1">
        <v>43</v>
      </c>
      <c r="O583" s="1">
        <v>68.242279999999994</v>
      </c>
      <c r="P583" s="1">
        <v>-167.11974000000001</v>
      </c>
      <c r="Q583" s="1">
        <v>1.2625</v>
      </c>
      <c r="R583" s="1">
        <v>31.742999999999999</v>
      </c>
      <c r="S583" s="1">
        <v>379.71899999999999</v>
      </c>
      <c r="T583" s="1">
        <v>151.6</v>
      </c>
      <c r="U583" s="1">
        <v>23.36</v>
      </c>
      <c r="V583" s="1">
        <v>16020</v>
      </c>
      <c r="W583" s="3">
        <v>1.3075000000000001</v>
      </c>
      <c r="X583" s="1" t="s">
        <v>1023</v>
      </c>
      <c r="Y583" s="1">
        <v>0.86</v>
      </c>
      <c r="Z583" s="1">
        <v>1</v>
      </c>
      <c r="AA583" s="1">
        <v>0.61299999999999999</v>
      </c>
      <c r="AB583" s="1">
        <v>3.6</v>
      </c>
      <c r="AC583" s="1">
        <v>0.3</v>
      </c>
      <c r="AD583" s="1">
        <v>0.02</v>
      </c>
      <c r="AE583" s="1">
        <v>0.56999999999999995</v>
      </c>
      <c r="AF583" s="1">
        <v>0.32</v>
      </c>
      <c r="AH583" s="1" t="s">
        <v>1024</v>
      </c>
      <c r="AI583" s="1">
        <v>1</v>
      </c>
      <c r="AJ583" s="1" t="s">
        <v>1023</v>
      </c>
      <c r="AK583" s="1">
        <v>2</v>
      </c>
      <c r="AL583" s="1">
        <v>87.269599999999997</v>
      </c>
      <c r="AM583" s="1" t="s">
        <v>1023</v>
      </c>
      <c r="AN583" s="1">
        <v>6.4897260273972597</v>
      </c>
      <c r="AO583" s="1">
        <v>0.97958128715430404</v>
      </c>
    </row>
    <row r="584" spans="1:46">
      <c r="A584" s="1" t="s">
        <v>1025</v>
      </c>
      <c r="B584" s="1">
        <v>158</v>
      </c>
      <c r="C584" s="1" t="s">
        <v>1025</v>
      </c>
      <c r="D584" s="1" t="s">
        <v>1026</v>
      </c>
      <c r="E584" s="1" t="s">
        <v>47</v>
      </c>
      <c r="F584" s="1" t="s">
        <v>304</v>
      </c>
      <c r="G584" s="1" t="s">
        <v>456</v>
      </c>
      <c r="H584" s="2" t="s">
        <v>1027</v>
      </c>
      <c r="I584" s="1">
        <v>86</v>
      </c>
      <c r="J584" s="1">
        <v>0.2</v>
      </c>
      <c r="K584" s="1" t="s">
        <v>52</v>
      </c>
      <c r="L584" s="1" t="s">
        <v>52</v>
      </c>
      <c r="M584" s="1">
        <v>2.59</v>
      </c>
      <c r="N584" s="1">
        <v>48</v>
      </c>
      <c r="O584" s="1">
        <v>68.18544</v>
      </c>
      <c r="P584" s="1">
        <v>-167.31098</v>
      </c>
      <c r="Q584" s="1">
        <v>3.0960000000000001</v>
      </c>
      <c r="R584" s="1">
        <v>32.1815</v>
      </c>
      <c r="S584" s="1">
        <v>359.64100000000002</v>
      </c>
      <c r="T584" s="1">
        <v>148.08000000000001</v>
      </c>
      <c r="U584" s="1">
        <v>25.74</v>
      </c>
      <c r="V584" s="1">
        <v>2000</v>
      </c>
      <c r="W584" s="3">
        <v>0.50129999999999997</v>
      </c>
      <c r="X584" s="1" t="s">
        <v>1028</v>
      </c>
      <c r="Y584" s="1">
        <v>0.37</v>
      </c>
      <c r="Z584" s="1">
        <v>0.39</v>
      </c>
      <c r="AA584" s="1">
        <v>0.53900000000000003</v>
      </c>
      <c r="AB584" s="1">
        <v>1.8</v>
      </c>
      <c r="AC584" s="1">
        <v>0</v>
      </c>
      <c r="AD584" s="1">
        <v>0.01</v>
      </c>
      <c r="AE584" s="1">
        <v>0.2</v>
      </c>
      <c r="AF584" s="1">
        <v>0.01</v>
      </c>
      <c r="AH584" s="1" t="s">
        <v>1029</v>
      </c>
      <c r="AI584" s="1">
        <v>5</v>
      </c>
      <c r="AJ584" s="1" t="s">
        <v>1028</v>
      </c>
      <c r="AK584" s="1">
        <v>2</v>
      </c>
      <c r="AL584" s="1">
        <v>87.7517</v>
      </c>
      <c r="AM584" s="1" t="s">
        <v>1028</v>
      </c>
      <c r="AN584" s="1">
        <v>5.7529137529137504</v>
      </c>
      <c r="AO584" s="1">
        <v>0.868364340062453</v>
      </c>
    </row>
    <row r="585" spans="1:46">
      <c r="A585" s="1" t="s">
        <v>2724</v>
      </c>
      <c r="C585" s="1" t="s">
        <v>2724</v>
      </c>
      <c r="D585" s="1" t="s">
        <v>2725</v>
      </c>
      <c r="E585" s="1" t="s">
        <v>1394</v>
      </c>
      <c r="F585" s="1" t="s">
        <v>304</v>
      </c>
      <c r="G585" s="1" t="s">
        <v>456</v>
      </c>
      <c r="H585" s="2" t="s">
        <v>2726</v>
      </c>
      <c r="I585" s="1">
        <v>6</v>
      </c>
      <c r="J585" s="1">
        <v>0.2</v>
      </c>
      <c r="K585" s="1">
        <v>5</v>
      </c>
      <c r="L585" s="1" t="s">
        <v>52</v>
      </c>
      <c r="M585" s="1">
        <v>3.895</v>
      </c>
      <c r="N585" s="1">
        <v>47.9</v>
      </c>
      <c r="O585" s="1">
        <v>68.186666669999994</v>
      </c>
      <c r="P585" s="1">
        <v>-167.29499999999999</v>
      </c>
      <c r="Q585" s="1">
        <v>7.4497</v>
      </c>
      <c r="R585" s="1">
        <v>31.078150000000001</v>
      </c>
      <c r="S585" s="1">
        <v>318.50885369999997</v>
      </c>
      <c r="W585" s="3">
        <v>1.2699</v>
      </c>
      <c r="X585" s="1" t="s">
        <v>2727</v>
      </c>
      <c r="Y585" s="1">
        <v>3.21</v>
      </c>
      <c r="Z585" s="1">
        <v>1.141</v>
      </c>
      <c r="AA585" s="1">
        <v>0.748</v>
      </c>
      <c r="AB585" s="1">
        <v>8.6</v>
      </c>
      <c r="AC585" s="1">
        <v>0.3</v>
      </c>
      <c r="AD585" s="1">
        <v>0.05</v>
      </c>
      <c r="AE585" s="1">
        <v>0.2</v>
      </c>
      <c r="AF585" s="1">
        <v>0.35</v>
      </c>
      <c r="AH585" s="8" t="s">
        <v>2728</v>
      </c>
      <c r="AI585" s="8">
        <v>12</v>
      </c>
      <c r="AJ585" s="8" t="s">
        <v>2729</v>
      </c>
      <c r="AK585" s="8">
        <v>2.5</v>
      </c>
      <c r="AM585" s="1" t="s">
        <v>2727</v>
      </c>
      <c r="AT585" s="8" t="s">
        <v>1607</v>
      </c>
    </row>
    <row r="586" spans="1:46">
      <c r="A586" s="1" t="s">
        <v>2730</v>
      </c>
      <c r="C586" s="1" t="s">
        <v>2730</v>
      </c>
      <c r="D586" s="1" t="s">
        <v>2731</v>
      </c>
      <c r="E586" s="1" t="s">
        <v>1466</v>
      </c>
      <c r="F586" s="1" t="s">
        <v>304</v>
      </c>
      <c r="G586" s="1" t="s">
        <v>456</v>
      </c>
      <c r="H586" s="2" t="s">
        <v>2732</v>
      </c>
      <c r="I586" s="1">
        <v>6</v>
      </c>
      <c r="J586" s="1">
        <v>0.2</v>
      </c>
      <c r="K586" s="1" t="s">
        <v>1488</v>
      </c>
      <c r="L586" s="1" t="s">
        <v>65</v>
      </c>
      <c r="M586" s="1">
        <v>14.718999999999999</v>
      </c>
      <c r="N586" s="1">
        <v>48</v>
      </c>
      <c r="O586" s="1">
        <v>68.186139999999995</v>
      </c>
      <c r="P586" s="1">
        <v>-167.30731</v>
      </c>
      <c r="Q586" s="1">
        <v>7.7362000000000002</v>
      </c>
      <c r="R586" s="1">
        <v>31.813700000000001</v>
      </c>
      <c r="S586" s="1">
        <v>284.59050000000002</v>
      </c>
      <c r="W586" s="3">
        <v>1.1759999999999999</v>
      </c>
      <c r="X586" s="1" t="s">
        <v>2733</v>
      </c>
      <c r="AI586" s="1">
        <v>9</v>
      </c>
      <c r="AJ586" s="1" t="s">
        <v>2733</v>
      </c>
      <c r="AK586" s="1">
        <v>1</v>
      </c>
      <c r="AL586" s="1">
        <v>85.641099999999994</v>
      </c>
      <c r="AM586" s="1" t="s">
        <v>2733</v>
      </c>
      <c r="AP586" s="1" t="s">
        <v>2734</v>
      </c>
      <c r="AR586" s="1">
        <v>10.58</v>
      </c>
      <c r="AT586" s="1">
        <v>15</v>
      </c>
    </row>
    <row r="587" spans="1:46">
      <c r="A587" s="1" t="s">
        <v>2735</v>
      </c>
      <c r="C587" s="1" t="s">
        <v>2735</v>
      </c>
      <c r="D587" s="1" t="s">
        <v>2736</v>
      </c>
      <c r="E587" s="1" t="s">
        <v>1394</v>
      </c>
      <c r="F587" s="1" t="s">
        <v>304</v>
      </c>
      <c r="G587" s="1" t="s">
        <v>456</v>
      </c>
      <c r="H587" s="2" t="s">
        <v>2726</v>
      </c>
      <c r="I587" s="1">
        <v>6</v>
      </c>
      <c r="J587" s="1">
        <v>0.2</v>
      </c>
      <c r="K587" s="1">
        <v>20</v>
      </c>
      <c r="L587" s="1" t="s">
        <v>65</v>
      </c>
      <c r="M587" s="1">
        <v>20.484999999999999</v>
      </c>
      <c r="N587" s="1">
        <v>47.9</v>
      </c>
      <c r="O587" s="1">
        <v>68.186666669999994</v>
      </c>
      <c r="P587" s="1">
        <v>-167.29499999999999</v>
      </c>
      <c r="Q587" s="1">
        <v>6.6966999999999999</v>
      </c>
      <c r="R587" s="1">
        <v>31.46275</v>
      </c>
      <c r="S587" s="1">
        <v>322.2693099</v>
      </c>
      <c r="W587" s="3">
        <v>1.2426999999999999</v>
      </c>
      <c r="X587" s="1" t="s">
        <v>2737</v>
      </c>
      <c r="Y587" s="1">
        <v>2.85</v>
      </c>
      <c r="Z587" s="1">
        <v>0.94699999999999995</v>
      </c>
      <c r="AA587" s="1">
        <v>0.84699999999999998</v>
      </c>
      <c r="AB587" s="1">
        <v>10.4</v>
      </c>
      <c r="AC587" s="1">
        <v>0.9</v>
      </c>
      <c r="AD587" s="1">
        <v>0.08</v>
      </c>
      <c r="AE587" s="1">
        <v>0.62</v>
      </c>
      <c r="AF587" s="1">
        <v>0.98</v>
      </c>
      <c r="AH587" s="8" t="s">
        <v>2738</v>
      </c>
      <c r="AI587" s="8">
        <v>8</v>
      </c>
      <c r="AJ587" s="8" t="s">
        <v>2739</v>
      </c>
      <c r="AK587" s="8">
        <v>2.5</v>
      </c>
      <c r="AM587" s="1" t="s">
        <v>2737</v>
      </c>
      <c r="AT587" s="8" t="s">
        <v>1607</v>
      </c>
    </row>
    <row r="588" spans="1:46">
      <c r="A588" s="1" t="s">
        <v>2740</v>
      </c>
      <c r="C588" s="1" t="s">
        <v>2740</v>
      </c>
      <c r="D588" s="1" t="s">
        <v>2741</v>
      </c>
      <c r="E588" s="1" t="s">
        <v>1394</v>
      </c>
      <c r="F588" s="1" t="s">
        <v>304</v>
      </c>
      <c r="G588" s="1" t="s">
        <v>456</v>
      </c>
      <c r="H588" s="2" t="s">
        <v>2726</v>
      </c>
      <c r="I588" s="1">
        <v>6</v>
      </c>
      <c r="J588" s="1">
        <v>0.2</v>
      </c>
      <c r="K588" s="1" t="s">
        <v>78</v>
      </c>
      <c r="L588" s="1" t="s">
        <v>78</v>
      </c>
      <c r="M588" s="1">
        <v>44.262</v>
      </c>
      <c r="N588" s="1">
        <v>47.9</v>
      </c>
      <c r="O588" s="1">
        <v>68.186666669999994</v>
      </c>
      <c r="P588" s="1">
        <v>-167.29499999999999</v>
      </c>
      <c r="Q588" s="1">
        <v>4.9208999999999996</v>
      </c>
      <c r="R588" s="1">
        <v>32.310899999999997</v>
      </c>
      <c r="S588" s="1">
        <v>275.83526819999997</v>
      </c>
      <c r="W588" s="3">
        <v>0.24959999999999999</v>
      </c>
      <c r="X588" s="1" t="s">
        <v>2742</v>
      </c>
      <c r="Y588" s="1">
        <v>0.25800000000000001</v>
      </c>
      <c r="Z588" s="1">
        <v>0.50600000000000001</v>
      </c>
      <c r="AA588" s="1">
        <v>1.575</v>
      </c>
      <c r="AB588" s="1">
        <v>25.3</v>
      </c>
      <c r="AC588" s="1">
        <v>3.7</v>
      </c>
      <c r="AD588" s="1">
        <v>0.22</v>
      </c>
      <c r="AE588" s="1">
        <v>5.87</v>
      </c>
      <c r="AF588" s="1">
        <v>3.92</v>
      </c>
      <c r="AH588" s="8" t="s">
        <v>2743</v>
      </c>
      <c r="AI588" s="8">
        <v>4</v>
      </c>
      <c r="AJ588" s="8" t="s">
        <v>2744</v>
      </c>
      <c r="AK588" s="8">
        <v>2.5</v>
      </c>
      <c r="AM588" s="1" t="s">
        <v>2742</v>
      </c>
      <c r="AT588" s="8" t="s">
        <v>1607</v>
      </c>
    </row>
    <row r="589" spans="1:46">
      <c r="A589" s="1" t="s">
        <v>1030</v>
      </c>
      <c r="B589" s="1">
        <v>160</v>
      </c>
      <c r="C589" s="1" t="s">
        <v>1030</v>
      </c>
      <c r="D589" s="1" t="s">
        <v>1031</v>
      </c>
      <c r="E589" s="1" t="s">
        <v>47</v>
      </c>
      <c r="F589" s="1" t="s">
        <v>304</v>
      </c>
      <c r="G589" s="1" t="s">
        <v>456</v>
      </c>
      <c r="H589" s="2" t="s">
        <v>1027</v>
      </c>
      <c r="I589" s="1">
        <v>86</v>
      </c>
      <c r="J589" s="1">
        <v>0.2</v>
      </c>
      <c r="K589" s="1" t="s">
        <v>150</v>
      </c>
      <c r="L589" s="1" t="s">
        <v>78</v>
      </c>
      <c r="M589" s="1">
        <v>44.88</v>
      </c>
      <c r="N589" s="1">
        <v>48</v>
      </c>
      <c r="O589" s="1">
        <v>68.18544</v>
      </c>
      <c r="P589" s="1">
        <v>-167.31098</v>
      </c>
      <c r="Q589" s="1">
        <v>2.4264999999999999</v>
      </c>
      <c r="R589" s="1">
        <v>32.2395</v>
      </c>
      <c r="S589" s="1">
        <v>360.41500000000002</v>
      </c>
      <c r="T589" s="1">
        <v>184.16</v>
      </c>
      <c r="U589" s="1">
        <v>28.6</v>
      </c>
      <c r="V589" s="1">
        <v>2360</v>
      </c>
      <c r="W589" s="3">
        <v>1.3344</v>
      </c>
      <c r="X589" s="1" t="s">
        <v>1032</v>
      </c>
      <c r="Y589" s="1">
        <v>1.17</v>
      </c>
      <c r="Z589" s="1">
        <v>0.26</v>
      </c>
      <c r="AA589" s="1">
        <v>0.68899999999999995</v>
      </c>
      <c r="AB589" s="1">
        <v>2.2000000000000002</v>
      </c>
      <c r="AC589" s="1">
        <v>0.1</v>
      </c>
      <c r="AD589" s="1">
        <v>0.02</v>
      </c>
      <c r="AE589" s="1">
        <v>0.95</v>
      </c>
      <c r="AF589" s="1">
        <v>0.12</v>
      </c>
      <c r="AH589" s="1" t="s">
        <v>1033</v>
      </c>
      <c r="AI589" s="1">
        <v>1</v>
      </c>
      <c r="AJ589" s="1" t="s">
        <v>1032</v>
      </c>
      <c r="AK589" s="1">
        <v>2</v>
      </c>
      <c r="AL589" s="1">
        <v>85.198800000000006</v>
      </c>
      <c r="AM589" s="1" t="s">
        <v>1032</v>
      </c>
      <c r="AN589" s="1">
        <v>6.4391608391608397</v>
      </c>
      <c r="AO589" s="1">
        <v>0.97194880591107002</v>
      </c>
    </row>
    <row r="590" spans="1:46">
      <c r="A590" s="1" t="s">
        <v>2745</v>
      </c>
      <c r="C590" s="1" t="s">
        <v>2745</v>
      </c>
      <c r="D590" s="1" t="s">
        <v>2746</v>
      </c>
      <c r="E590" s="1" t="s">
        <v>1466</v>
      </c>
      <c r="F590" s="1" t="s">
        <v>304</v>
      </c>
      <c r="G590" s="1" t="s">
        <v>456</v>
      </c>
      <c r="H590" s="2" t="s">
        <v>2747</v>
      </c>
      <c r="I590" s="1">
        <v>6</v>
      </c>
      <c r="J590" s="1">
        <v>0.2</v>
      </c>
      <c r="K590" s="1" t="s">
        <v>78</v>
      </c>
      <c r="L590" s="1" t="s">
        <v>78</v>
      </c>
      <c r="M590" s="1">
        <v>45.152000000000001</v>
      </c>
      <c r="N590" s="1">
        <v>48</v>
      </c>
      <c r="O590" s="1">
        <v>68.186080000000004</v>
      </c>
      <c r="P590" s="1">
        <v>-167.30599000000001</v>
      </c>
      <c r="Q590" s="1">
        <v>7.6932</v>
      </c>
      <c r="R590" s="1">
        <v>31.846350000000001</v>
      </c>
      <c r="S590" s="1">
        <v>280.63900000000001</v>
      </c>
      <c r="W590" s="3">
        <v>0.59499999999999997</v>
      </c>
      <c r="X590" s="1" t="s">
        <v>2748</v>
      </c>
      <c r="Y590" s="1">
        <v>1.19</v>
      </c>
      <c r="AA590" s="1">
        <v>0.59</v>
      </c>
      <c r="AB590" s="1">
        <v>8.68</v>
      </c>
      <c r="AE590" s="1">
        <v>1.54</v>
      </c>
      <c r="AF590" s="1">
        <v>2.36</v>
      </c>
      <c r="AI590" s="1">
        <v>1</v>
      </c>
      <c r="AJ590" s="1" t="s">
        <v>2748</v>
      </c>
      <c r="AK590" s="1">
        <v>1</v>
      </c>
      <c r="AL590" s="1">
        <v>82.576800000000006</v>
      </c>
      <c r="AM590" s="1" t="s">
        <v>2748</v>
      </c>
      <c r="AP590" s="1" t="s">
        <v>2749</v>
      </c>
      <c r="AQ590" s="1">
        <v>-1.1599999999999999</v>
      </c>
      <c r="AR590" s="1">
        <v>10.58</v>
      </c>
      <c r="AT590" s="1">
        <v>45</v>
      </c>
    </row>
    <row r="591" spans="1:46">
      <c r="A591" s="1" t="s">
        <v>1034</v>
      </c>
      <c r="B591" s="1">
        <v>153</v>
      </c>
      <c r="C591" s="1" t="s">
        <v>1034</v>
      </c>
      <c r="D591" s="1" t="s">
        <v>1035</v>
      </c>
      <c r="E591" s="1" t="s">
        <v>47</v>
      </c>
      <c r="F591" s="1" t="s">
        <v>1036</v>
      </c>
      <c r="G591" s="1" t="s">
        <v>456</v>
      </c>
      <c r="H591" s="2" t="s">
        <v>1037</v>
      </c>
      <c r="I591" s="1">
        <v>85</v>
      </c>
      <c r="J591" s="1">
        <v>0.2</v>
      </c>
      <c r="K591" s="1" t="s">
        <v>52</v>
      </c>
      <c r="L591" s="1" t="s">
        <v>52</v>
      </c>
      <c r="M591" s="1">
        <v>2.97</v>
      </c>
      <c r="N591" s="1">
        <v>49</v>
      </c>
      <c r="O591" s="1">
        <v>68.128159999999994</v>
      </c>
      <c r="P591" s="1">
        <v>-167.501</v>
      </c>
      <c r="Q591" s="1">
        <v>5.6550000000000002</v>
      </c>
      <c r="R591" s="1">
        <v>32.177</v>
      </c>
      <c r="S591" s="1">
        <v>312.37400000000002</v>
      </c>
      <c r="T591" s="1">
        <v>171.8</v>
      </c>
      <c r="U591" s="1">
        <v>29.64</v>
      </c>
      <c r="V591" s="1">
        <v>2360</v>
      </c>
      <c r="W591" s="3">
        <v>0.13900000000000001</v>
      </c>
      <c r="X591" s="1" t="s">
        <v>1038</v>
      </c>
      <c r="Y591" s="1">
        <v>0.27</v>
      </c>
      <c r="Z591" s="1">
        <v>0.12</v>
      </c>
      <c r="AA591" s="1">
        <v>0.36399999999999999</v>
      </c>
      <c r="AB591" s="1">
        <v>1</v>
      </c>
      <c r="AC591" s="1">
        <v>0.1</v>
      </c>
      <c r="AD591" s="1">
        <v>0</v>
      </c>
      <c r="AE591" s="1">
        <v>0.16</v>
      </c>
      <c r="AF591" s="1">
        <v>0.1</v>
      </c>
      <c r="AH591" s="1" t="s">
        <v>1039</v>
      </c>
      <c r="AI591" s="1">
        <v>6</v>
      </c>
      <c r="AJ591" s="1" t="s">
        <v>1038</v>
      </c>
      <c r="AK591" s="1">
        <v>1.7</v>
      </c>
      <c r="AL591" s="1">
        <v>92.686899999999994</v>
      </c>
      <c r="AM591" s="1" t="s">
        <v>1038</v>
      </c>
      <c r="AN591" s="1">
        <v>5.79622132253711</v>
      </c>
      <c r="AO591" s="1">
        <v>0.87490133170371498</v>
      </c>
    </row>
    <row r="592" spans="1:46">
      <c r="A592" s="1" t="s">
        <v>2750</v>
      </c>
      <c r="C592" s="1" t="s">
        <v>2750</v>
      </c>
      <c r="D592" s="1" t="s">
        <v>2751</v>
      </c>
      <c r="E592" s="1" t="s">
        <v>1466</v>
      </c>
      <c r="F592" s="1" t="s">
        <v>1036</v>
      </c>
      <c r="G592" s="1" t="s">
        <v>456</v>
      </c>
      <c r="H592" s="2" t="s">
        <v>2752</v>
      </c>
      <c r="I592" s="1">
        <v>5</v>
      </c>
      <c r="J592" s="1">
        <v>0.2</v>
      </c>
      <c r="K592" s="1" t="s">
        <v>52</v>
      </c>
      <c r="L592" s="1" t="s">
        <v>52</v>
      </c>
      <c r="M592" s="1">
        <v>4.5339999999999998</v>
      </c>
      <c r="N592" s="1">
        <v>51</v>
      </c>
      <c r="O592" s="1">
        <v>68.124480000000005</v>
      </c>
      <c r="P592" s="1">
        <v>-167.49804</v>
      </c>
      <c r="Q592" s="1">
        <v>9.6226500000000001</v>
      </c>
      <c r="R592" s="1">
        <v>31.718399999999999</v>
      </c>
      <c r="S592" s="1">
        <v>289.471</v>
      </c>
      <c r="W592" s="3">
        <v>0.72899999999999998</v>
      </c>
      <c r="X592" s="1" t="s">
        <v>2753</v>
      </c>
      <c r="Y592" s="1">
        <v>1.92</v>
      </c>
      <c r="AA592" s="1">
        <v>0.19</v>
      </c>
      <c r="AB592" s="1">
        <v>2.4700000000000002</v>
      </c>
      <c r="AE592" s="1">
        <v>0.69</v>
      </c>
      <c r="AF592" s="1">
        <v>0.33</v>
      </c>
      <c r="AI592" s="1">
        <v>13</v>
      </c>
      <c r="AJ592" s="1" t="s">
        <v>2753</v>
      </c>
      <c r="AK592" s="1">
        <v>1.5</v>
      </c>
      <c r="AL592" s="1">
        <v>89.146600000000007</v>
      </c>
      <c r="AM592" s="1" t="s">
        <v>2753</v>
      </c>
      <c r="AP592" s="1" t="s">
        <v>2754</v>
      </c>
      <c r="AQ592" s="1">
        <v>-1.1100000000000001</v>
      </c>
      <c r="AR592" s="1">
        <v>10.65</v>
      </c>
      <c r="AT592" s="1">
        <v>4</v>
      </c>
    </row>
    <row r="593" spans="1:46">
      <c r="A593" s="1" t="s">
        <v>2755</v>
      </c>
      <c r="C593" s="1" t="s">
        <v>2755</v>
      </c>
      <c r="D593" s="1" t="s">
        <v>2756</v>
      </c>
      <c r="E593" s="1" t="s">
        <v>1394</v>
      </c>
      <c r="F593" s="1" t="s">
        <v>1036</v>
      </c>
      <c r="G593" s="1" t="s">
        <v>456</v>
      </c>
      <c r="H593" s="2" t="s">
        <v>2757</v>
      </c>
      <c r="I593" s="1">
        <v>5</v>
      </c>
      <c r="J593" s="1">
        <v>0.2</v>
      </c>
      <c r="K593" s="1">
        <v>5</v>
      </c>
      <c r="L593" s="1" t="s">
        <v>52</v>
      </c>
      <c r="M593" s="1">
        <v>5.6749999999999998</v>
      </c>
      <c r="N593" s="1">
        <v>49.4</v>
      </c>
      <c r="O593" s="1">
        <v>68.132833329999997</v>
      </c>
      <c r="P593" s="1">
        <v>-167.48699999999999</v>
      </c>
      <c r="Q593" s="1">
        <v>5.5425000000000004</v>
      </c>
      <c r="R593" s="1">
        <v>31.981999999999999</v>
      </c>
      <c r="S593" s="1">
        <v>319.0894467</v>
      </c>
      <c r="W593" s="3">
        <v>0.73360000000000003</v>
      </c>
      <c r="X593" s="1" t="s">
        <v>2758</v>
      </c>
      <c r="Y593" s="1">
        <v>1.536</v>
      </c>
      <c r="Z593" s="1">
        <v>0.64400000000000002</v>
      </c>
      <c r="AA593" s="1">
        <v>1.17</v>
      </c>
      <c r="AB593" s="1">
        <v>15.5</v>
      </c>
      <c r="AC593" s="1">
        <v>2.5</v>
      </c>
      <c r="AD593" s="1">
        <v>0.14000000000000001</v>
      </c>
      <c r="AE593" s="1">
        <v>3.11</v>
      </c>
      <c r="AF593" s="1">
        <v>2.64</v>
      </c>
      <c r="AH593" s="8" t="s">
        <v>2759</v>
      </c>
      <c r="AI593" s="8">
        <v>14</v>
      </c>
      <c r="AJ593" s="8" t="s">
        <v>2760</v>
      </c>
      <c r="AK593" s="8">
        <v>2.5</v>
      </c>
      <c r="AM593" s="1" t="s">
        <v>2758</v>
      </c>
      <c r="AT593" s="8" t="s">
        <v>1607</v>
      </c>
    </row>
    <row r="594" spans="1:46">
      <c r="A594" s="1" t="s">
        <v>1040</v>
      </c>
      <c r="B594" s="1">
        <v>154</v>
      </c>
      <c r="C594" s="1" t="s">
        <v>1040</v>
      </c>
      <c r="D594" s="1" t="s">
        <v>1041</v>
      </c>
      <c r="E594" s="1" t="s">
        <v>47</v>
      </c>
      <c r="F594" s="1" t="s">
        <v>1036</v>
      </c>
      <c r="G594" s="1" t="s">
        <v>456</v>
      </c>
      <c r="H594" s="2" t="s">
        <v>1037</v>
      </c>
      <c r="I594" s="1">
        <v>85</v>
      </c>
      <c r="J594" s="1">
        <v>0.2</v>
      </c>
      <c r="K594" s="1" t="s">
        <v>1042</v>
      </c>
      <c r="L594" s="1" t="s">
        <v>65</v>
      </c>
      <c r="M594" s="1">
        <v>10.220000000000001</v>
      </c>
      <c r="N594" s="1">
        <v>49</v>
      </c>
      <c r="O594" s="1">
        <v>68.128159999999994</v>
      </c>
      <c r="P594" s="1">
        <v>-167.501</v>
      </c>
      <c r="Q594" s="1">
        <v>5.6574999999999998</v>
      </c>
      <c r="R594" s="1">
        <v>32.1785</v>
      </c>
      <c r="S594" s="1">
        <v>310.80599999999998</v>
      </c>
      <c r="W594" s="3">
        <v>0.21609999999999999</v>
      </c>
      <c r="X594" s="1" t="s">
        <v>1043</v>
      </c>
      <c r="Y594" s="1">
        <v>0.26</v>
      </c>
      <c r="Z594" s="1">
        <v>0.2</v>
      </c>
      <c r="AA594" s="1">
        <v>0.377</v>
      </c>
      <c r="AB594" s="1">
        <v>1</v>
      </c>
      <c r="AC594" s="1">
        <v>0.1</v>
      </c>
      <c r="AD594" s="1">
        <v>0</v>
      </c>
      <c r="AE594" s="1">
        <v>0.14000000000000001</v>
      </c>
      <c r="AF594" s="1">
        <v>0.1</v>
      </c>
      <c r="AH594" s="1" t="s">
        <v>1044</v>
      </c>
      <c r="AI594" s="1">
        <v>5</v>
      </c>
      <c r="AJ594" s="1" t="s">
        <v>1043</v>
      </c>
      <c r="AK594" s="1">
        <v>1.7</v>
      </c>
      <c r="AL594" s="1">
        <v>92.958299999999994</v>
      </c>
      <c r="AM594" s="1" t="s">
        <v>1043</v>
      </c>
    </row>
    <row r="595" spans="1:46">
      <c r="A595" s="1" t="s">
        <v>2761</v>
      </c>
      <c r="C595" s="1" t="s">
        <v>2761</v>
      </c>
      <c r="D595" s="1" t="s">
        <v>2762</v>
      </c>
      <c r="E595" s="1" t="s">
        <v>1466</v>
      </c>
      <c r="F595" s="1" t="s">
        <v>1036</v>
      </c>
      <c r="G595" s="1" t="s">
        <v>456</v>
      </c>
      <c r="H595" s="2" t="s">
        <v>2763</v>
      </c>
      <c r="I595" s="1">
        <v>5</v>
      </c>
      <c r="J595" s="1">
        <v>0.2</v>
      </c>
      <c r="L595" s="1" t="s">
        <v>65</v>
      </c>
      <c r="M595" s="1">
        <v>10.401</v>
      </c>
      <c r="N595" s="1">
        <v>51</v>
      </c>
      <c r="O595" s="1">
        <v>68.124399999999994</v>
      </c>
      <c r="P595" s="1">
        <v>-167.49799999999999</v>
      </c>
      <c r="Q595" s="1">
        <v>9.0519499999999997</v>
      </c>
      <c r="R595" s="1">
        <v>31.717949999999998</v>
      </c>
      <c r="S595" s="1">
        <v>291.9545</v>
      </c>
      <c r="W595" s="3">
        <v>1.24</v>
      </c>
      <c r="X595" s="1" t="s">
        <v>2764</v>
      </c>
      <c r="Y595" s="1">
        <v>1.98</v>
      </c>
      <c r="AA595" s="1">
        <v>0.17</v>
      </c>
      <c r="AB595" s="1">
        <v>2.4700000000000002</v>
      </c>
      <c r="AE595" s="1">
        <v>0.73</v>
      </c>
      <c r="AF595" s="1">
        <v>0.24</v>
      </c>
      <c r="AI595" s="1">
        <v>11</v>
      </c>
      <c r="AJ595" s="1" t="s">
        <v>2764</v>
      </c>
      <c r="AK595" s="1">
        <v>1.5</v>
      </c>
      <c r="AL595" s="1">
        <v>89.556700000000006</v>
      </c>
      <c r="AM595" s="1" t="s">
        <v>2764</v>
      </c>
      <c r="AP595" s="1" t="s">
        <v>2765</v>
      </c>
      <c r="AR595" s="1">
        <v>10.65</v>
      </c>
      <c r="AT595" s="1">
        <v>10</v>
      </c>
    </row>
    <row r="596" spans="1:46">
      <c r="A596" s="1" t="s">
        <v>2766</v>
      </c>
      <c r="C596" s="1" t="s">
        <v>2766</v>
      </c>
      <c r="D596" s="1" t="s">
        <v>2767</v>
      </c>
      <c r="E596" s="1" t="s">
        <v>1394</v>
      </c>
      <c r="F596" s="1" t="s">
        <v>1036</v>
      </c>
      <c r="G596" s="1" t="s">
        <v>456</v>
      </c>
      <c r="H596" s="2" t="s">
        <v>2757</v>
      </c>
      <c r="I596" s="1">
        <v>5</v>
      </c>
      <c r="J596" s="1">
        <v>0.2</v>
      </c>
      <c r="K596" s="1">
        <v>10</v>
      </c>
      <c r="L596" s="1" t="s">
        <v>65</v>
      </c>
      <c r="M596" s="1">
        <v>10.759</v>
      </c>
      <c r="N596" s="1">
        <v>49.4</v>
      </c>
      <c r="O596" s="1">
        <v>68.132833329999997</v>
      </c>
      <c r="P596" s="1">
        <v>-167.48699999999999</v>
      </c>
      <c r="Q596" s="1">
        <v>5.5429000000000004</v>
      </c>
      <c r="R596" s="1">
        <v>31.997</v>
      </c>
      <c r="S596" s="1">
        <v>318.63837059999997</v>
      </c>
      <c r="W596" s="3">
        <v>0.74790000000000001</v>
      </c>
      <c r="X596" s="1" t="s">
        <v>2764</v>
      </c>
      <c r="Y596" s="1">
        <v>1.6</v>
      </c>
      <c r="Z596" s="1">
        <v>0.70699999999999996</v>
      </c>
      <c r="AA596" s="1">
        <v>1.1679999999999999</v>
      </c>
      <c r="AB596" s="1">
        <v>15.5</v>
      </c>
      <c r="AC596" s="1">
        <v>2.5</v>
      </c>
      <c r="AD596" s="1">
        <v>0.14000000000000001</v>
      </c>
      <c r="AE596" s="1">
        <v>3.06</v>
      </c>
      <c r="AF596" s="1">
        <v>2.64</v>
      </c>
      <c r="AH596" s="8" t="s">
        <v>2768</v>
      </c>
      <c r="AI596" s="8">
        <v>12</v>
      </c>
      <c r="AJ596" s="8" t="s">
        <v>2769</v>
      </c>
      <c r="AK596" s="8">
        <v>3.4</v>
      </c>
      <c r="AM596" s="1" t="s">
        <v>2764</v>
      </c>
      <c r="AT596" s="8" t="s">
        <v>1607</v>
      </c>
    </row>
    <row r="597" spans="1:46">
      <c r="A597" s="1" t="s">
        <v>2770</v>
      </c>
      <c r="C597" s="1" t="s">
        <v>2770</v>
      </c>
      <c r="D597" s="1" t="s">
        <v>2771</v>
      </c>
      <c r="E597" s="1" t="s">
        <v>1466</v>
      </c>
      <c r="F597" s="1" t="s">
        <v>1036</v>
      </c>
      <c r="G597" s="1" t="s">
        <v>456</v>
      </c>
      <c r="H597" s="2" t="s">
        <v>2772</v>
      </c>
      <c r="I597" s="1">
        <v>5</v>
      </c>
      <c r="J597" s="1">
        <v>0.2</v>
      </c>
      <c r="K597" s="1" t="s">
        <v>1488</v>
      </c>
      <c r="L597" s="1" t="s">
        <v>65</v>
      </c>
      <c r="M597" s="1">
        <v>16.404</v>
      </c>
      <c r="N597" s="1">
        <v>51</v>
      </c>
      <c r="O597" s="1">
        <v>68.124459999999999</v>
      </c>
      <c r="P597" s="1">
        <v>-167.49789999999999</v>
      </c>
      <c r="Q597" s="1">
        <v>7.8657000000000004</v>
      </c>
      <c r="R597" s="1">
        <v>31.781849999999999</v>
      </c>
      <c r="S597" s="1">
        <v>284.79849999999999</v>
      </c>
      <c r="W597" s="3">
        <v>1.325</v>
      </c>
      <c r="X597" s="1" t="s">
        <v>2773</v>
      </c>
      <c r="AI597" s="1">
        <v>9</v>
      </c>
      <c r="AJ597" s="1" t="s">
        <v>2773</v>
      </c>
      <c r="AK597" s="1">
        <v>1.5</v>
      </c>
      <c r="AL597" s="1">
        <v>90.064499999999995</v>
      </c>
      <c r="AM597" s="1" t="s">
        <v>2773</v>
      </c>
      <c r="AP597" s="1" t="s">
        <v>2774</v>
      </c>
      <c r="AR597" s="1">
        <v>10.65</v>
      </c>
      <c r="AT597" s="1">
        <v>16</v>
      </c>
    </row>
    <row r="598" spans="1:46">
      <c r="A598" s="1" t="s">
        <v>1045</v>
      </c>
      <c r="B598" s="1">
        <v>155</v>
      </c>
      <c r="C598" s="1" t="s">
        <v>1045</v>
      </c>
      <c r="D598" s="1" t="s">
        <v>1046</v>
      </c>
      <c r="E598" s="1" t="s">
        <v>47</v>
      </c>
      <c r="F598" s="1" t="s">
        <v>1036</v>
      </c>
      <c r="G598" s="1" t="s">
        <v>456</v>
      </c>
      <c r="H598" s="2" t="s">
        <v>1037</v>
      </c>
      <c r="I598" s="1">
        <v>85</v>
      </c>
      <c r="J598" s="1">
        <v>0.2</v>
      </c>
      <c r="K598" s="1" t="s">
        <v>486</v>
      </c>
      <c r="L598" s="1" t="s">
        <v>65</v>
      </c>
      <c r="M598" s="1">
        <v>19.95</v>
      </c>
      <c r="N598" s="1">
        <v>49</v>
      </c>
      <c r="O598" s="1">
        <v>68.128159999999994</v>
      </c>
      <c r="P598" s="1">
        <v>-167.501</v>
      </c>
      <c r="Q598" s="1">
        <v>2.61</v>
      </c>
      <c r="R598" s="1">
        <v>32.4405</v>
      </c>
      <c r="S598" s="1">
        <v>347.68</v>
      </c>
      <c r="T598" s="1">
        <v>159.12</v>
      </c>
      <c r="U598" s="1">
        <v>28</v>
      </c>
      <c r="V598" s="1">
        <v>2380.00000000001</v>
      </c>
      <c r="W598" s="3">
        <v>0.29139999999999999</v>
      </c>
      <c r="X598" s="1" t="s">
        <v>1047</v>
      </c>
      <c r="Y598" s="1">
        <v>0.43</v>
      </c>
      <c r="Z598" s="1">
        <v>0.59</v>
      </c>
      <c r="AA598" s="1">
        <v>0.83699999999999997</v>
      </c>
      <c r="AB598" s="1">
        <v>3.4</v>
      </c>
      <c r="AC598" s="1">
        <v>1.1000000000000001</v>
      </c>
      <c r="AD598" s="1">
        <v>0.06</v>
      </c>
      <c r="AE598" s="1">
        <v>2.59</v>
      </c>
      <c r="AF598" s="1">
        <v>1.1599999999999999</v>
      </c>
      <c r="AH598" s="1" t="s">
        <v>1048</v>
      </c>
      <c r="AI598" s="1">
        <v>4</v>
      </c>
      <c r="AJ598" s="1" t="s">
        <v>1047</v>
      </c>
      <c r="AK598" s="1">
        <v>1.7</v>
      </c>
      <c r="AL598" s="1">
        <v>80.745099999999994</v>
      </c>
      <c r="AM598" s="1" t="s">
        <v>1047</v>
      </c>
      <c r="AN598" s="1">
        <v>5.6828571428571397</v>
      </c>
      <c r="AO598" s="1">
        <v>0.85778975741239905</v>
      </c>
    </row>
    <row r="599" spans="1:46">
      <c r="A599" s="1" t="s">
        <v>2775</v>
      </c>
      <c r="C599" s="1" t="s">
        <v>2775</v>
      </c>
      <c r="D599" s="1" t="s">
        <v>2776</v>
      </c>
      <c r="E599" s="1" t="s">
        <v>1466</v>
      </c>
      <c r="F599" s="1" t="s">
        <v>1036</v>
      </c>
      <c r="G599" s="1" t="s">
        <v>456</v>
      </c>
      <c r="H599" s="2" t="s">
        <v>2777</v>
      </c>
      <c r="I599" s="1">
        <v>5</v>
      </c>
      <c r="J599" s="1">
        <v>0.2</v>
      </c>
      <c r="L599" s="1" t="s">
        <v>65</v>
      </c>
      <c r="M599" s="1">
        <v>20.949000000000002</v>
      </c>
      <c r="N599" s="1">
        <v>51</v>
      </c>
      <c r="O599" s="1">
        <v>68.124399999999994</v>
      </c>
      <c r="P599" s="1">
        <v>-167.49807999999999</v>
      </c>
      <c r="Q599" s="1">
        <v>4.8476499999999998</v>
      </c>
      <c r="R599" s="1">
        <v>32.042499999999997</v>
      </c>
      <c r="S599" s="1">
        <v>284.81150000000002</v>
      </c>
      <c r="W599" s="3">
        <v>0.42899999999999999</v>
      </c>
      <c r="X599" s="1" t="s">
        <v>2778</v>
      </c>
      <c r="Y599" s="1">
        <v>0.97</v>
      </c>
      <c r="AA599" s="1">
        <v>0.97</v>
      </c>
      <c r="AB599" s="1">
        <v>14.43</v>
      </c>
      <c r="AE599" s="1">
        <v>1.79</v>
      </c>
      <c r="AF599" s="1">
        <v>0.72</v>
      </c>
      <c r="AI599" s="1">
        <v>7</v>
      </c>
      <c r="AJ599" s="1" t="s">
        <v>2778</v>
      </c>
      <c r="AK599" s="1">
        <v>2.5</v>
      </c>
      <c r="AL599" s="1">
        <v>79.729100000000003</v>
      </c>
      <c r="AM599" s="1" t="s">
        <v>2778</v>
      </c>
      <c r="AP599" s="1" t="s">
        <v>2779</v>
      </c>
      <c r="AR599" s="1">
        <v>10.65</v>
      </c>
      <c r="AT599" s="1">
        <v>20</v>
      </c>
    </row>
    <row r="600" spans="1:46">
      <c r="A600" s="1" t="s">
        <v>2780</v>
      </c>
      <c r="C600" s="1" t="s">
        <v>2780</v>
      </c>
      <c r="D600" s="1" t="s">
        <v>2781</v>
      </c>
      <c r="E600" s="1" t="s">
        <v>1394</v>
      </c>
      <c r="F600" s="1" t="s">
        <v>1036</v>
      </c>
      <c r="G600" s="1" t="s">
        <v>456</v>
      </c>
      <c r="H600" s="2" t="s">
        <v>2757</v>
      </c>
      <c r="I600" s="1">
        <v>5</v>
      </c>
      <c r="J600" s="1">
        <v>0.2</v>
      </c>
      <c r="K600" s="1">
        <v>20</v>
      </c>
      <c r="L600" s="1" t="s">
        <v>65</v>
      </c>
      <c r="M600" s="1">
        <v>21.619</v>
      </c>
      <c r="N600" s="1">
        <v>49.4</v>
      </c>
      <c r="O600" s="1">
        <v>68.132833329999997</v>
      </c>
      <c r="P600" s="1">
        <v>-167.48699999999999</v>
      </c>
      <c r="Q600" s="1">
        <v>5.5206499999999998</v>
      </c>
      <c r="R600" s="1">
        <v>32.007599999999996</v>
      </c>
      <c r="S600" s="1">
        <v>318.12030299999998</v>
      </c>
      <c r="W600" s="3">
        <v>0.80379999999999996</v>
      </c>
      <c r="X600" s="1" t="s">
        <v>2773</v>
      </c>
      <c r="Y600" s="1">
        <v>1.5349999999999999</v>
      </c>
      <c r="Z600" s="1">
        <v>0.57899999999999996</v>
      </c>
      <c r="AA600" s="1">
        <v>1.161</v>
      </c>
      <c r="AB600" s="1">
        <v>15.7</v>
      </c>
      <c r="AC600" s="1">
        <v>2.5</v>
      </c>
      <c r="AD600" s="1">
        <v>0.13</v>
      </c>
      <c r="AE600" s="1">
        <v>3.15</v>
      </c>
      <c r="AF600" s="1">
        <v>2.63</v>
      </c>
      <c r="AH600" s="8" t="s">
        <v>2782</v>
      </c>
      <c r="AI600" s="8">
        <v>10</v>
      </c>
      <c r="AJ600" s="8" t="s">
        <v>2783</v>
      </c>
      <c r="AK600" s="8">
        <v>3.3</v>
      </c>
      <c r="AM600" s="1" t="s">
        <v>2773</v>
      </c>
      <c r="AT600" s="8" t="s">
        <v>1607</v>
      </c>
    </row>
    <row r="601" spans="1:46">
      <c r="A601" s="1" t="s">
        <v>2784</v>
      </c>
      <c r="C601" s="1" t="s">
        <v>2784</v>
      </c>
      <c r="D601" s="1" t="s">
        <v>2785</v>
      </c>
      <c r="E601" s="1" t="s">
        <v>1466</v>
      </c>
      <c r="F601" s="1" t="s">
        <v>1036</v>
      </c>
      <c r="G601" s="1" t="s">
        <v>456</v>
      </c>
      <c r="H601" s="2" t="s">
        <v>2786</v>
      </c>
      <c r="I601" s="1">
        <v>5</v>
      </c>
      <c r="J601" s="1">
        <v>0.2</v>
      </c>
      <c r="L601" s="1" t="s">
        <v>65</v>
      </c>
      <c r="M601" s="1">
        <v>29.686</v>
      </c>
      <c r="N601" s="1">
        <v>51</v>
      </c>
      <c r="O601" s="1">
        <v>68.124319999999997</v>
      </c>
      <c r="P601" s="1">
        <v>-167.49814000000001</v>
      </c>
      <c r="Q601" s="1">
        <v>4.8384</v>
      </c>
      <c r="R601" s="1">
        <v>32.043849999999999</v>
      </c>
      <c r="S601" s="1">
        <v>285.39600000000002</v>
      </c>
      <c r="W601" s="3">
        <v>0.41099999999999998</v>
      </c>
      <c r="X601" s="1" t="s">
        <v>2787</v>
      </c>
      <c r="Y601" s="1">
        <v>0.91</v>
      </c>
      <c r="AA601" s="1">
        <v>0.99</v>
      </c>
      <c r="AB601" s="1">
        <v>14.85</v>
      </c>
      <c r="AE601" s="1">
        <v>1.82</v>
      </c>
      <c r="AF601" s="1">
        <v>0.78</v>
      </c>
      <c r="AI601" s="1">
        <v>5</v>
      </c>
      <c r="AJ601" s="1" t="s">
        <v>2787</v>
      </c>
      <c r="AK601" s="1">
        <v>2.5</v>
      </c>
      <c r="AL601" s="1">
        <v>76.125799999999998</v>
      </c>
      <c r="AM601" s="1" t="s">
        <v>2787</v>
      </c>
      <c r="AP601" s="1" t="s">
        <v>2788</v>
      </c>
      <c r="AR601" s="1">
        <v>10.65</v>
      </c>
      <c r="AT601" s="1">
        <v>30</v>
      </c>
    </row>
    <row r="602" spans="1:46">
      <c r="A602" s="1" t="s">
        <v>1049</v>
      </c>
      <c r="B602" s="1">
        <v>156</v>
      </c>
      <c r="C602" s="1" t="s">
        <v>1049</v>
      </c>
      <c r="D602" s="1" t="s">
        <v>1050</v>
      </c>
      <c r="E602" s="1" t="s">
        <v>47</v>
      </c>
      <c r="F602" s="1" t="s">
        <v>1036</v>
      </c>
      <c r="G602" s="1" t="s">
        <v>456</v>
      </c>
      <c r="H602" s="2" t="s">
        <v>1037</v>
      </c>
      <c r="I602" s="1">
        <v>85</v>
      </c>
      <c r="J602" s="1">
        <v>0.2</v>
      </c>
      <c r="K602" s="1" t="s">
        <v>65</v>
      </c>
      <c r="L602" s="1" t="s">
        <v>65</v>
      </c>
      <c r="M602" s="1">
        <v>30.39</v>
      </c>
      <c r="N602" s="1">
        <v>49</v>
      </c>
      <c r="O602" s="1">
        <v>68.128159999999994</v>
      </c>
      <c r="P602" s="1">
        <v>-167.501</v>
      </c>
      <c r="Q602" s="1">
        <v>2.2320000000000002</v>
      </c>
      <c r="R602" s="1">
        <v>32.459000000000003</v>
      </c>
      <c r="S602" s="1">
        <v>349.79899999999998</v>
      </c>
      <c r="W602" s="3">
        <v>0.30580000000000002</v>
      </c>
      <c r="X602" s="1" t="s">
        <v>1051</v>
      </c>
      <c r="Y602" s="1">
        <v>0.26</v>
      </c>
      <c r="Z602" s="1">
        <v>1.08</v>
      </c>
      <c r="AA602" s="1">
        <v>0.93300000000000005</v>
      </c>
      <c r="AB602" s="1">
        <v>3.7</v>
      </c>
      <c r="AC602" s="1">
        <v>1.5</v>
      </c>
      <c r="AD602" s="1">
        <v>7.0000000000000007E-2</v>
      </c>
      <c r="AE602" s="1">
        <v>3.05</v>
      </c>
      <c r="AF602" s="1">
        <v>1.57</v>
      </c>
      <c r="AH602" s="1" t="s">
        <v>1052</v>
      </c>
      <c r="AI602" s="1">
        <v>3</v>
      </c>
      <c r="AJ602" s="1" t="s">
        <v>1051</v>
      </c>
      <c r="AK602" s="1">
        <v>1.7</v>
      </c>
      <c r="AL602" s="1">
        <v>77.706400000000002</v>
      </c>
      <c r="AM602" s="1" t="s">
        <v>1051</v>
      </c>
    </row>
    <row r="603" spans="1:46">
      <c r="A603" s="1" t="s">
        <v>2789</v>
      </c>
      <c r="C603" s="1" t="s">
        <v>2789</v>
      </c>
      <c r="D603" s="1" t="s">
        <v>2790</v>
      </c>
      <c r="E603" s="1" t="s">
        <v>1466</v>
      </c>
      <c r="F603" s="1" t="s">
        <v>1036</v>
      </c>
      <c r="G603" s="1" t="s">
        <v>456</v>
      </c>
      <c r="H603" s="2" t="s">
        <v>2791</v>
      </c>
      <c r="I603" s="1">
        <v>5</v>
      </c>
      <c r="J603" s="1">
        <v>0.2</v>
      </c>
      <c r="L603" s="1" t="s">
        <v>65</v>
      </c>
      <c r="M603" s="1">
        <v>39.703000000000003</v>
      </c>
      <c r="N603" s="1">
        <v>51</v>
      </c>
      <c r="O603" s="1">
        <v>68.124300000000005</v>
      </c>
      <c r="P603" s="1">
        <v>-167.49788000000001</v>
      </c>
      <c r="Q603" s="1">
        <v>4.8240999999999996</v>
      </c>
      <c r="R603" s="1">
        <v>32.047849999999997</v>
      </c>
      <c r="S603" s="1">
        <v>284.70650000000001</v>
      </c>
      <c r="W603" s="3">
        <v>0.42</v>
      </c>
      <c r="X603" s="1" t="s">
        <v>2792</v>
      </c>
      <c r="Y603" s="1">
        <v>1.03</v>
      </c>
      <c r="AA603" s="1">
        <v>0.94</v>
      </c>
      <c r="AB603" s="1">
        <v>15.27</v>
      </c>
      <c r="AE603" s="1">
        <v>1.75</v>
      </c>
      <c r="AF603" s="1">
        <v>2.35</v>
      </c>
      <c r="AI603" s="1">
        <v>3</v>
      </c>
      <c r="AJ603" s="1" t="s">
        <v>2792</v>
      </c>
      <c r="AK603" s="1">
        <v>2.5</v>
      </c>
      <c r="AL603" s="1">
        <v>77.084900000000005</v>
      </c>
      <c r="AM603" s="1" t="s">
        <v>2792</v>
      </c>
      <c r="AP603" s="1" t="s">
        <v>2793</v>
      </c>
      <c r="AR603" s="1">
        <v>10.65</v>
      </c>
      <c r="AT603" s="1">
        <v>40</v>
      </c>
    </row>
    <row r="604" spans="1:46">
      <c r="A604" s="1" t="s">
        <v>2794</v>
      </c>
      <c r="C604" s="1" t="s">
        <v>2794</v>
      </c>
      <c r="D604" s="1" t="s">
        <v>2795</v>
      </c>
      <c r="E604" s="1" t="s">
        <v>1394</v>
      </c>
      <c r="F604" s="1" t="s">
        <v>1036</v>
      </c>
      <c r="G604" s="1" t="s">
        <v>456</v>
      </c>
      <c r="H604" s="2" t="s">
        <v>2757</v>
      </c>
      <c r="I604" s="1">
        <v>5</v>
      </c>
      <c r="J604" s="1">
        <v>0.2</v>
      </c>
      <c r="K604" s="1">
        <v>40</v>
      </c>
      <c r="L604" s="1" t="s">
        <v>78</v>
      </c>
      <c r="M604" s="1">
        <v>40.210999999999999</v>
      </c>
      <c r="N604" s="1">
        <v>49.4</v>
      </c>
      <c r="O604" s="1">
        <v>68.132833329999997</v>
      </c>
      <c r="P604" s="1">
        <v>-167.48699999999999</v>
      </c>
      <c r="Q604" s="1">
        <v>4.5573499999999996</v>
      </c>
      <c r="R604" s="1">
        <v>32.412300000000002</v>
      </c>
      <c r="S604" s="1">
        <v>275.13855660000002</v>
      </c>
      <c r="W604" s="3">
        <v>0.2525</v>
      </c>
      <c r="X604" s="1" t="s">
        <v>2787</v>
      </c>
      <c r="Y604" s="1">
        <v>0.33600000000000002</v>
      </c>
      <c r="Z604" s="1">
        <v>0.51100000000000001</v>
      </c>
      <c r="AA604" s="1">
        <v>1.6719999999999999</v>
      </c>
      <c r="AB604" s="1">
        <v>29</v>
      </c>
      <c r="AC604" s="1">
        <v>5.4</v>
      </c>
      <c r="AD604" s="1">
        <v>0.22</v>
      </c>
      <c r="AE604" s="1">
        <v>6.23</v>
      </c>
      <c r="AF604" s="1">
        <v>5.62</v>
      </c>
      <c r="AH604" s="8" t="s">
        <v>2796</v>
      </c>
      <c r="AI604" s="8">
        <v>6</v>
      </c>
      <c r="AJ604" s="8" t="s">
        <v>2797</v>
      </c>
      <c r="AK604" s="8">
        <v>3</v>
      </c>
      <c r="AM604" s="1" t="s">
        <v>2787</v>
      </c>
      <c r="AT604" s="8" t="s">
        <v>1607</v>
      </c>
    </row>
    <row r="605" spans="1:46">
      <c r="A605" s="1" t="s">
        <v>1053</v>
      </c>
      <c r="B605" s="1">
        <v>157</v>
      </c>
      <c r="C605" s="1" t="s">
        <v>1053</v>
      </c>
      <c r="D605" s="1" t="s">
        <v>1054</v>
      </c>
      <c r="E605" s="1" t="s">
        <v>47</v>
      </c>
      <c r="F605" s="1" t="s">
        <v>1036</v>
      </c>
      <c r="G605" s="1" t="s">
        <v>456</v>
      </c>
      <c r="H605" s="2" t="s">
        <v>1037</v>
      </c>
      <c r="I605" s="1">
        <v>85</v>
      </c>
      <c r="J605" s="1">
        <v>0.2</v>
      </c>
      <c r="K605" s="1" t="s">
        <v>150</v>
      </c>
      <c r="L605" s="1" t="s">
        <v>78</v>
      </c>
      <c r="M605" s="1">
        <v>45.88</v>
      </c>
      <c r="N605" s="1">
        <v>49</v>
      </c>
      <c r="O605" s="1">
        <v>68.128159999999994</v>
      </c>
      <c r="P605" s="1">
        <v>-167.50102000000001</v>
      </c>
      <c r="Q605" s="1">
        <v>2.4020000000000001</v>
      </c>
      <c r="R605" s="1">
        <v>32.511000000000003</v>
      </c>
      <c r="S605" s="1">
        <v>347.09800000000001</v>
      </c>
      <c r="T605" s="1">
        <v>207.82</v>
      </c>
      <c r="U605" s="1">
        <v>33.479999999999997</v>
      </c>
      <c r="V605" s="1">
        <v>3480</v>
      </c>
      <c r="W605" s="3">
        <v>0.307</v>
      </c>
      <c r="X605" s="1" t="s">
        <v>1055</v>
      </c>
      <c r="Y605" s="1">
        <v>0.56000000000000005</v>
      </c>
      <c r="Z605" s="1">
        <v>0.72</v>
      </c>
      <c r="AA605" s="1">
        <v>0.90100000000000002</v>
      </c>
      <c r="AB605" s="1">
        <v>3.1</v>
      </c>
      <c r="AC605" s="1">
        <v>1.8</v>
      </c>
      <c r="AD605" s="1">
        <v>0.08</v>
      </c>
      <c r="AE605" s="1">
        <v>3.03</v>
      </c>
      <c r="AF605" s="1">
        <v>1.88</v>
      </c>
      <c r="AH605" s="1" t="s">
        <v>1056</v>
      </c>
      <c r="AI605" s="1">
        <v>1</v>
      </c>
      <c r="AJ605" s="1" t="s">
        <v>1055</v>
      </c>
      <c r="AK605" s="1">
        <v>1.7</v>
      </c>
      <c r="AL605" s="1">
        <v>73.475099999999998</v>
      </c>
      <c r="AM605" s="1" t="s">
        <v>1055</v>
      </c>
      <c r="AN605" s="1">
        <v>6.2072879330943902</v>
      </c>
      <c r="AO605" s="1">
        <v>0.93694912197651103</v>
      </c>
    </row>
    <row r="606" spans="1:46">
      <c r="A606" s="1" t="s">
        <v>2798</v>
      </c>
      <c r="C606" s="1" t="s">
        <v>2798</v>
      </c>
      <c r="D606" s="1" t="s">
        <v>2799</v>
      </c>
      <c r="E606" s="1" t="s">
        <v>1394</v>
      </c>
      <c r="F606" s="1" t="s">
        <v>1036</v>
      </c>
      <c r="G606" s="1" t="s">
        <v>456</v>
      </c>
      <c r="H606" s="2" t="s">
        <v>2757</v>
      </c>
      <c r="I606" s="1">
        <v>5</v>
      </c>
      <c r="J606" s="1">
        <v>0.2</v>
      </c>
      <c r="K606" s="1">
        <v>47</v>
      </c>
      <c r="L606" s="1" t="s">
        <v>78</v>
      </c>
      <c r="M606" s="1">
        <v>46.692</v>
      </c>
      <c r="N606" s="1">
        <v>49.4</v>
      </c>
      <c r="O606" s="1">
        <v>68.132833329999997</v>
      </c>
      <c r="P606" s="1">
        <v>-167.48699999999999</v>
      </c>
      <c r="Q606" s="1">
        <v>4.38795</v>
      </c>
      <c r="R606" s="1">
        <v>32.436900000000001</v>
      </c>
      <c r="S606" s="1">
        <v>271.05654120000003</v>
      </c>
      <c r="W606" s="3">
        <v>0.26129999999999998</v>
      </c>
      <c r="X606" s="1" t="s">
        <v>2800</v>
      </c>
      <c r="Y606" s="1">
        <v>0.33700000000000002</v>
      </c>
      <c r="Z606" s="1">
        <v>0.61699999999999999</v>
      </c>
      <c r="AA606" s="1">
        <v>1.7749999999999999</v>
      </c>
      <c r="AB606" s="1">
        <v>33.200000000000003</v>
      </c>
      <c r="AC606" s="1">
        <v>6.5</v>
      </c>
      <c r="AD606" s="1">
        <v>0.23</v>
      </c>
      <c r="AE606" s="1">
        <v>6.58</v>
      </c>
      <c r="AF606" s="1">
        <v>6.73</v>
      </c>
      <c r="AH606" s="8" t="s">
        <v>2801</v>
      </c>
      <c r="AI606" s="8">
        <v>2</v>
      </c>
      <c r="AJ606" s="8" t="s">
        <v>2802</v>
      </c>
      <c r="AK606" s="8">
        <v>3.2</v>
      </c>
      <c r="AM606" s="1" t="s">
        <v>2800</v>
      </c>
      <c r="AT606" s="8" t="s">
        <v>1607</v>
      </c>
    </row>
    <row r="607" spans="1:46">
      <c r="A607" s="1" t="s">
        <v>2803</v>
      </c>
      <c r="C607" s="1" t="s">
        <v>2803</v>
      </c>
      <c r="D607" s="1" t="s">
        <v>2804</v>
      </c>
      <c r="E607" s="1" t="s">
        <v>1466</v>
      </c>
      <c r="F607" s="1" t="s">
        <v>1036</v>
      </c>
      <c r="G607" s="1" t="s">
        <v>456</v>
      </c>
      <c r="H607" s="2" t="s">
        <v>2805</v>
      </c>
      <c r="I607" s="1">
        <v>5</v>
      </c>
      <c r="J607" s="1">
        <v>0.2</v>
      </c>
      <c r="K607" s="1" t="s">
        <v>78</v>
      </c>
      <c r="L607" s="1" t="s">
        <v>78</v>
      </c>
      <c r="M607" s="1">
        <v>48.143000000000001</v>
      </c>
      <c r="N607" s="1">
        <v>51</v>
      </c>
      <c r="O607" s="1">
        <v>68.124260000000007</v>
      </c>
      <c r="P607" s="1">
        <v>-167.49794</v>
      </c>
      <c r="Q607" s="1">
        <v>4.8156499999999998</v>
      </c>
      <c r="R607" s="1">
        <v>32.052900000000001</v>
      </c>
      <c r="S607" s="1">
        <v>284.92649999999998</v>
      </c>
      <c r="W607" s="3">
        <v>0.42199999999999999</v>
      </c>
      <c r="X607" s="1" t="s">
        <v>2800</v>
      </c>
      <c r="Y607" s="1">
        <v>1.19</v>
      </c>
      <c r="AA607" s="1">
        <v>1.01</v>
      </c>
      <c r="AB607" s="1">
        <v>16.02</v>
      </c>
      <c r="AE607" s="1">
        <v>1.81</v>
      </c>
      <c r="AF607" s="1">
        <v>3.34</v>
      </c>
      <c r="AI607" s="1">
        <v>1</v>
      </c>
      <c r="AJ607" s="1" t="s">
        <v>2800</v>
      </c>
      <c r="AK607" s="1">
        <v>2.5</v>
      </c>
      <c r="AL607" s="1">
        <v>73.821399999999997</v>
      </c>
      <c r="AM607" s="1" t="s">
        <v>2800</v>
      </c>
      <c r="AP607" s="1" t="s">
        <v>2806</v>
      </c>
      <c r="AQ607" s="1">
        <v>-1.17</v>
      </c>
      <c r="AR607" s="1">
        <v>10.65</v>
      </c>
      <c r="AT607" s="1">
        <v>48</v>
      </c>
    </row>
    <row r="608" spans="1:46">
      <c r="A608" s="1" t="s">
        <v>1057</v>
      </c>
      <c r="B608" s="1">
        <v>149</v>
      </c>
      <c r="C608" s="1" t="s">
        <v>1057</v>
      </c>
      <c r="D608" s="1" t="s">
        <v>1058</v>
      </c>
      <c r="E608" s="1" t="s">
        <v>47</v>
      </c>
      <c r="F608" s="1" t="s">
        <v>1059</v>
      </c>
      <c r="G608" s="1" t="s">
        <v>456</v>
      </c>
      <c r="H608" s="2" t="s">
        <v>1060</v>
      </c>
      <c r="I608" s="1">
        <v>84</v>
      </c>
      <c r="J608" s="1">
        <v>0.2</v>
      </c>
      <c r="K608" s="1" t="s">
        <v>52</v>
      </c>
      <c r="L608" s="1" t="s">
        <v>52</v>
      </c>
      <c r="M608" s="1">
        <v>3.35</v>
      </c>
      <c r="N608" s="1">
        <v>53</v>
      </c>
      <c r="O608" s="1">
        <v>68.013220000000004</v>
      </c>
      <c r="P608" s="1">
        <v>-167.87114</v>
      </c>
      <c r="Q608" s="1">
        <v>3.81</v>
      </c>
      <c r="R608" s="1">
        <v>32.781500000000001</v>
      </c>
      <c r="S608" s="1">
        <v>310.11500000000001</v>
      </c>
      <c r="T608" s="1">
        <v>227.58</v>
      </c>
      <c r="U608" s="1">
        <v>40.54</v>
      </c>
      <c r="V608" s="1">
        <v>18220</v>
      </c>
      <c r="W608" s="3">
        <v>0.51570000000000005</v>
      </c>
      <c r="X608" s="1" t="s">
        <v>1061</v>
      </c>
      <c r="Y608" s="1">
        <v>0.51</v>
      </c>
      <c r="Z608" s="1">
        <v>0.05</v>
      </c>
      <c r="AA608" s="1">
        <v>1.2470000000000001</v>
      </c>
      <c r="AB608" s="1">
        <v>5.0999999999999996</v>
      </c>
      <c r="AC608" s="1">
        <v>7.3</v>
      </c>
      <c r="AD608" s="1">
        <v>0.16</v>
      </c>
      <c r="AE608" s="1">
        <v>3.71</v>
      </c>
      <c r="AF608" s="1">
        <v>7.46</v>
      </c>
      <c r="AH608" s="1" t="s">
        <v>1062</v>
      </c>
      <c r="AI608" s="1">
        <v>6</v>
      </c>
      <c r="AJ608" s="1" t="s">
        <v>1061</v>
      </c>
      <c r="AK608" s="1">
        <v>2</v>
      </c>
      <c r="AL608" s="1">
        <v>83.712999999999994</v>
      </c>
      <c r="AM608" s="1" t="s">
        <v>1061</v>
      </c>
      <c r="AN608" s="1">
        <v>5.6137148495313296</v>
      </c>
      <c r="AO608" s="1">
        <v>0.84735318483491795</v>
      </c>
    </row>
    <row r="609" spans="1:46">
      <c r="A609" s="1" t="s">
        <v>2807</v>
      </c>
      <c r="C609" s="1" t="s">
        <v>2807</v>
      </c>
      <c r="D609" s="1" t="s">
        <v>2808</v>
      </c>
      <c r="E609" s="1" t="s">
        <v>1466</v>
      </c>
      <c r="F609" s="1" t="s">
        <v>1059</v>
      </c>
      <c r="G609" s="1" t="s">
        <v>456</v>
      </c>
      <c r="H609" s="2" t="s">
        <v>2809</v>
      </c>
      <c r="I609" s="1">
        <v>4</v>
      </c>
      <c r="J609" s="1">
        <v>0.2</v>
      </c>
      <c r="K609" s="1" t="s">
        <v>52</v>
      </c>
      <c r="L609" s="1" t="s">
        <v>52</v>
      </c>
      <c r="M609" s="1">
        <v>5.1040000000000001</v>
      </c>
      <c r="N609" s="1">
        <v>54</v>
      </c>
      <c r="O609" s="1">
        <v>68.011619999999994</v>
      </c>
      <c r="P609" s="1">
        <v>-167.86582000000001</v>
      </c>
      <c r="Q609" s="1">
        <v>7.5598000000000001</v>
      </c>
      <c r="R609" s="1">
        <v>32.016249999999999</v>
      </c>
      <c r="S609" s="1">
        <v>336.637</v>
      </c>
      <c r="W609" s="3">
        <v>2.3639999999999999</v>
      </c>
      <c r="X609" s="1" t="s">
        <v>2810</v>
      </c>
      <c r="Y609" s="1">
        <v>3.99</v>
      </c>
      <c r="AA609" s="1">
        <v>0.3</v>
      </c>
      <c r="AB609" s="1">
        <v>6.16</v>
      </c>
      <c r="AE609" s="1">
        <v>0.14000000000000001</v>
      </c>
      <c r="AF609" s="1">
        <v>0.12</v>
      </c>
      <c r="AI609" s="1">
        <v>11</v>
      </c>
      <c r="AJ609" s="1" t="s">
        <v>2810</v>
      </c>
      <c r="AL609" s="1">
        <v>82.108599999999996</v>
      </c>
      <c r="AM609" s="1" t="s">
        <v>2810</v>
      </c>
      <c r="AP609" s="1" t="s">
        <v>2811</v>
      </c>
      <c r="AQ609" s="1">
        <v>-1.1599999999999999</v>
      </c>
      <c r="AR609" s="1">
        <v>20.94</v>
      </c>
      <c r="AS609" s="1" t="s">
        <v>2812</v>
      </c>
      <c r="AT609" s="1">
        <v>5</v>
      </c>
    </row>
    <row r="610" spans="1:46">
      <c r="A610" s="1" t="s">
        <v>2813</v>
      </c>
      <c r="C610" s="1" t="s">
        <v>2813</v>
      </c>
      <c r="D610" s="1" t="s">
        <v>2814</v>
      </c>
      <c r="E610" s="1" t="s">
        <v>1394</v>
      </c>
      <c r="F610" s="1" t="s">
        <v>1059</v>
      </c>
      <c r="G610" s="1" t="s">
        <v>456</v>
      </c>
      <c r="H610" s="2" t="s">
        <v>2815</v>
      </c>
      <c r="I610" s="1">
        <v>4</v>
      </c>
      <c r="J610" s="1">
        <v>0.2</v>
      </c>
      <c r="K610" s="1" t="s">
        <v>1688</v>
      </c>
      <c r="L610" s="1" t="s">
        <v>65</v>
      </c>
      <c r="M610" s="1">
        <v>10.582000000000001</v>
      </c>
      <c r="N610" s="1">
        <v>53.2</v>
      </c>
      <c r="O610" s="1">
        <v>68.013000000000005</v>
      </c>
      <c r="P610" s="1">
        <v>-167.87516669999999</v>
      </c>
      <c r="Q610" s="1">
        <v>5.4868499999999996</v>
      </c>
      <c r="R610" s="1">
        <v>32.207599999999999</v>
      </c>
      <c r="S610" s="1">
        <v>330.60751859999999</v>
      </c>
      <c r="W610" s="3">
        <v>1.2674000000000001</v>
      </c>
      <c r="X610" s="1" t="s">
        <v>2816</v>
      </c>
      <c r="Y610" s="1">
        <v>3.4540000000000002</v>
      </c>
      <c r="Z610" s="1">
        <v>1.2749999999999999</v>
      </c>
      <c r="AA610" s="1">
        <v>1.153</v>
      </c>
      <c r="AB610" s="1">
        <v>17.399999999999999</v>
      </c>
      <c r="AC610" s="1">
        <v>4.8</v>
      </c>
      <c r="AD610" s="1">
        <v>0.17</v>
      </c>
      <c r="AE610" s="1">
        <v>1.8</v>
      </c>
      <c r="AF610" s="1">
        <v>4.97</v>
      </c>
      <c r="AH610" s="8" t="s">
        <v>2817</v>
      </c>
      <c r="AI610" s="8">
        <v>14</v>
      </c>
      <c r="AJ610" s="8" t="s">
        <v>2818</v>
      </c>
      <c r="AK610" s="8">
        <v>2.4</v>
      </c>
      <c r="AM610" s="1" t="s">
        <v>2816</v>
      </c>
      <c r="AT610" s="8" t="s">
        <v>1607</v>
      </c>
    </row>
    <row r="611" spans="1:46">
      <c r="A611" s="1" t="s">
        <v>1063</v>
      </c>
      <c r="B611" s="1">
        <v>150</v>
      </c>
      <c r="C611" s="1" t="s">
        <v>1063</v>
      </c>
      <c r="D611" s="1" t="s">
        <v>1064</v>
      </c>
      <c r="E611" s="1" t="s">
        <v>47</v>
      </c>
      <c r="F611" s="1" t="s">
        <v>1059</v>
      </c>
      <c r="G611" s="1" t="s">
        <v>456</v>
      </c>
      <c r="H611" s="2" t="s">
        <v>1060</v>
      </c>
      <c r="I611" s="1">
        <v>84</v>
      </c>
      <c r="J611" s="1">
        <v>0.2</v>
      </c>
      <c r="K611" s="1" t="s">
        <v>486</v>
      </c>
      <c r="L611" s="1" t="s">
        <v>65</v>
      </c>
      <c r="M611" s="1">
        <v>20.399999999999999</v>
      </c>
      <c r="N611" s="1">
        <v>53</v>
      </c>
      <c r="O611" s="1">
        <v>68.013220000000004</v>
      </c>
      <c r="P611" s="1">
        <v>-167.87114</v>
      </c>
      <c r="Q611" s="1">
        <v>3.512</v>
      </c>
      <c r="R611" s="1">
        <v>32.777500000000003</v>
      </c>
      <c r="S611" s="1">
        <v>305.53500000000003</v>
      </c>
      <c r="T611" s="1">
        <v>601.78</v>
      </c>
      <c r="U611" s="1">
        <v>79.48</v>
      </c>
      <c r="V611" s="1">
        <v>11470</v>
      </c>
      <c r="W611" s="3">
        <v>0.65439999999999998</v>
      </c>
      <c r="X611" s="1" t="s">
        <v>1065</v>
      </c>
      <c r="Y611" s="1">
        <v>1.1100000000000001</v>
      </c>
      <c r="Z611" s="1">
        <v>0.7</v>
      </c>
      <c r="AA611" s="1">
        <v>1.3109999999999999</v>
      </c>
      <c r="AB611" s="1">
        <v>6.6</v>
      </c>
      <c r="AC611" s="1">
        <v>7</v>
      </c>
      <c r="AD611" s="1">
        <v>0.15</v>
      </c>
      <c r="AE611" s="1">
        <v>3.78</v>
      </c>
      <c r="AF611" s="1">
        <v>7.15</v>
      </c>
      <c r="AH611" s="1" t="s">
        <v>1066</v>
      </c>
      <c r="AI611" s="1">
        <v>4</v>
      </c>
      <c r="AJ611" s="1" t="s">
        <v>1065</v>
      </c>
      <c r="AK611" s="1">
        <v>2</v>
      </c>
      <c r="AL611" s="1">
        <v>82.918300000000002</v>
      </c>
      <c r="AM611" s="1" t="s">
        <v>1065</v>
      </c>
      <c r="AN611" s="1">
        <v>7.5714645193759402</v>
      </c>
      <c r="AO611" s="1">
        <v>1.1428625689624099</v>
      </c>
      <c r="AS611" s="1" t="s">
        <v>716</v>
      </c>
    </row>
    <row r="612" spans="1:46">
      <c r="A612" s="1" t="s">
        <v>1067</v>
      </c>
      <c r="B612" s="1">
        <v>151</v>
      </c>
      <c r="C612" s="1" t="s">
        <v>1067</v>
      </c>
      <c r="D612" s="1" t="s">
        <v>1068</v>
      </c>
      <c r="E612" s="1" t="s">
        <v>47</v>
      </c>
      <c r="F612" s="1" t="s">
        <v>1059</v>
      </c>
      <c r="G612" s="1" t="s">
        <v>456</v>
      </c>
      <c r="H612" s="2" t="s">
        <v>1060</v>
      </c>
      <c r="I612" s="1">
        <v>84</v>
      </c>
      <c r="J612" s="1">
        <v>0.2</v>
      </c>
      <c r="K612" s="1" t="s">
        <v>65</v>
      </c>
      <c r="L612" s="1" t="s">
        <v>65</v>
      </c>
      <c r="M612" s="1">
        <v>29.99</v>
      </c>
      <c r="N612" s="1">
        <v>53</v>
      </c>
      <c r="O612" s="1">
        <v>68.013220000000004</v>
      </c>
      <c r="P612" s="1">
        <v>-167.87114</v>
      </c>
      <c r="Q612" s="1">
        <v>2.8555000000000001</v>
      </c>
      <c r="R612" s="1">
        <v>32.765999999999998</v>
      </c>
      <c r="S612" s="1">
        <v>296.08300000000003</v>
      </c>
      <c r="W612" s="3">
        <v>0.35720000000000002</v>
      </c>
      <c r="X612" s="1" t="s">
        <v>1069</v>
      </c>
      <c r="Y612" s="1">
        <v>0.7</v>
      </c>
      <c r="Z612" s="1">
        <v>1.69</v>
      </c>
      <c r="AA612" s="1">
        <v>1.2689999999999999</v>
      </c>
      <c r="AB612" s="1">
        <v>8</v>
      </c>
      <c r="AC612" s="1">
        <v>6.5</v>
      </c>
      <c r="AD612" s="1">
        <v>0.14000000000000001</v>
      </c>
      <c r="AE612" s="1">
        <v>3.75</v>
      </c>
      <c r="AF612" s="1">
        <v>6.64</v>
      </c>
      <c r="AH612" s="1" t="s">
        <v>1070</v>
      </c>
      <c r="AI612" s="1">
        <v>3</v>
      </c>
      <c r="AJ612" s="1" t="s">
        <v>1069</v>
      </c>
      <c r="AK612" s="1">
        <v>2</v>
      </c>
      <c r="AL612" s="1">
        <v>74.494799999999998</v>
      </c>
      <c r="AM612" s="1" t="s">
        <v>1069</v>
      </c>
    </row>
    <row r="613" spans="1:46">
      <c r="A613" s="1" t="s">
        <v>2819</v>
      </c>
      <c r="C613" s="1" t="s">
        <v>2819</v>
      </c>
      <c r="D613" s="1" t="s">
        <v>2820</v>
      </c>
      <c r="E613" s="1" t="s">
        <v>1466</v>
      </c>
      <c r="F613" s="1" t="s">
        <v>1059</v>
      </c>
      <c r="G613" s="1" t="s">
        <v>456</v>
      </c>
      <c r="H613" s="2" t="s">
        <v>2821</v>
      </c>
      <c r="I613" s="1">
        <v>4</v>
      </c>
      <c r="J613" s="1">
        <v>0.2</v>
      </c>
      <c r="L613" s="1" t="s">
        <v>65</v>
      </c>
      <c r="M613" s="1">
        <v>40.362000000000002</v>
      </c>
      <c r="N613" s="1">
        <v>54</v>
      </c>
      <c r="O613" s="1">
        <v>68.011740000000003</v>
      </c>
      <c r="P613" s="1">
        <v>-167.86645999999999</v>
      </c>
      <c r="Q613" s="1">
        <v>3.8985500000000002</v>
      </c>
      <c r="R613" s="1">
        <v>32.235750000000003</v>
      </c>
      <c r="S613" s="1">
        <v>281.83100000000002</v>
      </c>
      <c r="W613" s="3">
        <v>0.33500000000000002</v>
      </c>
      <c r="X613" s="1" t="s">
        <v>2822</v>
      </c>
      <c r="Y613" s="1">
        <v>0.54</v>
      </c>
      <c r="AA613" s="1">
        <v>1.19</v>
      </c>
      <c r="AB613" s="1">
        <v>16.64</v>
      </c>
      <c r="AE613" s="1">
        <v>1.89</v>
      </c>
      <c r="AF613" s="1">
        <v>5.21</v>
      </c>
      <c r="AI613" s="1">
        <v>3</v>
      </c>
      <c r="AJ613" s="1" t="s">
        <v>2822</v>
      </c>
      <c r="AL613" s="1">
        <v>74.018000000000001</v>
      </c>
      <c r="AM613" s="1" t="s">
        <v>2822</v>
      </c>
      <c r="AP613" s="1" t="s">
        <v>2823</v>
      </c>
      <c r="AR613" s="1">
        <v>20.94</v>
      </c>
      <c r="AS613" s="1" t="s">
        <v>2824</v>
      </c>
      <c r="AT613" s="1">
        <v>40</v>
      </c>
    </row>
    <row r="614" spans="1:46">
      <c r="A614" s="1" t="s">
        <v>2825</v>
      </c>
      <c r="C614" s="1" t="s">
        <v>2825</v>
      </c>
      <c r="D614" s="1" t="s">
        <v>2826</v>
      </c>
      <c r="E614" s="1" t="s">
        <v>1394</v>
      </c>
      <c r="F614" s="1" t="s">
        <v>1059</v>
      </c>
      <c r="G614" s="1" t="s">
        <v>456</v>
      </c>
      <c r="H614" s="2" t="s">
        <v>2815</v>
      </c>
      <c r="I614" s="1">
        <v>4</v>
      </c>
      <c r="J614" s="1">
        <v>0.2</v>
      </c>
      <c r="K614" s="1">
        <v>40</v>
      </c>
      <c r="L614" s="1" t="s">
        <v>65</v>
      </c>
      <c r="M614" s="1">
        <v>40.926000000000002</v>
      </c>
      <c r="N614" s="1">
        <v>53.2</v>
      </c>
      <c r="O614" s="1">
        <v>68.013000000000005</v>
      </c>
      <c r="P614" s="1">
        <v>-167.87516669999999</v>
      </c>
      <c r="Q614" s="1">
        <v>4.0693999999999999</v>
      </c>
      <c r="R614" s="1">
        <v>32.744999999999997</v>
      </c>
      <c r="S614" s="1">
        <v>254.67935249999999</v>
      </c>
      <c r="W614" s="3">
        <v>0.2417</v>
      </c>
      <c r="X614" s="1" t="s">
        <v>2827</v>
      </c>
      <c r="Y614" s="1">
        <v>2.4849999999999999</v>
      </c>
      <c r="Z614" s="1">
        <v>1.018</v>
      </c>
      <c r="AA614" s="1">
        <v>1.518</v>
      </c>
      <c r="AB614" s="1">
        <v>27</v>
      </c>
      <c r="AC614" s="1">
        <v>7.4</v>
      </c>
      <c r="AD614" s="1">
        <v>0.19</v>
      </c>
      <c r="AE614" s="1">
        <v>3.57</v>
      </c>
      <c r="AF614" s="1">
        <v>7.59</v>
      </c>
      <c r="AH614" s="8" t="s">
        <v>2828</v>
      </c>
      <c r="AI614" s="8">
        <v>6</v>
      </c>
      <c r="AJ614" s="8" t="s">
        <v>2829</v>
      </c>
      <c r="AK614" s="8">
        <v>2.5</v>
      </c>
      <c r="AM614" s="1" t="s">
        <v>2827</v>
      </c>
      <c r="AT614" s="8" t="s">
        <v>1607</v>
      </c>
    </row>
    <row r="615" spans="1:46">
      <c r="A615" s="1" t="s">
        <v>2830</v>
      </c>
      <c r="C615" s="1" t="s">
        <v>2830</v>
      </c>
      <c r="D615" s="1" t="s">
        <v>2831</v>
      </c>
      <c r="E615" s="1" t="s">
        <v>1466</v>
      </c>
      <c r="F615" s="1" t="s">
        <v>1059</v>
      </c>
      <c r="G615" s="1" t="s">
        <v>456</v>
      </c>
      <c r="H615" s="2" t="s">
        <v>2832</v>
      </c>
      <c r="I615" s="1">
        <v>4</v>
      </c>
      <c r="J615" s="1">
        <v>0.2</v>
      </c>
      <c r="K615" s="1" t="s">
        <v>78</v>
      </c>
      <c r="L615" s="1" t="s">
        <v>78</v>
      </c>
      <c r="M615" s="1">
        <v>48.570999999999998</v>
      </c>
      <c r="N615" s="1">
        <v>54</v>
      </c>
      <c r="O615" s="1">
        <v>68.011859999999999</v>
      </c>
      <c r="P615" s="1">
        <v>-167.86673999999999</v>
      </c>
      <c r="Q615" s="1">
        <v>3.9077999999999999</v>
      </c>
      <c r="R615" s="1">
        <v>32.242400000000004</v>
      </c>
      <c r="S615" s="1">
        <v>280.7285</v>
      </c>
      <c r="W615" s="3">
        <v>0.40300000000000002</v>
      </c>
      <c r="X615" s="1" t="s">
        <v>105</v>
      </c>
      <c r="Y615" s="1">
        <v>0.64</v>
      </c>
      <c r="AA615" s="1">
        <v>1.1399999999999999</v>
      </c>
      <c r="AB615" s="1">
        <v>17.79</v>
      </c>
      <c r="AE615" s="1">
        <v>1.88</v>
      </c>
      <c r="AF615" s="1">
        <v>1.26</v>
      </c>
      <c r="AI615" s="1">
        <v>1</v>
      </c>
      <c r="AJ615" s="1" t="s">
        <v>105</v>
      </c>
      <c r="AL615" s="1">
        <v>71.147099999999995</v>
      </c>
      <c r="AM615" s="1" t="s">
        <v>105</v>
      </c>
      <c r="AP615" s="1" t="s">
        <v>2833</v>
      </c>
      <c r="AQ615" s="1">
        <v>-1.05</v>
      </c>
      <c r="AR615" s="1">
        <v>20.94</v>
      </c>
      <c r="AT615" s="1">
        <v>49</v>
      </c>
    </row>
    <row r="616" spans="1:46">
      <c r="A616" s="1" t="s">
        <v>2834</v>
      </c>
      <c r="C616" s="1" t="s">
        <v>2834</v>
      </c>
      <c r="D616" s="1" t="s">
        <v>2835</v>
      </c>
      <c r="E616" s="1" t="s">
        <v>1394</v>
      </c>
      <c r="F616" s="1" t="s">
        <v>1059</v>
      </c>
      <c r="G616" s="1" t="s">
        <v>456</v>
      </c>
      <c r="H616" s="2" t="s">
        <v>2815</v>
      </c>
      <c r="I616" s="1">
        <v>4</v>
      </c>
      <c r="J616" s="1">
        <v>0.2</v>
      </c>
      <c r="K616" s="1" t="s">
        <v>78</v>
      </c>
      <c r="L616" s="1" t="s">
        <v>78</v>
      </c>
      <c r="M616" s="1">
        <v>49.591999999999999</v>
      </c>
      <c r="N616" s="1">
        <v>53.2</v>
      </c>
      <c r="O616" s="1">
        <v>68.013000000000005</v>
      </c>
      <c r="P616" s="1">
        <v>-167.87516669999999</v>
      </c>
      <c r="Q616" s="1">
        <v>4.2899500000000002</v>
      </c>
      <c r="R616" s="1">
        <v>32.85765</v>
      </c>
      <c r="S616" s="1">
        <v>246.5465844</v>
      </c>
      <c r="W616" s="3">
        <v>0.27979999999999999</v>
      </c>
      <c r="X616" s="1" t="s">
        <v>2822</v>
      </c>
      <c r="AA616" s="1">
        <v>2.665</v>
      </c>
      <c r="AB616" s="1">
        <v>55.2</v>
      </c>
      <c r="AC616" s="1">
        <v>16.100000000000001</v>
      </c>
      <c r="AD616" s="1">
        <v>0.36</v>
      </c>
      <c r="AE616" s="1">
        <v>7.74</v>
      </c>
      <c r="AF616" s="1">
        <v>16.46</v>
      </c>
      <c r="AH616" s="8" t="s">
        <v>2836</v>
      </c>
      <c r="AI616" s="8">
        <v>4</v>
      </c>
      <c r="AJ616" s="8" t="s">
        <v>2837</v>
      </c>
      <c r="AK616" s="8">
        <v>2.5</v>
      </c>
      <c r="AM616" s="1" t="s">
        <v>2822</v>
      </c>
      <c r="AT616" s="8" t="s">
        <v>1607</v>
      </c>
    </row>
    <row r="617" spans="1:46">
      <c r="A617" s="1" t="s">
        <v>1071</v>
      </c>
      <c r="B617" s="1">
        <v>152</v>
      </c>
      <c r="C617" s="1" t="s">
        <v>1071</v>
      </c>
      <c r="D617" s="1" t="s">
        <v>1072</v>
      </c>
      <c r="E617" s="1" t="s">
        <v>47</v>
      </c>
      <c r="F617" s="1" t="s">
        <v>1059</v>
      </c>
      <c r="G617" s="1" t="s">
        <v>456</v>
      </c>
      <c r="H617" s="2" t="s">
        <v>1060</v>
      </c>
      <c r="I617" s="1">
        <v>84</v>
      </c>
      <c r="J617" s="1">
        <v>0.2</v>
      </c>
      <c r="K617" s="1" t="s">
        <v>150</v>
      </c>
      <c r="L617" s="1" t="s">
        <v>78</v>
      </c>
      <c r="M617" s="1">
        <v>49.79</v>
      </c>
      <c r="N617" s="1">
        <v>53</v>
      </c>
      <c r="O617" s="1">
        <v>68.013239999999996</v>
      </c>
      <c r="P617" s="1">
        <v>-167.87114</v>
      </c>
      <c r="Q617" s="1">
        <v>2.8544999999999998</v>
      </c>
      <c r="R617" s="1">
        <v>32.765500000000003</v>
      </c>
      <c r="S617" s="1">
        <v>296.08300000000003</v>
      </c>
      <c r="T617" s="1">
        <v>159.13</v>
      </c>
      <c r="U617" s="1">
        <v>24.16</v>
      </c>
      <c r="V617" s="1">
        <v>5380</v>
      </c>
      <c r="W617" s="3">
        <v>0.34710000000000002</v>
      </c>
      <c r="X617" s="1" t="s">
        <v>1073</v>
      </c>
      <c r="Y617" s="1">
        <v>0.94</v>
      </c>
      <c r="Z617" s="1">
        <v>1.69</v>
      </c>
      <c r="AA617" s="1">
        <v>1.4119999999999999</v>
      </c>
      <c r="AB617" s="1">
        <v>8.3000000000000007</v>
      </c>
      <c r="AC617" s="1">
        <v>8.6999999999999993</v>
      </c>
      <c r="AD617" s="1">
        <v>0.19</v>
      </c>
      <c r="AE617" s="1">
        <v>4.49</v>
      </c>
      <c r="AF617" s="1">
        <v>8.89</v>
      </c>
      <c r="AH617" s="1" t="s">
        <v>1074</v>
      </c>
      <c r="AI617" s="1">
        <v>1</v>
      </c>
      <c r="AJ617" s="1" t="s">
        <v>1073</v>
      </c>
      <c r="AK617" s="1">
        <v>2</v>
      </c>
      <c r="AL617" s="1">
        <v>72.987200000000001</v>
      </c>
      <c r="AM617" s="1" t="s">
        <v>1073</v>
      </c>
      <c r="AN617" s="1">
        <v>6.58650662251656</v>
      </c>
      <c r="AO617" s="1">
        <v>0.99418967887042398</v>
      </c>
      <c r="AS617" s="1" t="s">
        <v>716</v>
      </c>
    </row>
    <row r="618" spans="1:46">
      <c r="A618" s="1" t="s">
        <v>2838</v>
      </c>
      <c r="C618" s="1" t="s">
        <v>2838</v>
      </c>
      <c r="D618" s="1" t="s">
        <v>2839</v>
      </c>
      <c r="E618" s="1" t="s">
        <v>1466</v>
      </c>
      <c r="F618" s="1" t="s">
        <v>1077</v>
      </c>
      <c r="G618" s="1" t="s">
        <v>456</v>
      </c>
      <c r="H618" s="2" t="s">
        <v>2840</v>
      </c>
      <c r="I618" s="1">
        <v>3</v>
      </c>
      <c r="J618" s="1">
        <v>0.2</v>
      </c>
      <c r="K618" s="1" t="s">
        <v>52</v>
      </c>
      <c r="L618" s="1" t="s">
        <v>52</v>
      </c>
      <c r="M618" s="1">
        <v>2.13</v>
      </c>
      <c r="N618" s="1">
        <v>59</v>
      </c>
      <c r="O618" s="1">
        <v>67.897080000000003</v>
      </c>
      <c r="P618" s="1">
        <v>-168.23689999999999</v>
      </c>
      <c r="Q618" s="1">
        <v>8.3383000000000003</v>
      </c>
      <c r="R618" s="1">
        <v>31.359249999999999</v>
      </c>
      <c r="S618" s="1">
        <v>367.49700000000001</v>
      </c>
      <c r="W618" s="3">
        <v>3.242</v>
      </c>
      <c r="X618" s="1" t="s">
        <v>2841</v>
      </c>
      <c r="AI618" s="1">
        <v>13</v>
      </c>
      <c r="AJ618" s="1" t="s">
        <v>2841</v>
      </c>
      <c r="AK618" s="1">
        <v>1.4</v>
      </c>
      <c r="AL618" s="1">
        <v>80.934399999999997</v>
      </c>
      <c r="AM618" s="1" t="s">
        <v>2841</v>
      </c>
      <c r="AP618" s="1" t="s">
        <v>2842</v>
      </c>
      <c r="AR618" s="1">
        <v>26.1</v>
      </c>
      <c r="AS618" s="1" t="s">
        <v>2843</v>
      </c>
      <c r="AT618" s="1">
        <v>2</v>
      </c>
    </row>
    <row r="619" spans="1:46">
      <c r="A619" s="1" t="s">
        <v>1075</v>
      </c>
      <c r="B619" s="1">
        <v>142</v>
      </c>
      <c r="C619" s="1" t="s">
        <v>1075</v>
      </c>
      <c r="D619" s="1" t="s">
        <v>1076</v>
      </c>
      <c r="E619" s="1" t="s">
        <v>47</v>
      </c>
      <c r="F619" s="1" t="s">
        <v>1077</v>
      </c>
      <c r="G619" s="1" t="s">
        <v>456</v>
      </c>
      <c r="H619" s="2" t="s">
        <v>1078</v>
      </c>
      <c r="I619" s="1">
        <v>82</v>
      </c>
      <c r="J619" s="1">
        <v>0.2</v>
      </c>
      <c r="K619" s="1" t="s">
        <v>52</v>
      </c>
      <c r="L619" s="1" t="s">
        <v>52</v>
      </c>
      <c r="M619" s="1">
        <v>2.77</v>
      </c>
      <c r="N619" s="1">
        <v>58</v>
      </c>
      <c r="O619" s="1">
        <v>67.898079999999993</v>
      </c>
      <c r="P619" s="1">
        <v>-168.24039999999999</v>
      </c>
      <c r="Q619" s="1">
        <v>3.605</v>
      </c>
      <c r="R619" s="1">
        <v>32.844999999999999</v>
      </c>
      <c r="S619" s="1">
        <v>313.54399999999998</v>
      </c>
      <c r="W619" s="3">
        <v>1.3571</v>
      </c>
      <c r="X619" s="1" t="s">
        <v>1079</v>
      </c>
      <c r="Y619" s="1">
        <v>2.08</v>
      </c>
      <c r="Z619" s="1">
        <v>0.14000000000000001</v>
      </c>
      <c r="AA619" s="1">
        <v>1.4570000000000001</v>
      </c>
      <c r="AB619" s="1">
        <v>17.7</v>
      </c>
      <c r="AC619" s="1">
        <v>12.7</v>
      </c>
      <c r="AD619" s="1">
        <v>0.17</v>
      </c>
      <c r="AE619" s="1">
        <v>3.1</v>
      </c>
      <c r="AF619" s="1">
        <v>12.87</v>
      </c>
      <c r="AH619" s="1" t="s">
        <v>1080</v>
      </c>
      <c r="AI619" s="1">
        <v>6</v>
      </c>
      <c r="AJ619" s="1" t="s">
        <v>1079</v>
      </c>
      <c r="AK619" s="1">
        <v>2</v>
      </c>
      <c r="AL619" s="1">
        <v>75.872299999999996</v>
      </c>
      <c r="AM619" s="1" t="s">
        <v>1079</v>
      </c>
      <c r="AS619" s="1" t="s">
        <v>1081</v>
      </c>
    </row>
    <row r="620" spans="1:46">
      <c r="A620" s="1" t="s">
        <v>1082</v>
      </c>
      <c r="B620" s="1">
        <v>145</v>
      </c>
      <c r="C620" s="1" t="s">
        <v>1082</v>
      </c>
      <c r="D620" s="1" t="s">
        <v>1083</v>
      </c>
      <c r="E620" s="1" t="s">
        <v>47</v>
      </c>
      <c r="F620" s="1" t="s">
        <v>1077</v>
      </c>
      <c r="G620" s="1" t="s">
        <v>456</v>
      </c>
      <c r="H620" s="2" t="s">
        <v>1084</v>
      </c>
      <c r="I620" s="1">
        <v>83</v>
      </c>
      <c r="J620" s="1">
        <v>0.2</v>
      </c>
      <c r="K620" s="1" t="s">
        <v>52</v>
      </c>
      <c r="L620" s="1" t="s">
        <v>52</v>
      </c>
      <c r="M620" s="1">
        <v>2.88</v>
      </c>
      <c r="N620" s="1">
        <v>51</v>
      </c>
      <c r="O620" s="1">
        <v>67.671580000000006</v>
      </c>
      <c r="P620" s="1">
        <v>-168.96288000000001</v>
      </c>
      <c r="Q620" s="1">
        <v>3.867</v>
      </c>
      <c r="R620" s="1">
        <v>32.884500000000003</v>
      </c>
      <c r="S620" s="1">
        <v>391.78300000000002</v>
      </c>
      <c r="T620" s="1">
        <v>1292.24</v>
      </c>
      <c r="U620" s="1">
        <v>217.94</v>
      </c>
      <c r="V620" s="1">
        <v>4139.99999999999</v>
      </c>
      <c r="W620" s="3">
        <v>12.9137</v>
      </c>
      <c r="X620" s="1" t="s">
        <v>1085</v>
      </c>
      <c r="Y620" s="1">
        <v>26.18</v>
      </c>
      <c r="Z620" s="1">
        <v>1.25</v>
      </c>
      <c r="AA620" s="1">
        <v>0.434</v>
      </c>
      <c r="AB620" s="1">
        <v>3.8</v>
      </c>
      <c r="AC620" s="1">
        <v>0.4</v>
      </c>
      <c r="AD620" s="1">
        <v>0.01</v>
      </c>
      <c r="AE620" s="1">
        <v>0.09</v>
      </c>
      <c r="AF620" s="1">
        <v>0.41</v>
      </c>
      <c r="AH620" s="1" t="s">
        <v>1086</v>
      </c>
      <c r="AI620" s="1">
        <v>22</v>
      </c>
      <c r="AJ620" s="1" t="s">
        <v>1085</v>
      </c>
      <c r="AK620" s="1">
        <v>1</v>
      </c>
      <c r="AL620" s="1">
        <v>69.540400000000005</v>
      </c>
      <c r="AM620" s="1" t="s">
        <v>1085</v>
      </c>
      <c r="AN620" s="1">
        <v>5.9293383500045902</v>
      </c>
      <c r="AO620" s="1">
        <v>0.89499446792522097</v>
      </c>
    </row>
    <row r="621" spans="1:46">
      <c r="A621" s="1" t="s">
        <v>2844</v>
      </c>
      <c r="C621" s="1" t="s">
        <v>2844</v>
      </c>
      <c r="D621" s="1" t="s">
        <v>2845</v>
      </c>
      <c r="E621" s="1" t="s">
        <v>1394</v>
      </c>
      <c r="F621" s="1" t="s">
        <v>1077</v>
      </c>
      <c r="G621" s="1" t="s">
        <v>456</v>
      </c>
      <c r="H621" s="2" t="s">
        <v>2846</v>
      </c>
      <c r="I621" s="1">
        <v>3</v>
      </c>
      <c r="J621" s="1">
        <v>0.2</v>
      </c>
      <c r="K621" s="1">
        <v>3.5</v>
      </c>
      <c r="L621" s="1" t="s">
        <v>52</v>
      </c>
      <c r="M621" s="1">
        <v>3.5459999999999998</v>
      </c>
      <c r="N621" s="1">
        <v>58.3</v>
      </c>
      <c r="O621" s="1">
        <v>67.897499999999994</v>
      </c>
      <c r="P621" s="1">
        <v>-168.2345</v>
      </c>
      <c r="Q621" s="1">
        <v>4.4729999999999999</v>
      </c>
      <c r="R621" s="1">
        <v>32.739899999999999</v>
      </c>
      <c r="S621" s="1">
        <v>319.04478569999998</v>
      </c>
      <c r="W621" s="3">
        <v>0.63790000000000002</v>
      </c>
      <c r="Y621" s="1">
        <v>2.242</v>
      </c>
      <c r="Z621" s="1">
        <v>0.81599999999999995</v>
      </c>
      <c r="AA621" s="1">
        <v>2.0910000000000002</v>
      </c>
      <c r="AB621" s="1">
        <v>38.5</v>
      </c>
      <c r="AC621" s="1">
        <v>14.6</v>
      </c>
      <c r="AD621" s="1">
        <v>0.31</v>
      </c>
      <c r="AE621" s="1">
        <v>5.1100000000000003</v>
      </c>
      <c r="AF621" s="1">
        <v>14.91</v>
      </c>
      <c r="AH621" s="8" t="s">
        <v>2847</v>
      </c>
      <c r="AI621" s="8">
        <v>13</v>
      </c>
      <c r="AJ621" s="8" t="s">
        <v>2848</v>
      </c>
      <c r="AK621" s="8">
        <v>2.5</v>
      </c>
      <c r="AM621" s="1" t="s">
        <v>2841</v>
      </c>
      <c r="AT621" s="8" t="s">
        <v>1607</v>
      </c>
    </row>
    <row r="622" spans="1:46">
      <c r="A622" s="1" t="s">
        <v>1087</v>
      </c>
      <c r="B622" s="1">
        <v>146</v>
      </c>
      <c r="C622" s="1" t="s">
        <v>1087</v>
      </c>
      <c r="D622" s="1" t="s">
        <v>1088</v>
      </c>
      <c r="E622" s="1" t="s">
        <v>47</v>
      </c>
      <c r="F622" s="1" t="s">
        <v>1077</v>
      </c>
      <c r="G622" s="1" t="s">
        <v>456</v>
      </c>
      <c r="H622" s="2" t="s">
        <v>1084</v>
      </c>
      <c r="I622" s="1">
        <v>83</v>
      </c>
      <c r="J622" s="1">
        <v>0.2</v>
      </c>
      <c r="K622" s="1" t="s">
        <v>1089</v>
      </c>
      <c r="L622" s="1" t="s">
        <v>65</v>
      </c>
      <c r="M622" s="1">
        <v>7.06</v>
      </c>
      <c r="N622" s="1">
        <v>51</v>
      </c>
      <c r="O622" s="1">
        <v>67.671580000000006</v>
      </c>
      <c r="P622" s="1">
        <v>-168.96288000000001</v>
      </c>
      <c r="Q622" s="1">
        <v>3.8664999999999998</v>
      </c>
      <c r="R622" s="1">
        <v>32.884</v>
      </c>
      <c r="S622" s="1">
        <v>390.678</v>
      </c>
      <c r="W622" s="3">
        <v>14.3538</v>
      </c>
      <c r="X622" s="1" t="s">
        <v>1090</v>
      </c>
      <c r="Y622" s="1">
        <v>24.6</v>
      </c>
      <c r="Z622" s="1">
        <v>0.89</v>
      </c>
      <c r="AA622" s="1">
        <v>0.46100000000000002</v>
      </c>
      <c r="AB622" s="1">
        <v>4.0999999999999996</v>
      </c>
      <c r="AC622" s="1">
        <v>0.6</v>
      </c>
      <c r="AD622" s="1">
        <v>0.02</v>
      </c>
      <c r="AE622" s="1">
        <v>0.17</v>
      </c>
      <c r="AF622" s="1">
        <v>0.62</v>
      </c>
      <c r="AH622" s="1" t="s">
        <v>1091</v>
      </c>
      <c r="AI622" s="1">
        <v>13</v>
      </c>
      <c r="AJ622" s="1" t="s">
        <v>1090</v>
      </c>
      <c r="AK622" s="1">
        <v>1</v>
      </c>
      <c r="AL622" s="1">
        <v>69.543099999999995</v>
      </c>
      <c r="AM622" s="1" t="s">
        <v>1090</v>
      </c>
      <c r="AS622" s="1" t="s">
        <v>1092</v>
      </c>
    </row>
    <row r="623" spans="1:46">
      <c r="A623" s="1" t="s">
        <v>1093</v>
      </c>
      <c r="B623" s="1">
        <v>147</v>
      </c>
      <c r="C623" s="1" t="s">
        <v>1093</v>
      </c>
      <c r="D623" s="1" t="s">
        <v>1094</v>
      </c>
      <c r="E623" s="1" t="s">
        <v>47</v>
      </c>
      <c r="F623" s="1" t="s">
        <v>1077</v>
      </c>
      <c r="G623" s="1" t="s">
        <v>456</v>
      </c>
      <c r="H623" s="2" t="s">
        <v>1084</v>
      </c>
      <c r="I623" s="1">
        <v>83</v>
      </c>
      <c r="J623" s="1">
        <v>0.2</v>
      </c>
      <c r="K623" s="1" t="s">
        <v>1089</v>
      </c>
      <c r="L623" s="1" t="s">
        <v>65</v>
      </c>
      <c r="M623" s="1">
        <v>16.760000000000002</v>
      </c>
      <c r="N623" s="1">
        <v>51</v>
      </c>
      <c r="O623" s="1">
        <v>67.671580000000006</v>
      </c>
      <c r="P623" s="1">
        <v>-168.96288000000001</v>
      </c>
      <c r="Q623" s="1">
        <v>3.8210000000000002</v>
      </c>
      <c r="R623" s="1">
        <v>32.887</v>
      </c>
      <c r="S623" s="1">
        <v>379.94299999999998</v>
      </c>
      <c r="W623" s="3">
        <v>13.033300000000001</v>
      </c>
      <c r="X623" s="1" t="s">
        <v>1095</v>
      </c>
      <c r="Y623" s="1">
        <v>13.81</v>
      </c>
      <c r="Z623" s="1">
        <v>1.19</v>
      </c>
      <c r="AA623" s="1">
        <v>0.60899999999999999</v>
      </c>
      <c r="AB623" s="1">
        <v>5.8</v>
      </c>
      <c r="AC623" s="1">
        <v>2.7</v>
      </c>
      <c r="AD623" s="1">
        <v>0.06</v>
      </c>
      <c r="AE623" s="1">
        <v>0.59</v>
      </c>
      <c r="AF623" s="1">
        <v>2.76</v>
      </c>
      <c r="AH623" s="1" t="s">
        <v>1096</v>
      </c>
      <c r="AI623" s="1">
        <v>5</v>
      </c>
      <c r="AJ623" s="1" t="s">
        <v>1095</v>
      </c>
      <c r="AK623" s="1">
        <v>1</v>
      </c>
      <c r="AL623" s="1">
        <v>70.139300000000006</v>
      </c>
      <c r="AM623" s="1" t="s">
        <v>1095</v>
      </c>
      <c r="AS623" s="1" t="s">
        <v>1097</v>
      </c>
    </row>
    <row r="624" spans="1:46">
      <c r="A624" s="1" t="s">
        <v>1098</v>
      </c>
      <c r="B624" s="1">
        <v>143</v>
      </c>
      <c r="C624" s="1" t="s">
        <v>1098</v>
      </c>
      <c r="D624" s="1" t="s">
        <v>1099</v>
      </c>
      <c r="E624" s="1" t="s">
        <v>47</v>
      </c>
      <c r="F624" s="1" t="s">
        <v>1077</v>
      </c>
      <c r="G624" s="1" t="s">
        <v>456</v>
      </c>
      <c r="H624" s="2" t="s">
        <v>1078</v>
      </c>
      <c r="I624" s="1">
        <v>82</v>
      </c>
      <c r="J624" s="1">
        <v>0.2</v>
      </c>
      <c r="K624" s="1" t="s">
        <v>65</v>
      </c>
      <c r="L624" s="1" t="s">
        <v>65</v>
      </c>
      <c r="M624" s="1">
        <v>19.7</v>
      </c>
      <c r="N624" s="1">
        <v>58</v>
      </c>
      <c r="O624" s="1">
        <v>67.898079999999993</v>
      </c>
      <c r="P624" s="1">
        <v>-168.24039999999999</v>
      </c>
      <c r="Q624" s="1">
        <v>3.1055000000000001</v>
      </c>
      <c r="R624" s="1">
        <v>32.853999999999999</v>
      </c>
      <c r="S624" s="1">
        <v>306.625</v>
      </c>
      <c r="W624" s="3">
        <v>1.7428999999999999</v>
      </c>
      <c r="X624" s="1" t="s">
        <v>1100</v>
      </c>
      <c r="Y624" s="1">
        <v>1.8</v>
      </c>
      <c r="Z624" s="1">
        <v>1.18</v>
      </c>
      <c r="AA624" s="1">
        <v>1.518</v>
      </c>
      <c r="AB624" s="1">
        <v>17.8</v>
      </c>
      <c r="AC624" s="1">
        <v>12.5</v>
      </c>
      <c r="AD624" s="1">
        <v>0.17</v>
      </c>
      <c r="AE624" s="1">
        <v>3.72</v>
      </c>
      <c r="AF624" s="1">
        <v>12.67</v>
      </c>
      <c r="AH624" s="1" t="s">
        <v>1101</v>
      </c>
      <c r="AI624" s="1">
        <v>4</v>
      </c>
      <c r="AJ624" s="1" t="s">
        <v>1100</v>
      </c>
      <c r="AK624" s="1">
        <v>2</v>
      </c>
      <c r="AL624" s="1">
        <v>74.557199999999995</v>
      </c>
      <c r="AM624" s="1" t="s">
        <v>1100</v>
      </c>
    </row>
    <row r="625" spans="1:46">
      <c r="A625" s="1" t="s">
        <v>2849</v>
      </c>
      <c r="C625" s="1" t="s">
        <v>2849</v>
      </c>
      <c r="D625" s="1" t="s">
        <v>2850</v>
      </c>
      <c r="E625" s="1" t="s">
        <v>1394</v>
      </c>
      <c r="F625" s="1" t="s">
        <v>1077</v>
      </c>
      <c r="G625" s="1" t="s">
        <v>456</v>
      </c>
      <c r="H625" s="2" t="s">
        <v>2846</v>
      </c>
      <c r="I625" s="1">
        <v>3</v>
      </c>
      <c r="J625" s="1">
        <v>0.2</v>
      </c>
      <c r="K625" s="1">
        <v>20</v>
      </c>
      <c r="L625" s="1" t="s">
        <v>65</v>
      </c>
      <c r="M625" s="1">
        <v>20.49</v>
      </c>
      <c r="N625" s="1">
        <v>58.3</v>
      </c>
      <c r="O625" s="1">
        <v>67.897499999999994</v>
      </c>
      <c r="P625" s="1">
        <v>-168.2345</v>
      </c>
      <c r="Q625" s="1">
        <v>4.4613500000000004</v>
      </c>
      <c r="R625" s="1">
        <v>32.739249999999998</v>
      </c>
      <c r="S625" s="1">
        <v>318.28108259999999</v>
      </c>
      <c r="W625" s="3">
        <v>0.75329999999999997</v>
      </c>
      <c r="X625" s="1" t="s">
        <v>2851</v>
      </c>
      <c r="Y625" s="1">
        <v>1.6879999999999999</v>
      </c>
      <c r="Z625" s="1">
        <v>0.82599999999999996</v>
      </c>
      <c r="AA625" s="1">
        <v>2.1030000000000002</v>
      </c>
      <c r="AB625" s="1">
        <v>38.6</v>
      </c>
      <c r="AC625" s="1">
        <v>14.7</v>
      </c>
      <c r="AD625" s="1">
        <v>0.31</v>
      </c>
      <c r="AE625" s="1">
        <v>5.15</v>
      </c>
      <c r="AF625" s="1">
        <v>15.01</v>
      </c>
      <c r="AH625" s="8" t="s">
        <v>2852</v>
      </c>
      <c r="AI625" s="8">
        <v>10</v>
      </c>
      <c r="AJ625" s="8" t="s">
        <v>2853</v>
      </c>
      <c r="AK625" s="8">
        <v>2.8</v>
      </c>
      <c r="AM625" s="1" t="s">
        <v>2851</v>
      </c>
      <c r="AT625" s="8" t="s">
        <v>1607</v>
      </c>
    </row>
    <row r="626" spans="1:46">
      <c r="A626" s="1" t="s">
        <v>1102</v>
      </c>
      <c r="B626" s="1">
        <v>148</v>
      </c>
      <c r="C626" s="1" t="s">
        <v>1102</v>
      </c>
      <c r="D626" s="1" t="s">
        <v>1103</v>
      </c>
      <c r="E626" s="1" t="s">
        <v>47</v>
      </c>
      <c r="F626" s="1" t="s">
        <v>1077</v>
      </c>
      <c r="G626" s="1" t="s">
        <v>456</v>
      </c>
      <c r="H626" s="2" t="s">
        <v>1084</v>
      </c>
      <c r="I626" s="1">
        <v>83</v>
      </c>
      <c r="J626" s="1">
        <v>0.2</v>
      </c>
      <c r="K626" s="1" t="s">
        <v>1089</v>
      </c>
      <c r="L626" s="1" t="s">
        <v>65</v>
      </c>
      <c r="M626" s="1">
        <v>26.05</v>
      </c>
      <c r="N626" s="1">
        <v>51</v>
      </c>
      <c r="O626" s="1">
        <v>67.671580000000006</v>
      </c>
      <c r="P626" s="1">
        <v>-168.96288000000001</v>
      </c>
      <c r="Q626" s="1">
        <v>3.4474999999999998</v>
      </c>
      <c r="R626" s="1">
        <v>32.895499999999998</v>
      </c>
      <c r="S626" s="1">
        <v>328.04399999999998</v>
      </c>
      <c r="W626" s="3">
        <v>7.6006999999999998</v>
      </c>
      <c r="X626" s="1" t="s">
        <v>1104</v>
      </c>
      <c r="Y626" s="1">
        <v>12.12</v>
      </c>
      <c r="Z626" s="1">
        <v>2.06</v>
      </c>
      <c r="AA626" s="1">
        <v>1.2130000000000001</v>
      </c>
      <c r="AB626" s="1">
        <v>13.2</v>
      </c>
      <c r="AC626" s="1">
        <v>10.1</v>
      </c>
      <c r="AD626" s="1">
        <v>0.17</v>
      </c>
      <c r="AE626" s="1">
        <v>2.77</v>
      </c>
      <c r="AF626" s="1">
        <v>10.27</v>
      </c>
      <c r="AH626" s="1" t="s">
        <v>1105</v>
      </c>
      <c r="AI626" s="1">
        <v>1</v>
      </c>
      <c r="AJ626" s="1" t="s">
        <v>1104</v>
      </c>
      <c r="AK626" s="1">
        <v>1</v>
      </c>
      <c r="AL626" s="1">
        <v>75.817400000000006</v>
      </c>
      <c r="AM626" s="1" t="s">
        <v>1104</v>
      </c>
    </row>
    <row r="627" spans="1:46">
      <c r="A627" s="1" t="s">
        <v>2854</v>
      </c>
      <c r="C627" s="1" t="s">
        <v>2854</v>
      </c>
      <c r="D627" s="1" t="s">
        <v>2855</v>
      </c>
      <c r="E627" s="1" t="s">
        <v>1466</v>
      </c>
      <c r="F627" s="1" t="s">
        <v>1077</v>
      </c>
      <c r="G627" s="1" t="s">
        <v>456</v>
      </c>
      <c r="H627" s="2" t="s">
        <v>2856</v>
      </c>
      <c r="I627" s="1">
        <v>3</v>
      </c>
      <c r="J627" s="1">
        <v>0.2</v>
      </c>
      <c r="K627" s="1" t="s">
        <v>78</v>
      </c>
      <c r="L627" s="1" t="s">
        <v>78</v>
      </c>
      <c r="M627" s="1">
        <v>53.54</v>
      </c>
      <c r="N627" s="1">
        <v>59</v>
      </c>
      <c r="O627" s="1">
        <v>67.897000000000006</v>
      </c>
      <c r="P627" s="1">
        <v>-168.23678000000001</v>
      </c>
      <c r="Q627" s="1">
        <v>3.9396</v>
      </c>
      <c r="R627" s="1">
        <v>32.515300000000003</v>
      </c>
      <c r="S627" s="1">
        <v>261.04950000000002</v>
      </c>
      <c r="W627" s="3">
        <v>0.504</v>
      </c>
      <c r="X627" s="1" t="s">
        <v>2857</v>
      </c>
      <c r="Y627" s="1">
        <v>2.16</v>
      </c>
      <c r="AA627" s="1">
        <v>1.47</v>
      </c>
      <c r="AB627" s="1">
        <v>34.17</v>
      </c>
      <c r="AE627" s="1">
        <v>3.8</v>
      </c>
      <c r="AF627" s="1">
        <v>7.03</v>
      </c>
      <c r="AI627" s="1">
        <v>1</v>
      </c>
      <c r="AJ627" s="1" t="s">
        <v>2857</v>
      </c>
      <c r="AK627" s="1">
        <v>1.4</v>
      </c>
      <c r="AL627" s="1">
        <v>23.9634</v>
      </c>
      <c r="AM627" s="1" t="s">
        <v>2857</v>
      </c>
      <c r="AP627" s="1" t="s">
        <v>2858</v>
      </c>
      <c r="AQ627" s="1">
        <v>-1.06</v>
      </c>
      <c r="AR627" s="1">
        <v>26.1</v>
      </c>
      <c r="AT627" s="1">
        <v>55</v>
      </c>
    </row>
    <row r="628" spans="1:46">
      <c r="A628" s="1" t="s">
        <v>1106</v>
      </c>
      <c r="B628" s="1">
        <v>144</v>
      </c>
      <c r="C628" s="1" t="s">
        <v>1106</v>
      </c>
      <c r="D628" s="1" t="s">
        <v>1107</v>
      </c>
      <c r="E628" s="1" t="s">
        <v>47</v>
      </c>
      <c r="F628" s="1" t="s">
        <v>1077</v>
      </c>
      <c r="G628" s="1" t="s">
        <v>456</v>
      </c>
      <c r="H628" s="2" t="s">
        <v>1078</v>
      </c>
      <c r="I628" s="1">
        <v>82</v>
      </c>
      <c r="J628" s="1">
        <v>0.2</v>
      </c>
      <c r="K628" s="1" t="s">
        <v>150</v>
      </c>
      <c r="L628" s="1" t="s">
        <v>78</v>
      </c>
      <c r="M628" s="1">
        <v>55.15</v>
      </c>
      <c r="N628" s="1">
        <v>58</v>
      </c>
      <c r="O628" s="1">
        <v>67.898060000000001</v>
      </c>
      <c r="P628" s="1">
        <v>-168.24039999999999</v>
      </c>
      <c r="Q628" s="1">
        <v>2.835</v>
      </c>
      <c r="R628" s="1">
        <v>32.845500000000001</v>
      </c>
      <c r="S628" s="1">
        <v>285.89999999999998</v>
      </c>
      <c r="W628" s="3">
        <v>0.9738</v>
      </c>
      <c r="X628" s="1" t="s">
        <v>1108</v>
      </c>
      <c r="Y628" s="1">
        <v>1.07</v>
      </c>
      <c r="Z628" s="1">
        <v>4.21</v>
      </c>
      <c r="AA628" s="1">
        <v>1.6</v>
      </c>
      <c r="AB628" s="1">
        <v>22.9</v>
      </c>
      <c r="AC628" s="1">
        <v>12.4</v>
      </c>
      <c r="AD628" s="1">
        <v>0.19</v>
      </c>
      <c r="AE628" s="1">
        <v>5.25</v>
      </c>
      <c r="AF628" s="1">
        <v>12.59</v>
      </c>
      <c r="AH628" s="1" t="s">
        <v>1109</v>
      </c>
      <c r="AI628" s="1">
        <v>1</v>
      </c>
      <c r="AJ628" s="1" t="s">
        <v>1108</v>
      </c>
      <c r="AK628" s="1">
        <v>2</v>
      </c>
      <c r="AL628" s="1">
        <v>21.5549</v>
      </c>
      <c r="AM628" s="1" t="s">
        <v>1108</v>
      </c>
    </row>
    <row r="629" spans="1:46">
      <c r="A629" s="1" t="s">
        <v>2859</v>
      </c>
      <c r="C629" s="1" t="s">
        <v>2859</v>
      </c>
      <c r="D629" s="1" t="s">
        <v>2860</v>
      </c>
      <c r="E629" s="1" t="s">
        <v>1394</v>
      </c>
      <c r="F629" s="1" t="s">
        <v>1077</v>
      </c>
      <c r="G629" s="1" t="s">
        <v>456</v>
      </c>
      <c r="H629" s="2" t="s">
        <v>2846</v>
      </c>
      <c r="I629" s="1">
        <v>3</v>
      </c>
      <c r="J629" s="1">
        <v>0.2</v>
      </c>
      <c r="K629" s="1" t="s">
        <v>78</v>
      </c>
      <c r="L629" s="1" t="s">
        <v>78</v>
      </c>
      <c r="M629" s="1">
        <v>55.462000000000003</v>
      </c>
      <c r="N629" s="1">
        <v>58.3</v>
      </c>
      <c r="O629" s="1">
        <v>67.897499999999994</v>
      </c>
      <c r="P629" s="1">
        <v>-168.2345</v>
      </c>
      <c r="Q629" s="1">
        <v>2.6894499999999999</v>
      </c>
      <c r="R629" s="1">
        <v>32.8292</v>
      </c>
      <c r="S629" s="1">
        <v>181.6675497</v>
      </c>
      <c r="W629" s="3">
        <v>0.33960000000000001</v>
      </c>
      <c r="X629" s="1" t="s">
        <v>2861</v>
      </c>
      <c r="Y629" s="1">
        <v>0.81200000000000006</v>
      </c>
      <c r="Z629" s="1">
        <v>1.78</v>
      </c>
      <c r="AA629" s="1">
        <v>2.7440000000000002</v>
      </c>
      <c r="AB629" s="1">
        <v>61.2</v>
      </c>
      <c r="AC629" s="1">
        <v>10.6</v>
      </c>
      <c r="AD629" s="1">
        <v>1</v>
      </c>
      <c r="AE629" s="1">
        <v>8.57</v>
      </c>
      <c r="AF629" s="1">
        <v>11.6</v>
      </c>
      <c r="AH629" s="8" t="s">
        <v>2862</v>
      </c>
      <c r="AI629" s="8">
        <v>4</v>
      </c>
      <c r="AJ629" s="8" t="s">
        <v>2863</v>
      </c>
      <c r="AK629" s="8">
        <v>3</v>
      </c>
      <c r="AM629" s="1" t="s">
        <v>2861</v>
      </c>
      <c r="AT629" s="8" t="s">
        <v>1607</v>
      </c>
    </row>
    <row r="630" spans="1:46">
      <c r="A630" s="1" t="s">
        <v>2864</v>
      </c>
      <c r="C630" s="1" t="s">
        <v>2864</v>
      </c>
      <c r="D630" s="1" t="s">
        <v>2865</v>
      </c>
      <c r="E630" s="1" t="s">
        <v>1394</v>
      </c>
      <c r="F630" s="1" t="s">
        <v>1077</v>
      </c>
      <c r="G630" s="1" t="s">
        <v>456</v>
      </c>
      <c r="I630" s="1">
        <v>3</v>
      </c>
      <c r="J630" s="1">
        <v>0.2</v>
      </c>
      <c r="K630" s="1" t="s">
        <v>78</v>
      </c>
      <c r="L630" s="1" t="s">
        <v>78</v>
      </c>
      <c r="O630" s="1">
        <v>67.897499999999994</v>
      </c>
      <c r="P630" s="1">
        <v>-168.2345</v>
      </c>
      <c r="AH630" s="7" t="s">
        <v>2865</v>
      </c>
      <c r="AI630" s="8" t="s">
        <v>2866</v>
      </c>
      <c r="AJ630" s="8" t="s">
        <v>2867</v>
      </c>
      <c r="AK630" s="8"/>
      <c r="AM630" s="1" t="s">
        <v>2868</v>
      </c>
      <c r="AT630" s="8"/>
    </row>
    <row r="631" spans="1:46">
      <c r="A631" s="1" t="s">
        <v>2869</v>
      </c>
      <c r="C631" s="1" t="s">
        <v>2869</v>
      </c>
      <c r="D631" s="1" t="s">
        <v>2870</v>
      </c>
      <c r="E631" s="1" t="s">
        <v>1394</v>
      </c>
      <c r="F631" s="1" t="s">
        <v>1077</v>
      </c>
      <c r="G631" s="1" t="s">
        <v>456</v>
      </c>
      <c r="I631" s="1">
        <v>3</v>
      </c>
      <c r="J631" s="1">
        <v>0.2</v>
      </c>
      <c r="K631" s="1" t="s">
        <v>78</v>
      </c>
      <c r="L631" s="1" t="s">
        <v>78</v>
      </c>
      <c r="O631" s="1">
        <v>67.897499999999994</v>
      </c>
      <c r="P631" s="1">
        <v>-168.2345</v>
      </c>
      <c r="AH631" s="7" t="s">
        <v>2870</v>
      </c>
      <c r="AI631" s="8" t="s">
        <v>2866</v>
      </c>
      <c r="AJ631" s="8" t="s">
        <v>2867</v>
      </c>
      <c r="AK631" s="8"/>
      <c r="AM631" s="1" t="s">
        <v>2868</v>
      </c>
      <c r="AT631" s="8"/>
    </row>
    <row r="632" spans="1:46">
      <c r="A632" s="1" t="s">
        <v>1110</v>
      </c>
      <c r="B632" s="1">
        <v>138</v>
      </c>
      <c r="C632" s="1" t="s">
        <v>1110</v>
      </c>
      <c r="D632" s="1" t="s">
        <v>1111</v>
      </c>
      <c r="E632" s="1" t="s">
        <v>47</v>
      </c>
      <c r="F632" s="1" t="s">
        <v>1112</v>
      </c>
      <c r="G632" s="1" t="s">
        <v>456</v>
      </c>
      <c r="H632" s="2" t="s">
        <v>1113</v>
      </c>
      <c r="I632" s="1">
        <v>81</v>
      </c>
      <c r="J632" s="1">
        <v>0.2</v>
      </c>
      <c r="K632" s="1" t="s">
        <v>1114</v>
      </c>
      <c r="L632" s="1" t="s">
        <v>52</v>
      </c>
      <c r="M632" s="1">
        <v>2.71</v>
      </c>
      <c r="N632" s="1">
        <v>50</v>
      </c>
      <c r="O632" s="1">
        <v>67.783420000000007</v>
      </c>
      <c r="P632" s="1">
        <v>-168.59994</v>
      </c>
      <c r="Q632" s="1">
        <v>3.7814999999999999</v>
      </c>
      <c r="R632" s="1">
        <v>32.825499999999998</v>
      </c>
      <c r="S632" s="1">
        <v>354.48700000000002</v>
      </c>
      <c r="T632" s="1">
        <v>530.26</v>
      </c>
      <c r="U632" s="1">
        <v>94.78</v>
      </c>
      <c r="V632" s="1">
        <v>20020</v>
      </c>
      <c r="W632" s="3">
        <v>5.2946</v>
      </c>
      <c r="X632" s="1" t="s">
        <v>1115</v>
      </c>
      <c r="Y632" s="1">
        <v>9.44</v>
      </c>
      <c r="Z632" s="1">
        <v>1.43</v>
      </c>
      <c r="AA632" s="1">
        <v>0.89700000000000002</v>
      </c>
      <c r="AB632" s="1">
        <v>8.8000000000000007</v>
      </c>
      <c r="AC632" s="1">
        <v>5.9</v>
      </c>
      <c r="AD632" s="1">
        <v>0.15</v>
      </c>
      <c r="AE632" s="1">
        <v>0.67</v>
      </c>
      <c r="AF632" s="1">
        <v>6.05</v>
      </c>
      <c r="AH632" s="1" t="s">
        <v>1116</v>
      </c>
      <c r="AI632" s="1">
        <v>6</v>
      </c>
      <c r="AJ632" s="1" t="s">
        <v>1115</v>
      </c>
      <c r="AK632" s="1">
        <v>1.8</v>
      </c>
      <c r="AL632" s="1">
        <v>75.951300000000003</v>
      </c>
      <c r="AM632" s="1" t="s">
        <v>1115</v>
      </c>
      <c r="AN632" s="1">
        <v>5.59464021945558</v>
      </c>
      <c r="AO632" s="1">
        <v>0.84447399538952195</v>
      </c>
      <c r="AS632" s="1" t="s">
        <v>1117</v>
      </c>
    </row>
    <row r="633" spans="1:46">
      <c r="A633" s="1" t="s">
        <v>2871</v>
      </c>
      <c r="C633" s="1" t="s">
        <v>2871</v>
      </c>
      <c r="D633" s="1" t="s">
        <v>2872</v>
      </c>
      <c r="E633" s="1" t="s">
        <v>1394</v>
      </c>
      <c r="F633" s="1" t="s">
        <v>1112</v>
      </c>
      <c r="G633" s="1" t="s">
        <v>456</v>
      </c>
      <c r="H633" s="2" t="s">
        <v>2846</v>
      </c>
      <c r="I633" s="1">
        <v>2</v>
      </c>
      <c r="J633" s="1">
        <v>0.2</v>
      </c>
      <c r="K633" s="1">
        <v>1</v>
      </c>
      <c r="L633" s="1" t="s">
        <v>52</v>
      </c>
      <c r="M633" s="1">
        <v>3.319</v>
      </c>
      <c r="N633" s="1">
        <v>50.4</v>
      </c>
      <c r="O633" s="1">
        <v>67.783333330000005</v>
      </c>
      <c r="P633" s="1">
        <v>-168.5963333</v>
      </c>
      <c r="Q633" s="1">
        <v>5.9539999999999997</v>
      </c>
      <c r="R633" s="1">
        <v>30.336549999999999</v>
      </c>
      <c r="S633" s="1">
        <v>333.60873779999997</v>
      </c>
      <c r="W633" s="3">
        <v>0.7288</v>
      </c>
      <c r="X633" s="1" t="s">
        <v>2873</v>
      </c>
      <c r="Y633" s="1">
        <v>1.583</v>
      </c>
      <c r="Z633" s="1">
        <v>0.76800000000000002</v>
      </c>
      <c r="AA633" s="1">
        <v>0.69499999999999995</v>
      </c>
      <c r="AB633" s="1">
        <v>9.8000000000000007</v>
      </c>
      <c r="AC633" s="1">
        <v>0.6</v>
      </c>
      <c r="AD633" s="1">
        <v>0.05</v>
      </c>
      <c r="AE633" s="1">
        <v>0.23</v>
      </c>
      <c r="AF633" s="1">
        <v>0.65</v>
      </c>
      <c r="AH633" s="8" t="s">
        <v>2874</v>
      </c>
      <c r="AI633" s="8">
        <v>16</v>
      </c>
      <c r="AJ633" s="8" t="s">
        <v>2875</v>
      </c>
      <c r="AK633" s="8">
        <v>3.4</v>
      </c>
      <c r="AM633" s="1" t="s">
        <v>2873</v>
      </c>
      <c r="AT633" s="8" t="s">
        <v>1607</v>
      </c>
    </row>
    <row r="634" spans="1:46">
      <c r="A634" s="1" t="s">
        <v>1118</v>
      </c>
      <c r="B634" s="1">
        <v>139</v>
      </c>
      <c r="C634" s="1" t="s">
        <v>1118</v>
      </c>
      <c r="D634" s="1" t="s">
        <v>1119</v>
      </c>
      <c r="E634" s="1" t="s">
        <v>47</v>
      </c>
      <c r="F634" s="1" t="s">
        <v>1112</v>
      </c>
      <c r="G634" s="1" t="s">
        <v>456</v>
      </c>
      <c r="H634" s="2" t="s">
        <v>1113</v>
      </c>
      <c r="I634" s="1">
        <v>81</v>
      </c>
      <c r="J634" s="1">
        <v>0.2</v>
      </c>
      <c r="K634" s="1">
        <v>10</v>
      </c>
      <c r="L634" s="1" t="s">
        <v>65</v>
      </c>
      <c r="M634" s="1">
        <v>9.85</v>
      </c>
      <c r="N634" s="1">
        <v>50</v>
      </c>
      <c r="O634" s="1">
        <v>67.783420000000007</v>
      </c>
      <c r="P634" s="1">
        <v>-168.59994</v>
      </c>
      <c r="Q634" s="1">
        <v>3.569</v>
      </c>
      <c r="R634" s="1">
        <v>32.840000000000003</v>
      </c>
      <c r="S634" s="1">
        <v>319.19</v>
      </c>
      <c r="T634" s="1">
        <v>253.64</v>
      </c>
      <c r="U634" s="1">
        <v>43.06</v>
      </c>
      <c r="V634" s="1">
        <v>8080</v>
      </c>
      <c r="W634" s="3">
        <v>2.4359999999999999</v>
      </c>
      <c r="X634" s="1" t="s">
        <v>1120</v>
      </c>
      <c r="Y634" s="1">
        <v>3.46</v>
      </c>
      <c r="Z634" s="1">
        <v>1.76</v>
      </c>
      <c r="AA634" s="1">
        <v>1.274</v>
      </c>
      <c r="AB634" s="1">
        <v>13.6</v>
      </c>
      <c r="AC634" s="1">
        <v>10.4</v>
      </c>
      <c r="AD634" s="1">
        <v>0.16</v>
      </c>
      <c r="AE634" s="1">
        <v>2.76</v>
      </c>
      <c r="AF634" s="1">
        <v>10.56</v>
      </c>
      <c r="AH634" s="1" t="s">
        <v>1121</v>
      </c>
      <c r="AI634" s="1">
        <v>5</v>
      </c>
      <c r="AJ634" s="1" t="s">
        <v>1120</v>
      </c>
      <c r="AK634" s="1">
        <v>1.8</v>
      </c>
      <c r="AL634" s="1">
        <v>76.661600000000007</v>
      </c>
      <c r="AM634" s="1" t="s">
        <v>1120</v>
      </c>
      <c r="AN634" s="1">
        <v>5.8903855085926597</v>
      </c>
      <c r="AO634" s="1">
        <v>0.88911479374983504</v>
      </c>
      <c r="AS634" s="1" t="s">
        <v>512</v>
      </c>
    </row>
    <row r="635" spans="1:46">
      <c r="A635" s="1" t="s">
        <v>2876</v>
      </c>
      <c r="C635" s="1" t="s">
        <v>2876</v>
      </c>
      <c r="D635" s="1" t="s">
        <v>2877</v>
      </c>
      <c r="E635" s="1" t="s">
        <v>1394</v>
      </c>
      <c r="F635" s="1" t="s">
        <v>1112</v>
      </c>
      <c r="G635" s="1" t="s">
        <v>456</v>
      </c>
      <c r="H635" s="2" t="s">
        <v>2846</v>
      </c>
      <c r="I635" s="1">
        <v>2</v>
      </c>
      <c r="J635" s="1">
        <v>0.2</v>
      </c>
      <c r="K635" s="1">
        <v>10</v>
      </c>
      <c r="L635" s="1" t="s">
        <v>65</v>
      </c>
      <c r="M635" s="1">
        <v>11.003</v>
      </c>
      <c r="N635" s="1">
        <v>50.4</v>
      </c>
      <c r="O635" s="1">
        <v>67.783333330000005</v>
      </c>
      <c r="P635" s="1">
        <v>-168.5963333</v>
      </c>
      <c r="Q635" s="1">
        <v>4.9040499999999998</v>
      </c>
      <c r="R635" s="1">
        <v>32.499250000000004</v>
      </c>
      <c r="S635" s="1">
        <v>318.00865049999999</v>
      </c>
      <c r="W635" s="3">
        <v>0.94979999999999998</v>
      </c>
      <c r="Y635" s="1">
        <v>1.8</v>
      </c>
      <c r="Z635" s="1">
        <v>0.69899999999999995</v>
      </c>
      <c r="AA635" s="1">
        <v>1.6619999999999999</v>
      </c>
      <c r="AB635" s="1">
        <v>29.3</v>
      </c>
      <c r="AC635" s="1">
        <v>11.8</v>
      </c>
      <c r="AD635" s="1">
        <v>0.26</v>
      </c>
      <c r="AE635" s="1">
        <v>3.45</v>
      </c>
      <c r="AF635" s="1">
        <v>12.06</v>
      </c>
      <c r="AH635" s="8" t="s">
        <v>2878</v>
      </c>
      <c r="AI635" s="8">
        <v>13</v>
      </c>
      <c r="AJ635" s="8" t="s">
        <v>2879</v>
      </c>
      <c r="AK635" s="8">
        <v>3.5</v>
      </c>
      <c r="AM635" s="1" t="s">
        <v>2880</v>
      </c>
      <c r="AT635" s="8" t="s">
        <v>1607</v>
      </c>
    </row>
    <row r="636" spans="1:46">
      <c r="A636" s="1" t="s">
        <v>2881</v>
      </c>
      <c r="C636" s="1" t="s">
        <v>2881</v>
      </c>
      <c r="D636" s="1" t="s">
        <v>2882</v>
      </c>
      <c r="E636" s="1" t="s">
        <v>1394</v>
      </c>
      <c r="F636" s="1" t="s">
        <v>1112</v>
      </c>
      <c r="G636" s="1" t="s">
        <v>456</v>
      </c>
      <c r="H636" s="2" t="s">
        <v>2846</v>
      </c>
      <c r="I636" s="1">
        <v>2</v>
      </c>
      <c r="J636" s="1">
        <v>0.2</v>
      </c>
      <c r="K636" s="1">
        <v>16</v>
      </c>
      <c r="L636" s="1" t="s">
        <v>65</v>
      </c>
      <c r="M636" s="1">
        <v>15.629</v>
      </c>
      <c r="N636" s="1">
        <v>50.4</v>
      </c>
      <c r="O636" s="1">
        <v>67.783333330000005</v>
      </c>
      <c r="P636" s="1">
        <v>-168.5963333</v>
      </c>
      <c r="Q636" s="1">
        <v>4.5329499999999996</v>
      </c>
      <c r="R636" s="1">
        <v>32.671399999999998</v>
      </c>
      <c r="S636" s="1">
        <v>304.31558790000003</v>
      </c>
      <c r="W636" s="3">
        <v>1.2082999999999999</v>
      </c>
      <c r="X636" s="1" t="s">
        <v>2883</v>
      </c>
      <c r="AH636" s="8" t="s">
        <v>2884</v>
      </c>
      <c r="AI636" s="8">
        <v>12</v>
      </c>
      <c r="AJ636" s="8" t="s">
        <v>2885</v>
      </c>
      <c r="AK636" s="8">
        <v>3.1</v>
      </c>
      <c r="AM636" s="1" t="s">
        <v>2883</v>
      </c>
      <c r="AT636" s="8" t="s">
        <v>1607</v>
      </c>
    </row>
    <row r="637" spans="1:46">
      <c r="A637" s="1" t="s">
        <v>1122</v>
      </c>
      <c r="B637" s="1">
        <v>140</v>
      </c>
      <c r="C637" s="1" t="s">
        <v>1122</v>
      </c>
      <c r="D637" s="1" t="s">
        <v>1123</v>
      </c>
      <c r="E637" s="1" t="s">
        <v>47</v>
      </c>
      <c r="F637" s="1" t="s">
        <v>1112</v>
      </c>
      <c r="G637" s="1" t="s">
        <v>456</v>
      </c>
      <c r="H637" s="2" t="s">
        <v>1113</v>
      </c>
      <c r="I637" s="1">
        <v>81</v>
      </c>
      <c r="J637" s="1">
        <v>0.2</v>
      </c>
      <c r="K637" s="1">
        <v>20</v>
      </c>
      <c r="L637" s="1" t="s">
        <v>65</v>
      </c>
      <c r="M637" s="1">
        <v>19.91</v>
      </c>
      <c r="N637" s="1">
        <v>50</v>
      </c>
      <c r="O637" s="1">
        <v>67.783420000000007</v>
      </c>
      <c r="P637" s="1">
        <v>-168.59994</v>
      </c>
      <c r="Q637" s="1">
        <v>3.3559999999999999</v>
      </c>
      <c r="R637" s="1">
        <v>32.836500000000001</v>
      </c>
      <c r="S637" s="1">
        <v>307.226</v>
      </c>
      <c r="W637" s="3">
        <v>1.5102</v>
      </c>
      <c r="X637" s="1" t="s">
        <v>1124</v>
      </c>
      <c r="Y637" s="1">
        <v>1.75</v>
      </c>
      <c r="Z637" s="1">
        <v>2.23</v>
      </c>
      <c r="AA637" s="1">
        <v>1.39</v>
      </c>
      <c r="AB637" s="1">
        <v>15.5</v>
      </c>
      <c r="AC637" s="1">
        <v>10.6</v>
      </c>
      <c r="AD637" s="1">
        <v>0.17</v>
      </c>
      <c r="AE637" s="1">
        <v>4.16</v>
      </c>
      <c r="AF637" s="1">
        <v>10.77</v>
      </c>
      <c r="AH637" s="1" t="s">
        <v>1125</v>
      </c>
      <c r="AI637" s="1">
        <v>4</v>
      </c>
      <c r="AJ637" s="1" t="s">
        <v>1124</v>
      </c>
      <c r="AK637" s="1">
        <v>1.8</v>
      </c>
      <c r="AL637" s="1">
        <v>69.4572</v>
      </c>
      <c r="AM637" s="1" t="s">
        <v>1124</v>
      </c>
      <c r="AS637" s="1" t="s">
        <v>1126</v>
      </c>
    </row>
    <row r="638" spans="1:46">
      <c r="A638" s="1" t="s">
        <v>2886</v>
      </c>
      <c r="C638" s="1" t="s">
        <v>2886</v>
      </c>
      <c r="D638" s="1" t="s">
        <v>2887</v>
      </c>
      <c r="E638" s="1" t="s">
        <v>1394</v>
      </c>
      <c r="F638" s="1" t="s">
        <v>1112</v>
      </c>
      <c r="G638" s="1" t="s">
        <v>456</v>
      </c>
      <c r="H638" s="2" t="s">
        <v>2846</v>
      </c>
      <c r="I638" s="1">
        <v>2</v>
      </c>
      <c r="J638" s="1">
        <v>0.2</v>
      </c>
      <c r="K638" s="1">
        <v>20</v>
      </c>
      <c r="L638" s="1" t="s">
        <v>65</v>
      </c>
      <c r="M638" s="1">
        <v>20.803999999999998</v>
      </c>
      <c r="N638" s="1">
        <v>50.4</v>
      </c>
      <c r="O638" s="1">
        <v>67.783333330000005</v>
      </c>
      <c r="P638" s="1">
        <v>-168.5963333</v>
      </c>
      <c r="Q638" s="1">
        <v>4.2477499999999999</v>
      </c>
      <c r="R638" s="1">
        <v>32.717100000000002</v>
      </c>
      <c r="S638" s="1">
        <v>290.01513569999997</v>
      </c>
      <c r="W638" s="3">
        <v>0.91469999999999996</v>
      </c>
      <c r="X638" s="1" t="s">
        <v>1663</v>
      </c>
      <c r="Y638" s="1">
        <v>1.361</v>
      </c>
      <c r="Z638" s="1">
        <v>0.80100000000000005</v>
      </c>
      <c r="AA638" s="1">
        <v>2.1779999999999999</v>
      </c>
      <c r="AB638" s="1">
        <v>41.1</v>
      </c>
      <c r="AC638" s="1">
        <v>12.6</v>
      </c>
      <c r="AD638" s="1">
        <v>0.47</v>
      </c>
      <c r="AE638" s="1">
        <v>7.28</v>
      </c>
      <c r="AF638" s="1">
        <v>13.07</v>
      </c>
      <c r="AH638" s="8" t="s">
        <v>2888</v>
      </c>
      <c r="AI638" s="8">
        <v>10</v>
      </c>
      <c r="AJ638" s="8" t="s">
        <v>2889</v>
      </c>
      <c r="AK638" s="8">
        <v>2.4</v>
      </c>
      <c r="AM638" s="1" t="s">
        <v>1663</v>
      </c>
      <c r="AT638" s="8" t="s">
        <v>1607</v>
      </c>
    </row>
    <row r="639" spans="1:46">
      <c r="A639" s="1" t="s">
        <v>2890</v>
      </c>
      <c r="C639" s="1" t="s">
        <v>2890</v>
      </c>
      <c r="D639" s="1" t="s">
        <v>2891</v>
      </c>
      <c r="E639" s="1" t="s">
        <v>1394</v>
      </c>
      <c r="F639" s="1" t="s">
        <v>1112</v>
      </c>
      <c r="G639" s="1" t="s">
        <v>456</v>
      </c>
      <c r="H639" s="2" t="s">
        <v>2846</v>
      </c>
      <c r="I639" s="1">
        <v>2</v>
      </c>
      <c r="J639" s="1">
        <v>0.2</v>
      </c>
      <c r="K639" s="1">
        <v>30</v>
      </c>
      <c r="L639" s="1" t="s">
        <v>65</v>
      </c>
      <c r="M639" s="1">
        <v>30.623999999999999</v>
      </c>
      <c r="N639" s="1">
        <v>50.4</v>
      </c>
      <c r="O639" s="1">
        <v>67.783333330000005</v>
      </c>
      <c r="P639" s="1">
        <v>-168.5963333</v>
      </c>
      <c r="Q639" s="1">
        <v>2.7002999999999999</v>
      </c>
      <c r="R639" s="1">
        <v>32.749600000000001</v>
      </c>
      <c r="S639" s="1">
        <v>212.1576144</v>
      </c>
      <c r="W639" s="3">
        <v>0.3296</v>
      </c>
      <c r="X639" s="1" t="s">
        <v>1668</v>
      </c>
      <c r="Y639" s="1">
        <v>0.59699999999999998</v>
      </c>
      <c r="Z639" s="1">
        <v>0.95699999999999996</v>
      </c>
      <c r="AA639" s="1">
        <v>2.5880000000000001</v>
      </c>
      <c r="AB639" s="1">
        <v>52.5</v>
      </c>
      <c r="AC639" s="1">
        <v>10.5</v>
      </c>
      <c r="AD639" s="1">
        <v>0.79</v>
      </c>
      <c r="AE639" s="1">
        <v>8.5299999999999994</v>
      </c>
      <c r="AF639" s="1">
        <v>11.29</v>
      </c>
      <c r="AH639" s="8" t="s">
        <v>2892</v>
      </c>
      <c r="AI639" s="8">
        <v>8</v>
      </c>
      <c r="AJ639" s="8" t="s">
        <v>2893</v>
      </c>
      <c r="AK639" s="8">
        <v>2.2999999999999998</v>
      </c>
      <c r="AM639" s="1" t="s">
        <v>1668</v>
      </c>
      <c r="AT639" s="8" t="s">
        <v>1607</v>
      </c>
    </row>
    <row r="640" spans="1:46">
      <c r="A640" s="1" t="s">
        <v>2894</v>
      </c>
      <c r="C640" s="1" t="s">
        <v>2894</v>
      </c>
      <c r="D640" s="1" t="s">
        <v>2895</v>
      </c>
      <c r="E640" s="1" t="s">
        <v>1394</v>
      </c>
      <c r="F640" s="1" t="s">
        <v>1112</v>
      </c>
      <c r="G640" s="1" t="s">
        <v>456</v>
      </c>
      <c r="H640" s="2" t="s">
        <v>2846</v>
      </c>
      <c r="I640" s="1">
        <v>2</v>
      </c>
      <c r="J640" s="1">
        <v>0.2</v>
      </c>
      <c r="K640" s="1">
        <v>40</v>
      </c>
      <c r="L640" s="1" t="s">
        <v>78</v>
      </c>
      <c r="M640" s="1">
        <v>40.451000000000001</v>
      </c>
      <c r="N640" s="1">
        <v>50.4</v>
      </c>
      <c r="O640" s="1">
        <v>67.783333330000005</v>
      </c>
      <c r="P640" s="1">
        <v>-168.5963333</v>
      </c>
      <c r="Q640" s="1">
        <v>2.4622000000000002</v>
      </c>
      <c r="R640" s="1">
        <v>32.807899999999997</v>
      </c>
      <c r="S640" s="1">
        <v>171.13201979999999</v>
      </c>
      <c r="W640" s="3">
        <v>0.33279999999999998</v>
      </c>
      <c r="X640" s="1" t="s">
        <v>1673</v>
      </c>
      <c r="Y640" s="1">
        <v>0.70499999999999996</v>
      </c>
      <c r="Z640" s="1">
        <v>1.7729999999999999</v>
      </c>
      <c r="AA640" s="1">
        <v>2.7650000000000001</v>
      </c>
      <c r="AB640" s="1">
        <v>60.4</v>
      </c>
      <c r="AC640" s="1">
        <v>10.199999999999999</v>
      </c>
      <c r="AD640" s="1">
        <v>1.02</v>
      </c>
      <c r="AE640" s="1">
        <v>8.5299999999999994</v>
      </c>
      <c r="AF640" s="1">
        <v>11.22</v>
      </c>
      <c r="AH640" s="8" t="s">
        <v>2896</v>
      </c>
      <c r="AI640" s="8">
        <v>6</v>
      </c>
      <c r="AJ640" s="8" t="s">
        <v>2897</v>
      </c>
      <c r="AK640" s="8">
        <v>2.2000000000000002</v>
      </c>
      <c r="AM640" s="1" t="s">
        <v>1673</v>
      </c>
      <c r="AT640" s="8" t="s">
        <v>1607</v>
      </c>
    </row>
    <row r="641" spans="1:46">
      <c r="A641" s="1" t="s">
        <v>1127</v>
      </c>
      <c r="B641" s="1">
        <v>141</v>
      </c>
      <c r="C641" s="1" t="s">
        <v>1127</v>
      </c>
      <c r="D641" s="1" t="s">
        <v>1128</v>
      </c>
      <c r="E641" s="1" t="s">
        <v>47</v>
      </c>
      <c r="F641" s="1" t="s">
        <v>1112</v>
      </c>
      <c r="G641" s="1" t="s">
        <v>456</v>
      </c>
      <c r="H641" s="2" t="s">
        <v>1113</v>
      </c>
      <c r="I641" s="1">
        <v>81</v>
      </c>
      <c r="J641" s="1">
        <v>0.2</v>
      </c>
      <c r="K641" s="1" t="s">
        <v>150</v>
      </c>
      <c r="L641" s="1" t="s">
        <v>78</v>
      </c>
      <c r="M641" s="1">
        <v>47.08</v>
      </c>
      <c r="N641" s="1">
        <v>50</v>
      </c>
      <c r="O641" s="1">
        <v>67.783410000000003</v>
      </c>
      <c r="P641" s="1">
        <v>-168.59994</v>
      </c>
      <c r="Q641" s="1">
        <v>3.1920000000000002</v>
      </c>
      <c r="R641" s="1">
        <v>32.832999999999998</v>
      </c>
      <c r="S641" s="1">
        <v>300.84800000000001</v>
      </c>
      <c r="T641" s="1">
        <v>246.68</v>
      </c>
      <c r="U641" s="1">
        <v>37.58</v>
      </c>
      <c r="V641" s="1">
        <v>5640.00000000001</v>
      </c>
      <c r="W641" s="3">
        <v>1.198</v>
      </c>
      <c r="X641" s="1" t="s">
        <v>1129</v>
      </c>
      <c r="Y641" s="1">
        <v>1.98</v>
      </c>
      <c r="Z641" s="1">
        <v>1.69</v>
      </c>
      <c r="AA641" s="1">
        <v>1.4059999999999999</v>
      </c>
      <c r="AB641" s="1">
        <v>16.100000000000001</v>
      </c>
      <c r="AC641" s="1">
        <v>10.8</v>
      </c>
      <c r="AD641" s="1">
        <v>0.17</v>
      </c>
      <c r="AE641" s="1">
        <v>4.22</v>
      </c>
      <c r="AF641" s="1">
        <v>10.97</v>
      </c>
      <c r="AH641" s="1" t="s">
        <v>1130</v>
      </c>
      <c r="AI641" s="1">
        <v>1</v>
      </c>
      <c r="AJ641" s="1" t="s">
        <v>1129</v>
      </c>
      <c r="AK641" s="1">
        <v>1.8</v>
      </c>
      <c r="AL641" s="1">
        <v>54.073599999999999</v>
      </c>
      <c r="AM641" s="1" t="s">
        <v>1129</v>
      </c>
      <c r="AN641" s="1">
        <v>6.5641298563065504</v>
      </c>
      <c r="AO641" s="1">
        <v>0.99081205378212001</v>
      </c>
    </row>
    <row r="642" spans="1:46">
      <c r="A642" s="1" t="s">
        <v>2898</v>
      </c>
      <c r="C642" s="1" t="s">
        <v>2898</v>
      </c>
      <c r="D642" s="1" t="s">
        <v>2899</v>
      </c>
      <c r="E642" s="1" t="s">
        <v>1394</v>
      </c>
      <c r="F642" s="1" t="s">
        <v>1112</v>
      </c>
      <c r="G642" s="1" t="s">
        <v>456</v>
      </c>
      <c r="H642" s="2" t="s">
        <v>2846</v>
      </c>
      <c r="I642" s="1">
        <v>2</v>
      </c>
      <c r="J642" s="1">
        <v>0.2</v>
      </c>
      <c r="K642" s="1">
        <v>47</v>
      </c>
      <c r="L642" s="1" t="s">
        <v>78</v>
      </c>
      <c r="M642" s="1">
        <v>47.494999999999997</v>
      </c>
      <c r="N642" s="1">
        <v>50.4</v>
      </c>
      <c r="O642" s="1">
        <v>67.783333330000005</v>
      </c>
      <c r="P642" s="1">
        <v>-168.5963333</v>
      </c>
      <c r="Q642" s="1">
        <v>2.2750499999999998</v>
      </c>
      <c r="R642" s="1">
        <v>32.800800000000002</v>
      </c>
      <c r="S642" s="1">
        <v>167.1125298</v>
      </c>
      <c r="W642" s="3">
        <v>0.37880000000000003</v>
      </c>
      <c r="X642" s="1" t="s">
        <v>1678</v>
      </c>
      <c r="Y642" s="1">
        <v>0.88700000000000001</v>
      </c>
      <c r="Z642" s="1">
        <v>2.1709999999999998</v>
      </c>
      <c r="AA642" s="1">
        <v>2.8159999999999998</v>
      </c>
      <c r="AB642" s="1">
        <v>61.1</v>
      </c>
      <c r="AC642" s="1">
        <v>9.6999999999999993</v>
      </c>
      <c r="AD642" s="1">
        <v>1.03</v>
      </c>
      <c r="AE642" s="1">
        <v>8.6999999999999993</v>
      </c>
      <c r="AF642" s="1">
        <v>10.73</v>
      </c>
      <c r="AH642" s="8" t="s">
        <v>2900</v>
      </c>
      <c r="AI642" s="8">
        <v>4</v>
      </c>
      <c r="AJ642" s="8" t="s">
        <v>2901</v>
      </c>
      <c r="AK642" s="8">
        <v>2.2999999999999998</v>
      </c>
      <c r="AM642" s="1" t="s">
        <v>1678</v>
      </c>
      <c r="AT642" s="8" t="s">
        <v>1607</v>
      </c>
    </row>
    <row r="643" spans="1:46">
      <c r="A643" s="1" t="s">
        <v>1131</v>
      </c>
      <c r="B643" s="1">
        <v>134</v>
      </c>
      <c r="C643" s="1" t="s">
        <v>1131</v>
      </c>
      <c r="D643" s="1" t="s">
        <v>1132</v>
      </c>
      <c r="E643" s="1" t="s">
        <v>47</v>
      </c>
      <c r="F643" s="1" t="s">
        <v>1133</v>
      </c>
      <c r="G643" s="1" t="s">
        <v>456</v>
      </c>
      <c r="H643" s="2" t="s">
        <v>1134</v>
      </c>
      <c r="I643" s="1">
        <v>80</v>
      </c>
      <c r="J643" s="1">
        <v>0.2</v>
      </c>
      <c r="K643" s="1" t="s">
        <v>52</v>
      </c>
      <c r="L643" s="1" t="s">
        <v>52</v>
      </c>
      <c r="M643" s="1">
        <v>3.23</v>
      </c>
      <c r="N643" s="1">
        <v>50</v>
      </c>
      <c r="O643" s="1">
        <v>67.671419999999998</v>
      </c>
      <c r="P643" s="1">
        <v>-168.95905999999999</v>
      </c>
      <c r="Q643" s="1">
        <v>3.9205000000000001</v>
      </c>
      <c r="R643" s="1">
        <v>32.881999999999998</v>
      </c>
      <c r="S643" s="1">
        <v>429.428</v>
      </c>
      <c r="T643" s="1">
        <v>1292.24</v>
      </c>
      <c r="U643" s="1">
        <v>217.94</v>
      </c>
      <c r="V643" s="1">
        <v>4139.99999999999</v>
      </c>
      <c r="W643" s="3">
        <v>14.221</v>
      </c>
      <c r="X643" s="1" t="s">
        <v>1135</v>
      </c>
      <c r="Y643" s="1">
        <v>24.76</v>
      </c>
      <c r="Z643" s="1">
        <v>7.78</v>
      </c>
      <c r="AA643" s="1">
        <v>0.34899999999999998</v>
      </c>
      <c r="AB643" s="1">
        <v>2.9</v>
      </c>
      <c r="AC643" s="1">
        <v>0.2</v>
      </c>
      <c r="AD643" s="1">
        <v>0.01</v>
      </c>
      <c r="AE643" s="1">
        <v>0.02</v>
      </c>
      <c r="AF643" s="1">
        <v>0.21</v>
      </c>
      <c r="AH643" s="1" t="s">
        <v>1136</v>
      </c>
      <c r="AI643" s="1">
        <v>10</v>
      </c>
      <c r="AJ643" s="1" t="s">
        <v>1137</v>
      </c>
      <c r="AK643" s="1">
        <v>1</v>
      </c>
      <c r="AL643" s="1">
        <v>68.871700000000004</v>
      </c>
      <c r="AM643" s="1" t="s">
        <v>1135</v>
      </c>
      <c r="AN643" s="1">
        <v>5.9293383500045902</v>
      </c>
      <c r="AO643" s="1">
        <v>0.89499446792522097</v>
      </c>
      <c r="AS643" s="1" t="s">
        <v>1138</v>
      </c>
    </row>
    <row r="644" spans="1:46">
      <c r="A644" s="1" t="s">
        <v>1139</v>
      </c>
      <c r="B644" s="1">
        <v>135</v>
      </c>
      <c r="C644" s="1" t="s">
        <v>1139</v>
      </c>
      <c r="D644" s="1" t="s">
        <v>1140</v>
      </c>
      <c r="E644" s="1" t="s">
        <v>47</v>
      </c>
      <c r="F644" s="1" t="s">
        <v>1133</v>
      </c>
      <c r="G644" s="1" t="s">
        <v>456</v>
      </c>
      <c r="H644" s="2" t="s">
        <v>1134</v>
      </c>
      <c r="I644" s="1">
        <v>80</v>
      </c>
      <c r="J644" s="1">
        <v>0.2</v>
      </c>
      <c r="K644" s="1" t="s">
        <v>512</v>
      </c>
      <c r="L644" s="1" t="s">
        <v>65</v>
      </c>
      <c r="M644" s="1">
        <v>9.6999999999999993</v>
      </c>
      <c r="N644" s="1">
        <v>50</v>
      </c>
      <c r="O644" s="1">
        <v>67.671340000000001</v>
      </c>
      <c r="P644" s="1">
        <v>-168.95927</v>
      </c>
      <c r="Q644" s="1">
        <v>3.8359999999999999</v>
      </c>
      <c r="R644" s="1">
        <v>32.883000000000003</v>
      </c>
      <c r="S644" s="1">
        <v>415.702</v>
      </c>
      <c r="T644" s="1">
        <v>804.94</v>
      </c>
      <c r="U644" s="1">
        <v>144.88</v>
      </c>
      <c r="V644" s="1">
        <v>5520.00000000001</v>
      </c>
      <c r="W644" s="3">
        <v>18.993400000000001</v>
      </c>
      <c r="X644" s="1" t="s">
        <v>1141</v>
      </c>
      <c r="Y644" s="1">
        <v>14.76</v>
      </c>
      <c r="Z644" s="1">
        <v>2.63</v>
      </c>
      <c r="AA644" s="1">
        <v>1.0169999999999999</v>
      </c>
      <c r="AB644" s="1">
        <v>10.6</v>
      </c>
      <c r="AC644" s="1">
        <v>8</v>
      </c>
      <c r="AD644" s="1">
        <v>0.12</v>
      </c>
      <c r="AE644" s="1">
        <v>1.84</v>
      </c>
      <c r="AF644" s="1">
        <v>8.1199999999999992</v>
      </c>
      <c r="AH644" s="1" t="s">
        <v>1142</v>
      </c>
      <c r="AI644" s="1">
        <v>7</v>
      </c>
      <c r="AJ644" s="1" t="s">
        <v>1143</v>
      </c>
      <c r="AK644" s="1">
        <v>1</v>
      </c>
      <c r="AL644" s="1">
        <v>68.880200000000002</v>
      </c>
      <c r="AM644" s="1" t="s">
        <v>1141</v>
      </c>
      <c r="AN644" s="1">
        <v>5.5559083379348397</v>
      </c>
      <c r="AO644" s="1">
        <v>0.83862767365054203</v>
      </c>
    </row>
    <row r="645" spans="1:46">
      <c r="A645" s="1" t="s">
        <v>1144</v>
      </c>
      <c r="B645" s="1">
        <v>136</v>
      </c>
      <c r="C645" s="1" t="s">
        <v>1144</v>
      </c>
      <c r="D645" s="1" t="s">
        <v>1145</v>
      </c>
      <c r="E645" s="1" t="s">
        <v>47</v>
      </c>
      <c r="F645" s="1" t="s">
        <v>1133</v>
      </c>
      <c r="G645" s="1" t="s">
        <v>456</v>
      </c>
      <c r="H645" s="2" t="s">
        <v>1134</v>
      </c>
      <c r="I645" s="1">
        <v>80</v>
      </c>
      <c r="J645" s="1">
        <v>0.2</v>
      </c>
      <c r="K645" s="1" t="s">
        <v>1146</v>
      </c>
      <c r="L645" s="1" t="s">
        <v>65</v>
      </c>
      <c r="M645" s="1">
        <v>20.09</v>
      </c>
      <c r="N645" s="1">
        <v>50</v>
      </c>
      <c r="O645" s="1">
        <v>67.671300000000002</v>
      </c>
      <c r="P645" s="1">
        <v>-168.95941999999999</v>
      </c>
      <c r="Q645" s="1">
        <v>3.3584999999999998</v>
      </c>
      <c r="R645" s="1">
        <v>32.880499999999998</v>
      </c>
      <c r="S645" s="1">
        <v>322.89800000000002</v>
      </c>
      <c r="W645" s="3">
        <v>5.3292999999999999</v>
      </c>
      <c r="X645" s="1" t="s">
        <v>1147</v>
      </c>
      <c r="Y645" s="1">
        <v>7.13</v>
      </c>
      <c r="Z645" s="1">
        <v>0.66</v>
      </c>
      <c r="AA645" s="1">
        <v>1.306</v>
      </c>
      <c r="AB645" s="1">
        <v>14.4</v>
      </c>
      <c r="AC645" s="1">
        <v>11</v>
      </c>
      <c r="AD645" s="1">
        <v>0.17</v>
      </c>
      <c r="AE645" s="1">
        <v>3.27</v>
      </c>
      <c r="AF645" s="1">
        <v>11.17</v>
      </c>
      <c r="AH645" s="1" t="s">
        <v>1148</v>
      </c>
      <c r="AI645" s="1">
        <v>4</v>
      </c>
      <c r="AJ645" s="1" t="s">
        <v>1147</v>
      </c>
      <c r="AK645" s="1">
        <v>1</v>
      </c>
      <c r="AL645" s="1">
        <v>76.723500000000001</v>
      </c>
      <c r="AM645" s="1" t="s">
        <v>1147</v>
      </c>
    </row>
    <row r="646" spans="1:46">
      <c r="A646" s="1" t="s">
        <v>1149</v>
      </c>
      <c r="B646" s="1">
        <v>137</v>
      </c>
      <c r="C646" s="1" t="s">
        <v>1149</v>
      </c>
      <c r="D646" s="1" t="s">
        <v>1150</v>
      </c>
      <c r="E646" s="1" t="s">
        <v>47</v>
      </c>
      <c r="F646" s="1" t="s">
        <v>1133</v>
      </c>
      <c r="G646" s="1" t="s">
        <v>456</v>
      </c>
      <c r="H646" s="2" t="s">
        <v>1134</v>
      </c>
      <c r="I646" s="1">
        <v>80</v>
      </c>
      <c r="J646" s="1">
        <v>0.2</v>
      </c>
      <c r="K646" s="1" t="s">
        <v>150</v>
      </c>
      <c r="L646" s="1" t="s">
        <v>78</v>
      </c>
      <c r="M646" s="1">
        <v>46.79</v>
      </c>
      <c r="N646" s="1">
        <v>50</v>
      </c>
      <c r="O646" s="1">
        <v>67.671180000000007</v>
      </c>
      <c r="P646" s="1">
        <v>-168.9598</v>
      </c>
      <c r="Q646" s="1">
        <v>2.8610000000000002</v>
      </c>
      <c r="R646" s="1">
        <v>32.901000000000003</v>
      </c>
      <c r="S646" s="1">
        <v>297.38200000000001</v>
      </c>
      <c r="T646" s="1">
        <v>378.3</v>
      </c>
      <c r="U646" s="1">
        <v>58.68</v>
      </c>
      <c r="V646" s="1">
        <v>7600</v>
      </c>
      <c r="W646" s="3">
        <v>1.2130000000000001</v>
      </c>
      <c r="X646" s="1" t="s">
        <v>1151</v>
      </c>
      <c r="Y646" s="1">
        <v>2.4300000000000002</v>
      </c>
      <c r="Z646" s="1">
        <v>2.11</v>
      </c>
      <c r="AA646" s="1">
        <v>1.536</v>
      </c>
      <c r="AB646" s="1">
        <v>18</v>
      </c>
      <c r="AC646" s="1">
        <v>11.9</v>
      </c>
      <c r="AD646" s="1">
        <v>0.19</v>
      </c>
      <c r="AE646" s="1">
        <v>4.58</v>
      </c>
      <c r="AF646" s="1">
        <v>12.09</v>
      </c>
      <c r="AH646" s="1" t="s">
        <v>1152</v>
      </c>
      <c r="AI646" s="1">
        <v>1</v>
      </c>
      <c r="AJ646" s="1" t="s">
        <v>1151</v>
      </c>
      <c r="AK646" s="1">
        <v>1</v>
      </c>
      <c r="AL646" s="1">
        <v>34.416499999999999</v>
      </c>
      <c r="AM646" s="1" t="s">
        <v>1151</v>
      </c>
      <c r="AN646" s="1">
        <v>6.4468302658486696</v>
      </c>
      <c r="AO646" s="1">
        <v>0.97310645522244099</v>
      </c>
    </row>
    <row r="647" spans="1:46">
      <c r="A647" s="1" t="s">
        <v>2902</v>
      </c>
      <c r="C647" s="1" t="s">
        <v>2902</v>
      </c>
      <c r="D647" s="1" t="s">
        <v>2903</v>
      </c>
      <c r="E647" s="1" t="s">
        <v>1394</v>
      </c>
      <c r="F647" s="1" t="s">
        <v>1407</v>
      </c>
      <c r="G647" s="1" t="s">
        <v>456</v>
      </c>
      <c r="H647" s="2" t="s">
        <v>2904</v>
      </c>
      <c r="I647" s="1">
        <v>20</v>
      </c>
      <c r="J647" s="1">
        <v>0.2</v>
      </c>
      <c r="K647" s="1">
        <v>10</v>
      </c>
      <c r="L647" s="1" t="s">
        <v>65</v>
      </c>
      <c r="M647" s="1">
        <v>11.067</v>
      </c>
      <c r="N647" s="1">
        <v>44.7</v>
      </c>
      <c r="O647" s="1">
        <v>70.974500000000006</v>
      </c>
      <c r="P647" s="1">
        <v>-161.88716669999999</v>
      </c>
      <c r="Q647" s="1">
        <v>6.3134499999999996</v>
      </c>
      <c r="R647" s="1">
        <v>31.1388</v>
      </c>
      <c r="S647" s="1">
        <v>312.95749139999998</v>
      </c>
      <c r="W647" s="3">
        <v>0.59960000000000002</v>
      </c>
      <c r="X647" s="1" t="s">
        <v>2905</v>
      </c>
      <c r="Y647" s="1">
        <v>0.95599999999999996</v>
      </c>
      <c r="Z647" s="1">
        <v>0.59199999999999997</v>
      </c>
      <c r="AA647" s="1">
        <v>0.58599999999999997</v>
      </c>
      <c r="AB647" s="1">
        <v>3.6</v>
      </c>
      <c r="AC647" s="1">
        <v>0</v>
      </c>
      <c r="AD647" s="1">
        <v>0</v>
      </c>
      <c r="AE647" s="1">
        <v>0.2</v>
      </c>
      <c r="AF647" s="1">
        <v>0</v>
      </c>
      <c r="AH647" s="8" t="s">
        <v>2906</v>
      </c>
      <c r="AI647" s="8">
        <v>12</v>
      </c>
      <c r="AJ647" s="8" t="s">
        <v>2907</v>
      </c>
      <c r="AK647" s="8"/>
      <c r="AM647" s="1" t="s">
        <v>2905</v>
      </c>
      <c r="AT647" s="8" t="s">
        <v>1607</v>
      </c>
    </row>
    <row r="648" spans="1:46">
      <c r="A648" s="1" t="s">
        <v>2908</v>
      </c>
      <c r="C648" s="1" t="s">
        <v>2908</v>
      </c>
      <c r="D648" s="1" t="s">
        <v>2909</v>
      </c>
      <c r="E648" s="1" t="s">
        <v>1466</v>
      </c>
      <c r="F648" s="1" t="s">
        <v>1407</v>
      </c>
      <c r="G648" s="1" t="s">
        <v>456</v>
      </c>
      <c r="H648" s="2" t="s">
        <v>2910</v>
      </c>
      <c r="I648" s="1">
        <v>57</v>
      </c>
      <c r="J648" s="1">
        <v>0.2</v>
      </c>
      <c r="K648" s="1" t="s">
        <v>1488</v>
      </c>
      <c r="L648" s="1" t="s">
        <v>65</v>
      </c>
      <c r="M648" s="1">
        <v>15.971</v>
      </c>
      <c r="N648" s="1">
        <v>47</v>
      </c>
      <c r="O648" s="1">
        <v>70.972700000000003</v>
      </c>
      <c r="P648" s="1">
        <v>-161.90048999999999</v>
      </c>
      <c r="Q648" s="1">
        <v>7.0892999999999997</v>
      </c>
      <c r="R648" s="1">
        <v>31.27835</v>
      </c>
      <c r="S648" s="1">
        <v>274.18700000000001</v>
      </c>
      <c r="W648" s="3">
        <v>1.323</v>
      </c>
      <c r="X648" s="1" t="s">
        <v>2911</v>
      </c>
      <c r="AI648" s="1">
        <v>7</v>
      </c>
      <c r="AJ648" s="1" t="s">
        <v>2911</v>
      </c>
      <c r="AK648" s="1">
        <v>2.1</v>
      </c>
      <c r="AL648" s="1">
        <v>81.761899999999997</v>
      </c>
      <c r="AM648" s="1" t="s">
        <v>2911</v>
      </c>
      <c r="AP648" s="1" t="s">
        <v>2912</v>
      </c>
      <c r="AR648" s="1">
        <v>12.37</v>
      </c>
      <c r="AS648" s="1" t="s">
        <v>2913</v>
      </c>
      <c r="AT648" s="1">
        <v>16</v>
      </c>
    </row>
    <row r="649" spans="1:46">
      <c r="A649" s="1" t="s">
        <v>2914</v>
      </c>
      <c r="C649" s="1" t="s">
        <v>2914</v>
      </c>
      <c r="D649" s="1" t="s">
        <v>2915</v>
      </c>
      <c r="E649" s="1" t="s">
        <v>1466</v>
      </c>
      <c r="F649" s="1" t="s">
        <v>1407</v>
      </c>
      <c r="G649" s="1" t="s">
        <v>456</v>
      </c>
      <c r="H649" s="2" t="s">
        <v>2916</v>
      </c>
      <c r="I649" s="1">
        <v>57</v>
      </c>
      <c r="J649" s="1">
        <v>0.2</v>
      </c>
      <c r="L649" s="1" t="s">
        <v>65</v>
      </c>
      <c r="M649" s="1">
        <v>20.044</v>
      </c>
      <c r="N649" s="1">
        <v>47</v>
      </c>
      <c r="O649" s="1">
        <v>70.972560000000001</v>
      </c>
      <c r="P649" s="1">
        <v>-161.90057999999999</v>
      </c>
      <c r="Q649" s="1">
        <v>2.5527500000000001</v>
      </c>
      <c r="R649" s="1">
        <v>32.134799999999998</v>
      </c>
      <c r="S649" s="1">
        <v>268.68549999999999</v>
      </c>
      <c r="W649" s="3">
        <v>0.35199999999999998</v>
      </c>
      <c r="X649" s="1" t="s">
        <v>2917</v>
      </c>
      <c r="Y649" s="1">
        <v>0.64</v>
      </c>
      <c r="AA649" s="1">
        <v>1.28</v>
      </c>
      <c r="AB649" s="1">
        <v>14.8</v>
      </c>
      <c r="AE649" s="1">
        <v>2.75</v>
      </c>
      <c r="AF649" s="1">
        <v>5.92</v>
      </c>
      <c r="AI649" s="1">
        <v>5</v>
      </c>
      <c r="AJ649" s="1" t="s">
        <v>2917</v>
      </c>
      <c r="AK649" s="1">
        <v>2.1</v>
      </c>
      <c r="AL649" s="1">
        <v>79.964799999999997</v>
      </c>
      <c r="AM649" s="1" t="s">
        <v>2917</v>
      </c>
      <c r="AP649" s="1" t="s">
        <v>2918</v>
      </c>
      <c r="AR649" s="1">
        <v>12.37</v>
      </c>
      <c r="AT649" s="1">
        <v>20</v>
      </c>
    </row>
    <row r="650" spans="1:46">
      <c r="A650" s="1" t="s">
        <v>2919</v>
      </c>
      <c r="C650" s="1" t="s">
        <v>2919</v>
      </c>
      <c r="D650" s="1" t="s">
        <v>2920</v>
      </c>
      <c r="E650" s="1" t="s">
        <v>1394</v>
      </c>
      <c r="F650" s="1" t="s">
        <v>1407</v>
      </c>
      <c r="G650" s="1" t="s">
        <v>456</v>
      </c>
      <c r="H650" s="2" t="s">
        <v>2904</v>
      </c>
      <c r="I650" s="1">
        <v>20</v>
      </c>
      <c r="J650" s="1">
        <v>0.2</v>
      </c>
      <c r="K650" s="1">
        <v>20</v>
      </c>
      <c r="L650" s="1" t="s">
        <v>65</v>
      </c>
      <c r="M650" s="1">
        <v>20.704999999999998</v>
      </c>
      <c r="N650" s="1">
        <v>44.7</v>
      </c>
      <c r="O650" s="1">
        <v>70.974500000000006</v>
      </c>
      <c r="P650" s="1">
        <v>-161.88716669999999</v>
      </c>
      <c r="Q650" s="1">
        <v>6.3022999999999998</v>
      </c>
      <c r="R650" s="1">
        <v>31.141100000000002</v>
      </c>
      <c r="S650" s="1">
        <v>311.39882249999999</v>
      </c>
      <c r="W650" s="3">
        <v>0.63680000000000003</v>
      </c>
      <c r="X650" s="1" t="s">
        <v>2921</v>
      </c>
      <c r="Y650" s="1">
        <v>1.0980000000000001</v>
      </c>
      <c r="Z650" s="1">
        <v>0.54800000000000004</v>
      </c>
      <c r="AA650" s="1">
        <v>0.58199999999999996</v>
      </c>
      <c r="AB650" s="1">
        <v>3.5</v>
      </c>
      <c r="AC650" s="1">
        <v>0</v>
      </c>
      <c r="AD650" s="1">
        <v>0</v>
      </c>
      <c r="AE650" s="1">
        <v>0.09</v>
      </c>
      <c r="AF650" s="1">
        <v>0</v>
      </c>
      <c r="AH650" s="8" t="s">
        <v>2922</v>
      </c>
      <c r="AI650" s="8">
        <v>10</v>
      </c>
      <c r="AJ650" s="8" t="s">
        <v>2923</v>
      </c>
      <c r="AK650" s="8"/>
      <c r="AM650" s="1" t="s">
        <v>2921</v>
      </c>
      <c r="AT650" s="8" t="s">
        <v>1607</v>
      </c>
    </row>
    <row r="651" spans="1:46">
      <c r="A651" s="1" t="s">
        <v>2924</v>
      </c>
      <c r="C651" s="1" t="s">
        <v>2924</v>
      </c>
      <c r="D651" s="1" t="s">
        <v>2925</v>
      </c>
      <c r="E651" s="1" t="s">
        <v>1394</v>
      </c>
      <c r="F651" s="1" t="s">
        <v>1407</v>
      </c>
      <c r="G651" s="1" t="s">
        <v>456</v>
      </c>
      <c r="H651" s="2" t="s">
        <v>2904</v>
      </c>
      <c r="I651" s="1">
        <v>20</v>
      </c>
      <c r="J651" s="1">
        <v>0.2</v>
      </c>
      <c r="K651" s="1">
        <v>30</v>
      </c>
      <c r="L651" s="1" t="s">
        <v>65</v>
      </c>
      <c r="M651" s="1">
        <v>31.556000000000001</v>
      </c>
      <c r="N651" s="1">
        <v>44.7</v>
      </c>
      <c r="O651" s="1">
        <v>70.974500000000006</v>
      </c>
      <c r="P651" s="1">
        <v>-161.88716669999999</v>
      </c>
      <c r="Q651" s="1">
        <v>0.65780000000000005</v>
      </c>
      <c r="R651" s="1">
        <v>32.109349999999999</v>
      </c>
      <c r="S651" s="1">
        <v>270.333033</v>
      </c>
      <c r="W651" s="3">
        <v>0.3352</v>
      </c>
      <c r="X651" s="1" t="s">
        <v>2926</v>
      </c>
      <c r="Y651" s="1">
        <v>0.42599999999999999</v>
      </c>
      <c r="Z651" s="1">
        <v>0.57199999999999995</v>
      </c>
      <c r="AA651" s="1">
        <v>1.468</v>
      </c>
      <c r="AB651" s="1">
        <v>18.399999999999999</v>
      </c>
      <c r="AC651" s="1">
        <v>2.7</v>
      </c>
      <c r="AD651" s="1">
        <v>0.14000000000000001</v>
      </c>
      <c r="AE651" s="1">
        <v>3.69</v>
      </c>
      <c r="AF651" s="1">
        <v>2.84</v>
      </c>
      <c r="AH651" s="8" t="s">
        <v>2927</v>
      </c>
      <c r="AI651" s="8">
        <v>8</v>
      </c>
      <c r="AJ651" s="8" t="s">
        <v>2928</v>
      </c>
      <c r="AK651" s="8"/>
      <c r="AM651" s="1" t="s">
        <v>2926</v>
      </c>
      <c r="AT651" s="8" t="s">
        <v>1607</v>
      </c>
    </row>
    <row r="652" spans="1:46">
      <c r="A652" s="1" t="s">
        <v>2929</v>
      </c>
      <c r="C652" s="1" t="s">
        <v>2929</v>
      </c>
      <c r="D652" s="1" t="s">
        <v>2930</v>
      </c>
      <c r="E652" s="1" t="s">
        <v>1394</v>
      </c>
      <c r="F652" s="1" t="s">
        <v>1407</v>
      </c>
      <c r="G652" s="1" t="s">
        <v>456</v>
      </c>
      <c r="H652" s="2" t="s">
        <v>2904</v>
      </c>
      <c r="I652" s="1">
        <v>20</v>
      </c>
      <c r="J652" s="1">
        <v>0.2</v>
      </c>
      <c r="K652" s="1">
        <v>40</v>
      </c>
      <c r="L652" s="1" t="s">
        <v>78</v>
      </c>
      <c r="M652" s="1">
        <v>41.978000000000002</v>
      </c>
      <c r="N652" s="1">
        <v>44.7</v>
      </c>
      <c r="O652" s="1">
        <v>70.974500000000006</v>
      </c>
      <c r="P652" s="1">
        <v>-161.88716669999999</v>
      </c>
      <c r="Q652" s="1">
        <v>0.57484999999999997</v>
      </c>
      <c r="R652" s="1">
        <v>32.131549999999997</v>
      </c>
      <c r="S652" s="1">
        <v>263.80806089999999</v>
      </c>
      <c r="W652" s="3">
        <v>0.33050000000000002</v>
      </c>
      <c r="X652" s="1" t="s">
        <v>2931</v>
      </c>
      <c r="Y652" s="1">
        <v>0.42499999999999999</v>
      </c>
      <c r="Z652" s="1">
        <v>0.628</v>
      </c>
      <c r="AA652" s="1">
        <v>1.556</v>
      </c>
      <c r="AB652" s="1">
        <v>20.399999999999999</v>
      </c>
      <c r="AC652" s="1">
        <v>3.1</v>
      </c>
      <c r="AD652" s="1">
        <v>0.15</v>
      </c>
      <c r="AE652" s="1">
        <v>4.24</v>
      </c>
      <c r="AF652" s="1">
        <v>3.25</v>
      </c>
      <c r="AH652" s="8" t="s">
        <v>2932</v>
      </c>
      <c r="AI652" s="8">
        <v>6</v>
      </c>
      <c r="AJ652" s="8" t="s">
        <v>2933</v>
      </c>
      <c r="AK652" s="8"/>
      <c r="AM652" s="1" t="s">
        <v>2931</v>
      </c>
      <c r="AT652" s="8" t="s">
        <v>1607</v>
      </c>
    </row>
    <row r="653" spans="1:46">
      <c r="A653" s="1" t="s">
        <v>2934</v>
      </c>
      <c r="C653" s="1" t="s">
        <v>2934</v>
      </c>
      <c r="D653" s="1" t="s">
        <v>2935</v>
      </c>
      <c r="E653" s="1" t="s">
        <v>1466</v>
      </c>
      <c r="F653" s="1" t="s">
        <v>1407</v>
      </c>
      <c r="G653" s="1" t="s">
        <v>456</v>
      </c>
      <c r="H653" s="2" t="s">
        <v>2936</v>
      </c>
      <c r="I653" s="1">
        <v>57</v>
      </c>
      <c r="J653" s="1">
        <v>0.2</v>
      </c>
      <c r="K653" s="1" t="s">
        <v>78</v>
      </c>
      <c r="L653" s="1" t="s">
        <v>78</v>
      </c>
      <c r="M653" s="1">
        <v>42.465000000000003</v>
      </c>
      <c r="N653" s="1">
        <v>47</v>
      </c>
      <c r="O653" s="1">
        <v>70.972399999999993</v>
      </c>
      <c r="P653" s="1">
        <v>-161.90108000000001</v>
      </c>
      <c r="Q653" s="1">
        <v>2.4573</v>
      </c>
      <c r="R653" s="1">
        <v>32.135649999999998</v>
      </c>
      <c r="S653" s="1">
        <v>268.47649999999999</v>
      </c>
      <c r="W653" s="3">
        <v>0.32900000000000001</v>
      </c>
      <c r="X653" s="1" t="s">
        <v>2937</v>
      </c>
      <c r="Y653" s="1">
        <v>0.49</v>
      </c>
      <c r="AA653" s="1">
        <v>1.29</v>
      </c>
      <c r="AB653" s="1">
        <v>15.17</v>
      </c>
      <c r="AE653" s="1">
        <v>2.4700000000000002</v>
      </c>
      <c r="AF653" s="1">
        <v>10.64</v>
      </c>
      <c r="AI653" s="1">
        <v>1</v>
      </c>
      <c r="AJ653" s="1" t="s">
        <v>2937</v>
      </c>
      <c r="AK653" s="1">
        <v>2.1</v>
      </c>
      <c r="AL653" s="1">
        <v>70.274600000000007</v>
      </c>
      <c r="AM653" s="1" t="s">
        <v>2937</v>
      </c>
      <c r="AP653" s="1" t="s">
        <v>2938</v>
      </c>
      <c r="AQ653" s="1">
        <v>-1.55</v>
      </c>
      <c r="AR653" s="1">
        <v>12.37</v>
      </c>
      <c r="AS653" s="1" t="s">
        <v>2939</v>
      </c>
      <c r="AT653" s="1">
        <v>43</v>
      </c>
    </row>
    <row r="654" spans="1:46">
      <c r="A654" s="1" t="s">
        <v>2940</v>
      </c>
      <c r="C654" s="1" t="s">
        <v>2940</v>
      </c>
      <c r="D654" s="1" t="s">
        <v>2941</v>
      </c>
      <c r="E654" s="1" t="s">
        <v>1466</v>
      </c>
      <c r="F654" s="1" t="s">
        <v>2942</v>
      </c>
      <c r="G654" s="1" t="s">
        <v>456</v>
      </c>
      <c r="H654" s="2" t="s">
        <v>2943</v>
      </c>
      <c r="I654" s="1">
        <v>55</v>
      </c>
      <c r="J654" s="1">
        <v>0.2</v>
      </c>
      <c r="K654" s="1" t="s">
        <v>52</v>
      </c>
      <c r="L654" s="1" t="s">
        <v>52</v>
      </c>
      <c r="M654" s="1">
        <v>4.3760000000000003</v>
      </c>
      <c r="N654" s="1">
        <v>47</v>
      </c>
      <c r="O654" s="1">
        <v>71.105360000000005</v>
      </c>
      <c r="P654" s="1">
        <v>-162.25076000000001</v>
      </c>
      <c r="Q654" s="1">
        <v>7.8258000000000001</v>
      </c>
      <c r="R654" s="1">
        <v>30.9435</v>
      </c>
      <c r="S654" s="1">
        <v>291.42</v>
      </c>
      <c r="W654" s="3">
        <v>0.92900000000000005</v>
      </c>
      <c r="X654" s="1" t="s">
        <v>2944</v>
      </c>
      <c r="Y654" s="1">
        <v>1.36</v>
      </c>
      <c r="AA654" s="1">
        <v>0.62</v>
      </c>
      <c r="AB654" s="1">
        <v>7.12</v>
      </c>
      <c r="AE654" s="1">
        <v>0.59</v>
      </c>
      <c r="AF654" s="1">
        <v>9.36</v>
      </c>
      <c r="AI654" s="1">
        <v>12</v>
      </c>
      <c r="AJ654" s="1" t="s">
        <v>2945</v>
      </c>
      <c r="AK654" s="1">
        <v>1.5</v>
      </c>
      <c r="AL654" s="1">
        <v>86.026300000000006</v>
      </c>
      <c r="AM654" s="1" t="s">
        <v>2944</v>
      </c>
      <c r="AP654" s="1" t="s">
        <v>2946</v>
      </c>
      <c r="AQ654" s="1">
        <v>-2.09</v>
      </c>
      <c r="AR654" s="1">
        <v>15.88</v>
      </c>
      <c r="AT654" s="1">
        <v>5</v>
      </c>
    </row>
    <row r="655" spans="1:46">
      <c r="A655" s="1" t="s">
        <v>2947</v>
      </c>
      <c r="C655" s="1" t="s">
        <v>2947</v>
      </c>
      <c r="D655" s="1" t="s">
        <v>2948</v>
      </c>
      <c r="E655" s="1" t="s">
        <v>1394</v>
      </c>
      <c r="F655" s="1" t="s">
        <v>2942</v>
      </c>
      <c r="G655" s="1" t="s">
        <v>456</v>
      </c>
      <c r="H655" s="2" t="s">
        <v>2949</v>
      </c>
      <c r="I655" s="1">
        <v>18</v>
      </c>
      <c r="J655" s="1">
        <v>0.2</v>
      </c>
      <c r="K655" s="1">
        <v>5</v>
      </c>
      <c r="L655" s="1" t="s">
        <v>52</v>
      </c>
      <c r="M655" s="1">
        <v>6.5650000000000004</v>
      </c>
      <c r="N655" s="1">
        <v>45.9</v>
      </c>
      <c r="O655" s="1">
        <v>71.101833330000005</v>
      </c>
      <c r="P655" s="1">
        <v>-162.2476667</v>
      </c>
      <c r="Q655" s="1">
        <v>6.2479500000000003</v>
      </c>
      <c r="R655" s="1">
        <v>31.226500000000001</v>
      </c>
      <c r="S655" s="1">
        <v>316.91445599999997</v>
      </c>
      <c r="W655" s="3">
        <v>0.43169999999999997</v>
      </c>
      <c r="X655" s="1" t="s">
        <v>2950</v>
      </c>
      <c r="Y655" s="1">
        <v>0.61899999999999999</v>
      </c>
      <c r="Z655" s="1">
        <v>0.38300000000000001</v>
      </c>
      <c r="AA655" s="1">
        <v>0.58799999999999997</v>
      </c>
      <c r="AB655" s="1">
        <v>3.4</v>
      </c>
      <c r="AC655" s="1">
        <v>0</v>
      </c>
      <c r="AD655" s="1">
        <v>0</v>
      </c>
      <c r="AE655" s="1">
        <v>0.21</v>
      </c>
      <c r="AF655" s="1">
        <v>0</v>
      </c>
      <c r="AH655" s="8" t="s">
        <v>2951</v>
      </c>
      <c r="AI655" s="8">
        <v>14</v>
      </c>
      <c r="AJ655" s="8" t="s">
        <v>2952</v>
      </c>
      <c r="AK655" s="8"/>
      <c r="AM655" s="1" t="s">
        <v>2950</v>
      </c>
      <c r="AT655" s="8" t="s">
        <v>1607</v>
      </c>
    </row>
    <row r="656" spans="1:46">
      <c r="A656" s="1" t="s">
        <v>2953</v>
      </c>
      <c r="C656" s="1" t="s">
        <v>2953</v>
      </c>
      <c r="D656" s="1" t="s">
        <v>2954</v>
      </c>
      <c r="E656" s="1" t="s">
        <v>1466</v>
      </c>
      <c r="F656" s="1" t="s">
        <v>2942</v>
      </c>
      <c r="G656" s="1" t="s">
        <v>456</v>
      </c>
      <c r="H656" s="2" t="s">
        <v>2955</v>
      </c>
      <c r="I656" s="1">
        <v>55</v>
      </c>
      <c r="J656" s="1">
        <v>0.2</v>
      </c>
      <c r="L656" s="1" t="s">
        <v>65</v>
      </c>
      <c r="M656" s="1">
        <v>20.047999999999998</v>
      </c>
      <c r="N656" s="1">
        <v>47</v>
      </c>
      <c r="O656" s="1">
        <v>71.104979999999998</v>
      </c>
      <c r="P656" s="1">
        <v>-162.25172000000001</v>
      </c>
      <c r="Q656" s="1">
        <v>5.9337999999999997</v>
      </c>
      <c r="R656" s="1">
        <v>31.66825</v>
      </c>
      <c r="S656" s="1">
        <v>300.72699999999998</v>
      </c>
      <c r="W656" s="3">
        <v>0.53800000000000003</v>
      </c>
      <c r="X656" s="1" t="s">
        <v>2956</v>
      </c>
      <c r="Y656" s="1">
        <v>0.63</v>
      </c>
      <c r="AA656" s="1">
        <v>0.7</v>
      </c>
      <c r="AB656" s="1">
        <v>3.97</v>
      </c>
      <c r="AE656" s="1">
        <v>0.51</v>
      </c>
      <c r="AF656" s="1">
        <v>1.1000000000000001</v>
      </c>
      <c r="AI656" s="1">
        <v>8</v>
      </c>
      <c r="AJ656" s="1" t="s">
        <v>2957</v>
      </c>
      <c r="AK656" s="1">
        <v>1.5</v>
      </c>
      <c r="AL656" s="1">
        <v>93.684700000000007</v>
      </c>
      <c r="AM656" s="1" t="s">
        <v>2956</v>
      </c>
      <c r="AP656" s="1" t="s">
        <v>2958</v>
      </c>
      <c r="AR656" s="1">
        <v>15.88</v>
      </c>
      <c r="AT656" s="1">
        <v>20</v>
      </c>
    </row>
    <row r="657" spans="1:46">
      <c r="A657" s="1" t="s">
        <v>2959</v>
      </c>
      <c r="C657" s="1" t="s">
        <v>2959</v>
      </c>
      <c r="D657" s="1" t="s">
        <v>2960</v>
      </c>
      <c r="E657" s="1" t="s">
        <v>1466</v>
      </c>
      <c r="F657" s="1" t="s">
        <v>2942</v>
      </c>
      <c r="G657" s="1" t="s">
        <v>456</v>
      </c>
      <c r="H657" s="2" t="s">
        <v>2961</v>
      </c>
      <c r="I657" s="1">
        <v>55</v>
      </c>
      <c r="J657" s="1">
        <v>0.2</v>
      </c>
      <c r="K657" s="1" t="s">
        <v>1488</v>
      </c>
      <c r="L657" s="1" t="s">
        <v>65</v>
      </c>
      <c r="M657" s="1">
        <v>26.28</v>
      </c>
      <c r="N657" s="1">
        <v>47</v>
      </c>
      <c r="O657" s="1">
        <v>71.104759999999999</v>
      </c>
      <c r="P657" s="1">
        <v>-162.25200000000001</v>
      </c>
      <c r="Q657" s="1">
        <v>0.23419999999999999</v>
      </c>
      <c r="R657" s="1">
        <v>32.002749999999999</v>
      </c>
      <c r="S657" s="1">
        <v>260.86799999999999</v>
      </c>
      <c r="W657" s="3">
        <v>0.52500000000000002</v>
      </c>
      <c r="X657" s="1" t="s">
        <v>2962</v>
      </c>
      <c r="AI657" s="1">
        <v>5</v>
      </c>
      <c r="AJ657" s="1" t="s">
        <v>2962</v>
      </c>
      <c r="AK657" s="1">
        <v>1.5</v>
      </c>
      <c r="AL657" s="1">
        <v>75.703599999999994</v>
      </c>
      <c r="AM657" s="1" t="s">
        <v>2962</v>
      </c>
      <c r="AP657" s="1" t="s">
        <v>2963</v>
      </c>
      <c r="AR657" s="1">
        <v>15.88</v>
      </c>
      <c r="AT657" s="1">
        <v>26</v>
      </c>
    </row>
    <row r="658" spans="1:46">
      <c r="A658" s="1" t="s">
        <v>2964</v>
      </c>
      <c r="C658" s="1" t="s">
        <v>2964</v>
      </c>
      <c r="D658" s="1" t="s">
        <v>2965</v>
      </c>
      <c r="E658" s="1" t="s">
        <v>1394</v>
      </c>
      <c r="F658" s="1" t="s">
        <v>2942</v>
      </c>
      <c r="G658" s="1" t="s">
        <v>456</v>
      </c>
      <c r="H658" s="2" t="s">
        <v>2949</v>
      </c>
      <c r="I658" s="1">
        <v>18</v>
      </c>
      <c r="J658" s="1">
        <v>0.2</v>
      </c>
      <c r="K658" s="1">
        <v>30</v>
      </c>
      <c r="L658" s="1" t="s">
        <v>65</v>
      </c>
      <c r="M658" s="1">
        <v>30.888000000000002</v>
      </c>
      <c r="N658" s="1">
        <v>45.9</v>
      </c>
      <c r="O658" s="1">
        <v>71.101833330000005</v>
      </c>
      <c r="P658" s="1">
        <v>-162.2476667</v>
      </c>
      <c r="Q658" s="1">
        <v>3.2328999999999999</v>
      </c>
      <c r="R658" s="1">
        <v>31.755299999999998</v>
      </c>
      <c r="S658" s="1">
        <v>366.62214899999998</v>
      </c>
      <c r="W658" s="3">
        <v>0.6008</v>
      </c>
      <c r="X658" s="1" t="s">
        <v>2966</v>
      </c>
      <c r="Y658" s="1">
        <v>1.0529999999999999</v>
      </c>
      <c r="Z658" s="1">
        <v>0.495</v>
      </c>
      <c r="AA658" s="1">
        <v>0.78600000000000003</v>
      </c>
      <c r="AB658" s="1">
        <v>2.9</v>
      </c>
      <c r="AC658" s="1">
        <v>0</v>
      </c>
      <c r="AD658" s="1">
        <v>0.01</v>
      </c>
      <c r="AE658" s="1">
        <v>0.36</v>
      </c>
      <c r="AF658" s="1">
        <v>0.01</v>
      </c>
      <c r="AH658" s="8" t="s">
        <v>2967</v>
      </c>
      <c r="AI658" s="8">
        <v>8</v>
      </c>
      <c r="AJ658" s="8" t="s">
        <v>2968</v>
      </c>
      <c r="AK658" s="8"/>
      <c r="AM658" s="1" t="s">
        <v>2966</v>
      </c>
      <c r="AT658" s="8" t="s">
        <v>1607</v>
      </c>
    </row>
    <row r="659" spans="1:46">
      <c r="A659" s="1" t="s">
        <v>2969</v>
      </c>
      <c r="C659" s="1" t="s">
        <v>2969</v>
      </c>
      <c r="D659" s="1" t="s">
        <v>2970</v>
      </c>
      <c r="E659" s="1" t="s">
        <v>1394</v>
      </c>
      <c r="F659" s="1" t="s">
        <v>2942</v>
      </c>
      <c r="G659" s="1" t="s">
        <v>456</v>
      </c>
      <c r="H659" s="2" t="s">
        <v>2949</v>
      </c>
      <c r="I659" s="1">
        <v>18</v>
      </c>
      <c r="J659" s="1">
        <v>0.2</v>
      </c>
      <c r="K659" s="1">
        <v>36</v>
      </c>
      <c r="L659" s="1" t="s">
        <v>78</v>
      </c>
      <c r="M659" s="1">
        <v>36.213999999999999</v>
      </c>
      <c r="N659" s="1">
        <v>45.9</v>
      </c>
      <c r="O659" s="1">
        <v>71.101833330000005</v>
      </c>
      <c r="P659" s="1">
        <v>-162.2476667</v>
      </c>
      <c r="Q659" s="1">
        <v>0.96679999999999999</v>
      </c>
      <c r="R659" s="1">
        <v>32.342449999999999</v>
      </c>
      <c r="S659" s="1">
        <v>273.41910810000002</v>
      </c>
      <c r="W659" s="3">
        <v>0.71699999999999997</v>
      </c>
      <c r="AH659" s="8" t="s">
        <v>2971</v>
      </c>
      <c r="AI659" s="8">
        <v>6</v>
      </c>
      <c r="AJ659" s="8" t="s">
        <v>2972</v>
      </c>
      <c r="AK659" s="8"/>
      <c r="AM659" s="1" t="s">
        <v>2973</v>
      </c>
      <c r="AT659" s="8" t="s">
        <v>1607</v>
      </c>
    </row>
    <row r="660" spans="1:46">
      <c r="A660" s="1" t="s">
        <v>2974</v>
      </c>
      <c r="C660" s="1" t="s">
        <v>2974</v>
      </c>
      <c r="D660" s="1" t="s">
        <v>2975</v>
      </c>
      <c r="E660" s="1" t="s">
        <v>1394</v>
      </c>
      <c r="F660" s="1" t="s">
        <v>2942</v>
      </c>
      <c r="G660" s="1" t="s">
        <v>456</v>
      </c>
      <c r="H660" s="2" t="s">
        <v>2949</v>
      </c>
      <c r="I660" s="1">
        <v>18</v>
      </c>
      <c r="J660" s="1">
        <v>0.2</v>
      </c>
      <c r="K660" s="1">
        <v>44</v>
      </c>
      <c r="L660" s="1" t="s">
        <v>78</v>
      </c>
      <c r="M660" s="1">
        <v>42.015000000000001</v>
      </c>
      <c r="N660" s="1">
        <v>45.9</v>
      </c>
      <c r="O660" s="1">
        <v>71.101833330000005</v>
      </c>
      <c r="P660" s="1">
        <v>-162.2476667</v>
      </c>
      <c r="Q660" s="1">
        <v>1.0025500000000001</v>
      </c>
      <c r="R660" s="1">
        <v>32.350700000000003</v>
      </c>
      <c r="S660" s="1">
        <v>272.0658798</v>
      </c>
      <c r="W660" s="3">
        <v>0.49430000000000002</v>
      </c>
      <c r="X660" s="1" t="s">
        <v>2976</v>
      </c>
      <c r="Y660" s="1">
        <v>1.1240000000000001</v>
      </c>
      <c r="Z660" s="1">
        <v>0.76100000000000001</v>
      </c>
      <c r="AA660" s="1">
        <v>1.581</v>
      </c>
      <c r="AB660" s="1">
        <v>22.6</v>
      </c>
      <c r="AC660" s="1">
        <v>2.7</v>
      </c>
      <c r="AD660" s="1">
        <v>0.16</v>
      </c>
      <c r="AE660" s="1">
        <v>5.05</v>
      </c>
      <c r="AF660" s="1">
        <v>2.86</v>
      </c>
      <c r="AH660" s="8" t="s">
        <v>2977</v>
      </c>
      <c r="AI660" s="8">
        <v>4</v>
      </c>
      <c r="AJ660" s="8" t="s">
        <v>2978</v>
      </c>
      <c r="AK660" s="4"/>
      <c r="AM660" s="1" t="s">
        <v>2976</v>
      </c>
      <c r="AT660" s="8" t="s">
        <v>1607</v>
      </c>
    </row>
    <row r="661" spans="1:46">
      <c r="A661" s="1" t="s">
        <v>2979</v>
      </c>
      <c r="C661" s="1" t="s">
        <v>2979</v>
      </c>
      <c r="D661" s="1" t="s">
        <v>2980</v>
      </c>
      <c r="E661" s="1" t="s">
        <v>1466</v>
      </c>
      <c r="F661" s="1" t="s">
        <v>2942</v>
      </c>
      <c r="G661" s="1" t="s">
        <v>456</v>
      </c>
      <c r="H661" s="2" t="s">
        <v>2981</v>
      </c>
      <c r="I661" s="1">
        <v>55</v>
      </c>
      <c r="J661" s="1">
        <v>0.2</v>
      </c>
      <c r="K661" s="1" t="s">
        <v>78</v>
      </c>
      <c r="L661" s="1" t="s">
        <v>78</v>
      </c>
      <c r="M661" s="1">
        <v>43.067999999999998</v>
      </c>
      <c r="N661" s="1">
        <v>47</v>
      </c>
      <c r="O661" s="1">
        <v>71.104179999999999</v>
      </c>
      <c r="P661" s="1">
        <v>-162.25283999999999</v>
      </c>
      <c r="Q661" s="1">
        <v>0.52959999999999996</v>
      </c>
      <c r="R661" s="1">
        <v>32.091549999999998</v>
      </c>
      <c r="S661" s="1">
        <v>256.15350000000001</v>
      </c>
      <c r="W661" s="3">
        <v>0.34300000000000003</v>
      </c>
      <c r="X661" s="1" t="s">
        <v>2982</v>
      </c>
      <c r="Y661" s="1">
        <v>0.74</v>
      </c>
      <c r="AA661" s="1">
        <v>1.0900000000000001</v>
      </c>
      <c r="AB661" s="1">
        <v>13.29</v>
      </c>
      <c r="AE661" s="1">
        <v>1.57</v>
      </c>
      <c r="AF661" s="1">
        <v>2.94</v>
      </c>
      <c r="AI661" s="1">
        <v>1</v>
      </c>
      <c r="AJ661" s="1" t="s">
        <v>2982</v>
      </c>
      <c r="AK661" s="1">
        <v>1.5</v>
      </c>
      <c r="AL661" s="1">
        <v>57.104300000000002</v>
      </c>
      <c r="AM661" s="1" t="s">
        <v>2982</v>
      </c>
      <c r="AP661" s="1" t="s">
        <v>2983</v>
      </c>
      <c r="AQ661" s="1">
        <v>-1.85</v>
      </c>
      <c r="AR661" s="1">
        <v>15.88</v>
      </c>
      <c r="AT661" s="1">
        <v>43</v>
      </c>
    </row>
    <row r="662" spans="1:46">
      <c r="A662" s="1" t="s">
        <v>2984</v>
      </c>
      <c r="C662" s="1" t="s">
        <v>2984</v>
      </c>
      <c r="D662" s="1" t="s">
        <v>2985</v>
      </c>
      <c r="E662" s="1" t="s">
        <v>1394</v>
      </c>
      <c r="F662" s="1" t="s">
        <v>2986</v>
      </c>
      <c r="G662" s="1" t="s">
        <v>456</v>
      </c>
      <c r="H662" s="2" t="s">
        <v>2987</v>
      </c>
      <c r="I662" s="1">
        <v>16</v>
      </c>
      <c r="J662" s="1">
        <v>0.2</v>
      </c>
      <c r="K662" s="1">
        <v>2</v>
      </c>
      <c r="L662" s="1" t="s">
        <v>52</v>
      </c>
      <c r="M662" s="1">
        <v>3.1880000000000002</v>
      </c>
      <c r="N662" s="1">
        <v>45.5</v>
      </c>
      <c r="O662" s="1">
        <v>71.23266667</v>
      </c>
      <c r="P662" s="1">
        <v>-162.63683330000001</v>
      </c>
      <c r="Q662" s="1">
        <v>5.65205</v>
      </c>
      <c r="R662" s="1">
        <v>31.302350000000001</v>
      </c>
      <c r="S662" s="1">
        <v>321.69318299999998</v>
      </c>
      <c r="W662" s="3">
        <v>0.29470000000000002</v>
      </c>
      <c r="X662" s="1" t="s">
        <v>2988</v>
      </c>
      <c r="Y662" s="1">
        <v>0.33300000000000002</v>
      </c>
      <c r="Z662" s="1">
        <v>0.17799999999999999</v>
      </c>
      <c r="AA662" s="1">
        <v>0.66700000000000004</v>
      </c>
      <c r="AB662" s="1">
        <v>3.4</v>
      </c>
      <c r="AC662" s="1">
        <v>0</v>
      </c>
      <c r="AD662" s="1">
        <v>0</v>
      </c>
      <c r="AE662" s="1">
        <v>0.22</v>
      </c>
      <c r="AF662" s="1">
        <v>0</v>
      </c>
      <c r="AH662" s="8" t="s">
        <v>2989</v>
      </c>
      <c r="AI662" s="8">
        <v>12</v>
      </c>
      <c r="AJ662" s="8" t="s">
        <v>2990</v>
      </c>
      <c r="AK662" s="4"/>
      <c r="AM662" s="1" t="s">
        <v>2988</v>
      </c>
      <c r="AT662" s="8" t="s">
        <v>1607</v>
      </c>
    </row>
    <row r="663" spans="1:46">
      <c r="A663" s="1" t="s">
        <v>2991</v>
      </c>
      <c r="C663" s="1" t="s">
        <v>2991</v>
      </c>
      <c r="D663" s="1" t="s">
        <v>2992</v>
      </c>
      <c r="E663" s="1" t="s">
        <v>1466</v>
      </c>
      <c r="F663" s="1" t="s">
        <v>2986</v>
      </c>
      <c r="G663" s="1" t="s">
        <v>456</v>
      </c>
      <c r="H663" s="2" t="s">
        <v>2993</v>
      </c>
      <c r="I663" s="1">
        <v>53</v>
      </c>
      <c r="J663" s="1">
        <v>0.2</v>
      </c>
      <c r="K663" s="1" t="s">
        <v>52</v>
      </c>
      <c r="L663" s="1" t="s">
        <v>52</v>
      </c>
      <c r="M663" s="1">
        <v>4.7140000000000004</v>
      </c>
      <c r="N663" s="1">
        <v>47</v>
      </c>
      <c r="O663" s="1">
        <v>71.234819999999999</v>
      </c>
      <c r="P663" s="1">
        <v>-162.62662</v>
      </c>
      <c r="Q663" s="1">
        <v>5.2198500000000001</v>
      </c>
      <c r="R663" s="1">
        <v>31.196200000000001</v>
      </c>
      <c r="S663" s="1">
        <v>308.435</v>
      </c>
      <c r="W663" s="3">
        <v>0.153</v>
      </c>
      <c r="X663" s="1" t="s">
        <v>2994</v>
      </c>
      <c r="Y663" s="1">
        <v>0.26</v>
      </c>
      <c r="AA663" s="1">
        <v>0.67</v>
      </c>
      <c r="AB663" s="1">
        <v>3.7</v>
      </c>
      <c r="AE663" s="1">
        <v>0.34</v>
      </c>
      <c r="AF663" s="1">
        <v>0.77</v>
      </c>
      <c r="AI663" s="1">
        <v>9</v>
      </c>
      <c r="AJ663" s="1" t="s">
        <v>2994</v>
      </c>
      <c r="AK663" s="1">
        <v>2.5</v>
      </c>
      <c r="AL663" s="1">
        <v>94.558700000000002</v>
      </c>
      <c r="AM663" s="1" t="s">
        <v>2994</v>
      </c>
      <c r="AP663" s="1" t="s">
        <v>2995</v>
      </c>
      <c r="AQ663" s="1">
        <v>-2.15</v>
      </c>
      <c r="AR663" s="1">
        <v>5.7</v>
      </c>
      <c r="AT663" s="1">
        <v>5</v>
      </c>
    </row>
    <row r="664" spans="1:46">
      <c r="A664" s="1" t="s">
        <v>2996</v>
      </c>
      <c r="C664" s="1" t="s">
        <v>2996</v>
      </c>
      <c r="D664" s="1" t="s">
        <v>2997</v>
      </c>
      <c r="E664" s="1" t="s">
        <v>1466</v>
      </c>
      <c r="F664" s="1" t="s">
        <v>2986</v>
      </c>
      <c r="G664" s="1" t="s">
        <v>456</v>
      </c>
      <c r="H664" s="2" t="s">
        <v>2998</v>
      </c>
      <c r="I664" s="1">
        <v>53</v>
      </c>
      <c r="J664" s="1">
        <v>0.2</v>
      </c>
      <c r="L664" s="1" t="s">
        <v>65</v>
      </c>
      <c r="M664" s="1">
        <v>21.061</v>
      </c>
      <c r="N664" s="1">
        <v>47</v>
      </c>
      <c r="O664" s="1">
        <v>71.234359999999995</v>
      </c>
      <c r="P664" s="1">
        <v>-162.62729999999999</v>
      </c>
      <c r="Q664" s="1">
        <v>5.3356000000000003</v>
      </c>
      <c r="R664" s="1">
        <v>31.261749999999999</v>
      </c>
      <c r="S664" s="1">
        <v>307.339</v>
      </c>
      <c r="W664" s="3">
        <v>0.24399999999999999</v>
      </c>
      <c r="X664" s="1" t="s">
        <v>2457</v>
      </c>
      <c r="Y664" s="1">
        <v>0.25</v>
      </c>
      <c r="AA664" s="1">
        <v>0.72</v>
      </c>
      <c r="AB664" s="1">
        <v>5.23</v>
      </c>
      <c r="AE664" s="1">
        <v>0.41</v>
      </c>
      <c r="AF664" s="1">
        <v>1.06</v>
      </c>
      <c r="AI664" s="1">
        <v>5</v>
      </c>
      <c r="AJ664" s="1" t="s">
        <v>2457</v>
      </c>
      <c r="AK664" s="1">
        <v>2.5</v>
      </c>
      <c r="AL664" s="1">
        <v>95.060100000000006</v>
      </c>
      <c r="AM664" s="1" t="s">
        <v>2457</v>
      </c>
      <c r="AP664" s="1" t="s">
        <v>2999</v>
      </c>
      <c r="AR664" s="1">
        <v>5.7</v>
      </c>
      <c r="AS664" s="1" t="s">
        <v>3000</v>
      </c>
      <c r="AT664" s="1">
        <v>20</v>
      </c>
    </row>
    <row r="665" spans="1:46">
      <c r="A665" s="1" t="s">
        <v>3001</v>
      </c>
      <c r="C665" s="1" t="s">
        <v>3001</v>
      </c>
      <c r="D665" s="1" t="s">
        <v>3002</v>
      </c>
      <c r="E665" s="1" t="s">
        <v>1394</v>
      </c>
      <c r="F665" s="1" t="s">
        <v>2986</v>
      </c>
      <c r="G665" s="1" t="s">
        <v>456</v>
      </c>
      <c r="H665" s="2" t="s">
        <v>2987</v>
      </c>
      <c r="I665" s="1">
        <v>16</v>
      </c>
      <c r="J665" s="1">
        <v>0.2</v>
      </c>
      <c r="K665" s="1">
        <v>20</v>
      </c>
      <c r="L665" s="1" t="s">
        <v>65</v>
      </c>
      <c r="M665" s="1">
        <v>21.89</v>
      </c>
      <c r="N665" s="1">
        <v>45.5</v>
      </c>
      <c r="O665" s="1">
        <v>71.23266667</v>
      </c>
      <c r="P665" s="1">
        <v>-162.63683330000001</v>
      </c>
      <c r="Q665" s="1">
        <v>5.6082999999999998</v>
      </c>
      <c r="R665" s="1">
        <v>31.319099999999999</v>
      </c>
      <c r="S665" s="1">
        <v>321.94328460000003</v>
      </c>
      <c r="W665" s="3">
        <v>0.2964</v>
      </c>
      <c r="X665" s="1" t="s">
        <v>3003</v>
      </c>
      <c r="Y665" s="1">
        <v>0.35</v>
      </c>
      <c r="Z665" s="1">
        <v>0.188</v>
      </c>
      <c r="AA665" s="1">
        <v>0.67700000000000005</v>
      </c>
      <c r="AB665" s="1">
        <v>3.3</v>
      </c>
      <c r="AC665" s="1">
        <v>0</v>
      </c>
      <c r="AD665" s="1">
        <v>0</v>
      </c>
      <c r="AE665" s="1">
        <v>0.27</v>
      </c>
      <c r="AF665" s="1">
        <v>0</v>
      </c>
      <c r="AH665" s="8" t="s">
        <v>3004</v>
      </c>
      <c r="AI665" s="8">
        <v>8</v>
      </c>
      <c r="AJ665" s="8" t="s">
        <v>3005</v>
      </c>
      <c r="AK665" s="8"/>
      <c r="AM665" s="1" t="s">
        <v>3003</v>
      </c>
      <c r="AT665" s="8" t="s">
        <v>1607</v>
      </c>
    </row>
    <row r="666" spans="1:46">
      <c r="A666" s="1" t="s">
        <v>3006</v>
      </c>
      <c r="C666" s="1" t="s">
        <v>3006</v>
      </c>
      <c r="D666" s="1" t="s">
        <v>3007</v>
      </c>
      <c r="E666" s="1" t="s">
        <v>1466</v>
      </c>
      <c r="F666" s="1" t="s">
        <v>2986</v>
      </c>
      <c r="G666" s="1" t="s">
        <v>456</v>
      </c>
      <c r="H666" s="2" t="s">
        <v>3008</v>
      </c>
      <c r="I666" s="1">
        <v>53</v>
      </c>
      <c r="J666" s="1">
        <v>0.2</v>
      </c>
      <c r="K666" s="1" t="s">
        <v>1488</v>
      </c>
      <c r="L666" s="1" t="s">
        <v>65</v>
      </c>
      <c r="M666" s="1">
        <v>29.678000000000001</v>
      </c>
      <c r="N666" s="1">
        <v>47</v>
      </c>
      <c r="O666" s="1">
        <v>71.234099999999998</v>
      </c>
      <c r="P666" s="1">
        <v>-162.62804</v>
      </c>
      <c r="Q666" s="1">
        <v>0.50654999999999994</v>
      </c>
      <c r="R666" s="1">
        <v>32.261949999999999</v>
      </c>
      <c r="S666" s="1">
        <v>269.76949999999999</v>
      </c>
      <c r="W666" s="3">
        <v>1.244</v>
      </c>
      <c r="X666" s="1" t="s">
        <v>2462</v>
      </c>
      <c r="Y666" s="1">
        <v>3.06</v>
      </c>
      <c r="AA666" s="1">
        <v>1.48</v>
      </c>
      <c r="AB666" s="1">
        <v>13.74</v>
      </c>
      <c r="AE666" s="1">
        <v>2.89</v>
      </c>
      <c r="AF666" s="1">
        <v>6.26</v>
      </c>
      <c r="AI666" s="1">
        <v>4</v>
      </c>
      <c r="AJ666" s="1" t="s">
        <v>3009</v>
      </c>
      <c r="AK666" s="1">
        <v>2.2000000000000002</v>
      </c>
      <c r="AL666" s="1">
        <v>69.747299999999996</v>
      </c>
      <c r="AM666" s="1" t="s">
        <v>2462</v>
      </c>
      <c r="AP666" s="1" t="s">
        <v>3010</v>
      </c>
      <c r="AR666" s="1">
        <v>5.7</v>
      </c>
      <c r="AS666" s="1" t="s">
        <v>3011</v>
      </c>
      <c r="AT666" s="1">
        <v>30</v>
      </c>
    </row>
    <row r="667" spans="1:46">
      <c r="A667" s="1" t="s">
        <v>3012</v>
      </c>
      <c r="C667" s="1" t="s">
        <v>3012</v>
      </c>
      <c r="D667" s="1" t="s">
        <v>3013</v>
      </c>
      <c r="E667" s="1" t="s">
        <v>1394</v>
      </c>
      <c r="F667" s="1" t="s">
        <v>2986</v>
      </c>
      <c r="G667" s="1" t="s">
        <v>456</v>
      </c>
      <c r="H667" s="2" t="s">
        <v>2987</v>
      </c>
      <c r="I667" s="1">
        <v>16</v>
      </c>
      <c r="J667" s="1">
        <v>0.2</v>
      </c>
      <c r="K667" s="1">
        <v>30</v>
      </c>
      <c r="L667" s="1" t="s">
        <v>65</v>
      </c>
      <c r="M667" s="1">
        <v>30.268999999999998</v>
      </c>
      <c r="N667" s="1">
        <v>45.5</v>
      </c>
      <c r="O667" s="1">
        <v>71.23266667</v>
      </c>
      <c r="P667" s="1">
        <v>-162.63683330000001</v>
      </c>
      <c r="Q667" s="1">
        <v>2.1617000000000002</v>
      </c>
      <c r="R667" s="1">
        <v>31.784050000000001</v>
      </c>
      <c r="S667" s="1">
        <v>390.1272333</v>
      </c>
      <c r="W667" s="3">
        <v>0.41239999999999999</v>
      </c>
      <c r="X667" s="1" t="s">
        <v>3014</v>
      </c>
      <c r="Y667" s="1">
        <v>0.61299999999999999</v>
      </c>
      <c r="Z667" s="1">
        <v>0.41399999999999998</v>
      </c>
      <c r="AA667" s="1">
        <v>0.70399999999999996</v>
      </c>
      <c r="AB667" s="1">
        <v>1.8</v>
      </c>
      <c r="AC667" s="1">
        <v>0</v>
      </c>
      <c r="AD667" s="1">
        <v>0.01</v>
      </c>
      <c r="AE667" s="1">
        <v>0.24</v>
      </c>
      <c r="AF667" s="1">
        <v>0.01</v>
      </c>
      <c r="AH667" s="8" t="s">
        <v>3015</v>
      </c>
      <c r="AI667" s="8">
        <v>6</v>
      </c>
      <c r="AJ667" s="8" t="s">
        <v>3016</v>
      </c>
      <c r="AK667" s="8"/>
      <c r="AM667" s="1" t="s">
        <v>3014</v>
      </c>
      <c r="AT667" s="8" t="s">
        <v>1607</v>
      </c>
    </row>
    <row r="668" spans="1:46">
      <c r="A668" s="1" t="s">
        <v>3017</v>
      </c>
      <c r="C668" s="1" t="s">
        <v>3017</v>
      </c>
      <c r="D668" s="1" t="s">
        <v>3018</v>
      </c>
      <c r="E668" s="1" t="s">
        <v>1466</v>
      </c>
      <c r="F668" s="1" t="s">
        <v>2986</v>
      </c>
      <c r="G668" s="1" t="s">
        <v>456</v>
      </c>
      <c r="H668" s="2" t="s">
        <v>3019</v>
      </c>
      <c r="I668" s="1">
        <v>53</v>
      </c>
      <c r="J668" s="1">
        <v>0.2</v>
      </c>
      <c r="K668" s="1" t="s">
        <v>78</v>
      </c>
      <c r="L668" s="1" t="s">
        <v>78</v>
      </c>
      <c r="M668" s="1">
        <v>42.313000000000002</v>
      </c>
      <c r="N668" s="1">
        <v>47</v>
      </c>
      <c r="O668" s="1">
        <v>71.233840000000001</v>
      </c>
      <c r="P668" s="1">
        <v>-162.62862999999999</v>
      </c>
      <c r="Q668" s="1">
        <v>0.51405000000000001</v>
      </c>
      <c r="R668" s="1">
        <v>32.264150000000001</v>
      </c>
      <c r="S668" s="1">
        <v>269.56700000000001</v>
      </c>
      <c r="W668" s="3">
        <v>0.747</v>
      </c>
      <c r="X668" s="1" t="s">
        <v>3020</v>
      </c>
      <c r="Y668" s="1">
        <v>1.35</v>
      </c>
      <c r="AA668" s="1">
        <v>1.52</v>
      </c>
      <c r="AB668" s="1">
        <v>12.13</v>
      </c>
      <c r="AE668" s="1">
        <v>3.06</v>
      </c>
      <c r="AF668" s="1">
        <v>12.71</v>
      </c>
      <c r="AI668" s="1">
        <v>2</v>
      </c>
      <c r="AJ668" s="1" t="s">
        <v>3021</v>
      </c>
      <c r="AK668" s="1">
        <v>2.2000000000000002</v>
      </c>
      <c r="AL668" s="1">
        <v>53.892600000000002</v>
      </c>
      <c r="AM668" s="1" t="s">
        <v>3020</v>
      </c>
      <c r="AP668" s="1" t="s">
        <v>3022</v>
      </c>
      <c r="AQ668" s="1">
        <v>-1.38</v>
      </c>
      <c r="AR668" s="1">
        <v>5.7</v>
      </c>
      <c r="AS668" s="1" t="s">
        <v>3023</v>
      </c>
      <c r="AT668" s="1">
        <v>42</v>
      </c>
    </row>
    <row r="669" spans="1:46">
      <c r="A669" s="1" t="s">
        <v>3024</v>
      </c>
      <c r="C669" s="1" t="s">
        <v>3024</v>
      </c>
      <c r="D669" s="1" t="s">
        <v>3025</v>
      </c>
      <c r="E669" s="1" t="s">
        <v>1394</v>
      </c>
      <c r="F669" s="1" t="s">
        <v>2986</v>
      </c>
      <c r="G669" s="1" t="s">
        <v>456</v>
      </c>
      <c r="H669" s="2" t="s">
        <v>2987</v>
      </c>
      <c r="I669" s="1">
        <v>16</v>
      </c>
      <c r="J669" s="1">
        <v>0.2</v>
      </c>
      <c r="K669" s="1">
        <v>43</v>
      </c>
      <c r="L669" s="1" t="s">
        <v>78</v>
      </c>
      <c r="M669" s="1">
        <v>42.314</v>
      </c>
      <c r="N669" s="1">
        <v>45.5</v>
      </c>
      <c r="O669" s="1">
        <v>71.23266667</v>
      </c>
      <c r="P669" s="1">
        <v>-162.63683330000001</v>
      </c>
      <c r="Q669" s="1">
        <v>0.53920000000000001</v>
      </c>
      <c r="R669" s="1">
        <v>32.271599999999999</v>
      </c>
      <c r="S669" s="1">
        <v>275.16535320000003</v>
      </c>
      <c r="W669" s="3">
        <v>0.69710000000000005</v>
      </c>
      <c r="X669" s="1" t="s">
        <v>3026</v>
      </c>
      <c r="Y669" s="1">
        <v>1.8169999999999999</v>
      </c>
      <c r="Z669" s="1">
        <v>0.627</v>
      </c>
      <c r="AA669" s="1">
        <v>1.597</v>
      </c>
      <c r="AB669" s="1">
        <v>18.600000000000001</v>
      </c>
      <c r="AC669" s="1">
        <v>3.1</v>
      </c>
      <c r="AD669" s="1">
        <v>0.11</v>
      </c>
      <c r="AE669" s="1">
        <v>4.83</v>
      </c>
      <c r="AF669" s="1">
        <v>3.21</v>
      </c>
      <c r="AH669" s="8" t="s">
        <v>3027</v>
      </c>
      <c r="AI669" s="8">
        <v>4</v>
      </c>
      <c r="AJ669" s="8" t="s">
        <v>3028</v>
      </c>
      <c r="AK669" s="8"/>
      <c r="AM669" s="1" t="s">
        <v>3026</v>
      </c>
      <c r="AT669" s="8" t="s">
        <v>1607</v>
      </c>
    </row>
    <row r="670" spans="1:46">
      <c r="A670" s="1" t="s">
        <v>3029</v>
      </c>
      <c r="C670" s="1" t="s">
        <v>3029</v>
      </c>
      <c r="D670" s="1" t="s">
        <v>3030</v>
      </c>
      <c r="E670" s="1" t="s">
        <v>1394</v>
      </c>
      <c r="F670" s="1" t="s">
        <v>3031</v>
      </c>
      <c r="G670" s="1" t="s">
        <v>456</v>
      </c>
      <c r="H670" s="2" t="s">
        <v>3032</v>
      </c>
      <c r="I670" s="1">
        <v>14</v>
      </c>
      <c r="J670" s="1">
        <v>0.2</v>
      </c>
      <c r="K670" s="1">
        <v>3</v>
      </c>
      <c r="L670" s="1" t="s">
        <v>52</v>
      </c>
      <c r="M670" s="1">
        <v>3.4350000000000001</v>
      </c>
      <c r="N670" s="1">
        <v>44.8</v>
      </c>
      <c r="O670" s="1">
        <v>71.363666670000001</v>
      </c>
      <c r="P670" s="1">
        <v>-163.00049999999999</v>
      </c>
      <c r="Q670" s="1">
        <v>5.1924000000000001</v>
      </c>
      <c r="R670" s="1">
        <v>31.315300000000001</v>
      </c>
      <c r="S670" s="1">
        <v>328.20922289999999</v>
      </c>
      <c r="W670" s="3">
        <v>0.27710000000000001</v>
      </c>
      <c r="X670" s="1" t="s">
        <v>3033</v>
      </c>
      <c r="Y670" s="1">
        <v>0.28599999999999998</v>
      </c>
      <c r="Z670" s="1">
        <v>0.192</v>
      </c>
      <c r="AA670" s="1">
        <v>0.70299999999999996</v>
      </c>
      <c r="AB670" s="1">
        <v>3.8</v>
      </c>
      <c r="AC670" s="1">
        <v>0</v>
      </c>
      <c r="AD670" s="1">
        <v>0</v>
      </c>
      <c r="AE670" s="1">
        <v>0.21</v>
      </c>
      <c r="AF670" s="1">
        <v>0</v>
      </c>
      <c r="AH670" s="8" t="s">
        <v>3034</v>
      </c>
      <c r="AI670" s="8">
        <v>14</v>
      </c>
      <c r="AJ670" s="8" t="s">
        <v>3035</v>
      </c>
      <c r="AK670" s="8">
        <v>3</v>
      </c>
      <c r="AM670" s="1" t="s">
        <v>3033</v>
      </c>
      <c r="AT670" s="8" t="s">
        <v>1607</v>
      </c>
    </row>
    <row r="671" spans="1:46">
      <c r="A671" s="1" t="s">
        <v>3036</v>
      </c>
      <c r="C671" s="1" t="s">
        <v>3036</v>
      </c>
      <c r="D671" s="1" t="s">
        <v>3037</v>
      </c>
      <c r="E671" s="1" t="s">
        <v>1394</v>
      </c>
      <c r="F671" s="1" t="s">
        <v>3031</v>
      </c>
      <c r="G671" s="1" t="s">
        <v>456</v>
      </c>
      <c r="H671" s="2" t="s">
        <v>3032</v>
      </c>
      <c r="I671" s="1">
        <v>14</v>
      </c>
      <c r="J671" s="1">
        <v>0.2</v>
      </c>
      <c r="K671" s="1">
        <v>10</v>
      </c>
      <c r="L671" s="1" t="s">
        <v>65</v>
      </c>
      <c r="M671" s="1">
        <v>11.254</v>
      </c>
      <c r="N671" s="1">
        <v>44.8</v>
      </c>
      <c r="O671" s="1">
        <v>71.363666670000001</v>
      </c>
      <c r="P671" s="1">
        <v>-163.00049999999999</v>
      </c>
      <c r="Q671" s="1">
        <v>5.1920500000000001</v>
      </c>
      <c r="R671" s="1">
        <v>31.317550000000001</v>
      </c>
      <c r="S671" s="1">
        <v>327.87873150000001</v>
      </c>
      <c r="W671" s="3">
        <v>0.28410000000000002</v>
      </c>
      <c r="X671" s="1" t="s">
        <v>3038</v>
      </c>
      <c r="Y671" s="1">
        <v>0.29499999999999998</v>
      </c>
      <c r="Z671" s="1">
        <v>0.18099999999999999</v>
      </c>
      <c r="AA671" s="1">
        <v>0.7</v>
      </c>
      <c r="AB671" s="1">
        <v>4.8</v>
      </c>
      <c r="AC671" s="1">
        <v>0</v>
      </c>
      <c r="AD671" s="1">
        <v>0</v>
      </c>
      <c r="AE671" s="1">
        <v>0.21</v>
      </c>
      <c r="AF671" s="1">
        <v>0</v>
      </c>
      <c r="AH671" s="8" t="s">
        <v>3039</v>
      </c>
      <c r="AI671" s="8">
        <v>12</v>
      </c>
      <c r="AJ671" s="8" t="s">
        <v>3040</v>
      </c>
      <c r="AK671" s="8">
        <v>3.5</v>
      </c>
      <c r="AM671" s="1" t="s">
        <v>3038</v>
      </c>
      <c r="AT671" s="8" t="s">
        <v>1607</v>
      </c>
    </row>
    <row r="672" spans="1:46">
      <c r="A672" s="1" t="s">
        <v>3041</v>
      </c>
      <c r="C672" s="1" t="s">
        <v>3041</v>
      </c>
      <c r="D672" s="1" t="s">
        <v>3042</v>
      </c>
      <c r="E672" s="1" t="s">
        <v>1394</v>
      </c>
      <c r="F672" s="1" t="s">
        <v>3031</v>
      </c>
      <c r="G672" s="1" t="s">
        <v>456</v>
      </c>
      <c r="H672" s="2" t="s">
        <v>3032</v>
      </c>
      <c r="I672" s="1">
        <v>14</v>
      </c>
      <c r="J672" s="1">
        <v>0.2</v>
      </c>
      <c r="K672" s="1">
        <v>20</v>
      </c>
      <c r="L672" s="1" t="s">
        <v>65</v>
      </c>
      <c r="M672" s="1">
        <v>20.777000000000001</v>
      </c>
      <c r="N672" s="1">
        <v>44.8</v>
      </c>
      <c r="O672" s="1">
        <v>71.363666670000001</v>
      </c>
      <c r="P672" s="1">
        <v>-163.00049999999999</v>
      </c>
      <c r="Q672" s="1">
        <v>5.1899499999999996</v>
      </c>
      <c r="R672" s="1">
        <v>31.320250000000001</v>
      </c>
      <c r="S672" s="1">
        <v>327.80280779999998</v>
      </c>
      <c r="W672" s="3">
        <v>0.29199999999999998</v>
      </c>
      <c r="X672" s="1" t="s">
        <v>3043</v>
      </c>
      <c r="Y672" s="1">
        <v>0.31</v>
      </c>
      <c r="Z672" s="1">
        <v>0.20399999999999999</v>
      </c>
      <c r="AA672" s="1">
        <v>0.70299999999999996</v>
      </c>
      <c r="AB672" s="1">
        <v>3.8</v>
      </c>
      <c r="AC672" s="1">
        <v>0</v>
      </c>
      <c r="AD672" s="1">
        <v>0</v>
      </c>
      <c r="AE672" s="1">
        <v>0.21</v>
      </c>
      <c r="AF672" s="1">
        <v>0</v>
      </c>
      <c r="AH672" s="8" t="s">
        <v>3044</v>
      </c>
      <c r="AI672" s="8">
        <v>10</v>
      </c>
      <c r="AJ672" s="8" t="s">
        <v>3045</v>
      </c>
      <c r="AK672" s="8">
        <v>2.5</v>
      </c>
      <c r="AM672" s="1" t="s">
        <v>3043</v>
      </c>
      <c r="AT672" s="8" t="s">
        <v>1607</v>
      </c>
    </row>
    <row r="673" spans="1:46">
      <c r="A673" s="1" t="s">
        <v>3046</v>
      </c>
      <c r="C673" s="1" t="s">
        <v>3046</v>
      </c>
      <c r="D673" s="1" t="s">
        <v>3047</v>
      </c>
      <c r="E673" s="1" t="s">
        <v>1394</v>
      </c>
      <c r="F673" s="1" t="s">
        <v>3031</v>
      </c>
      <c r="G673" s="1" t="s">
        <v>456</v>
      </c>
      <c r="H673" s="2" t="s">
        <v>3032</v>
      </c>
      <c r="I673" s="1">
        <v>14</v>
      </c>
      <c r="J673" s="1">
        <v>0.2</v>
      </c>
      <c r="K673" s="1">
        <v>30</v>
      </c>
      <c r="L673" s="1" t="s">
        <v>65</v>
      </c>
      <c r="M673" s="1">
        <v>31.081</v>
      </c>
      <c r="N673" s="1">
        <v>44.8</v>
      </c>
      <c r="O673" s="1">
        <v>71.363666670000001</v>
      </c>
      <c r="P673" s="1">
        <v>-163.00049999999999</v>
      </c>
      <c r="Q673" s="1">
        <v>2.4782999999999999</v>
      </c>
      <c r="R673" s="1">
        <v>31.80885</v>
      </c>
      <c r="S673" s="1">
        <v>383.52633750000001</v>
      </c>
      <c r="W673" s="3">
        <v>0.50360000000000005</v>
      </c>
      <c r="X673" s="1" t="s">
        <v>3048</v>
      </c>
      <c r="Y673" s="1">
        <v>0.70099999999999996</v>
      </c>
      <c r="Z673" s="1">
        <v>0.63900000000000001</v>
      </c>
      <c r="AA673" s="1">
        <v>0.746</v>
      </c>
      <c r="AB673" s="1">
        <v>3.9</v>
      </c>
      <c r="AC673" s="1">
        <v>0</v>
      </c>
      <c r="AD673" s="1">
        <v>0</v>
      </c>
      <c r="AE673" s="1">
        <v>0.27</v>
      </c>
      <c r="AF673" s="1">
        <v>0</v>
      </c>
      <c r="AH673" s="8" t="s">
        <v>3049</v>
      </c>
      <c r="AI673" s="8">
        <v>8</v>
      </c>
      <c r="AJ673" s="8" t="s">
        <v>3050</v>
      </c>
      <c r="AK673" s="8">
        <v>3</v>
      </c>
      <c r="AM673" s="1" t="s">
        <v>3048</v>
      </c>
      <c r="AT673" s="8" t="s">
        <v>1607</v>
      </c>
    </row>
    <row r="674" spans="1:46">
      <c r="A674" s="1" t="s">
        <v>3051</v>
      </c>
      <c r="C674" s="1" t="s">
        <v>3051</v>
      </c>
      <c r="D674" s="1" t="s">
        <v>3052</v>
      </c>
      <c r="E674" s="1" t="s">
        <v>1394</v>
      </c>
      <c r="F674" s="1" t="s">
        <v>3031</v>
      </c>
      <c r="G674" s="1" t="s">
        <v>456</v>
      </c>
      <c r="H674" s="2" t="s">
        <v>3032</v>
      </c>
      <c r="I674" s="1">
        <v>14</v>
      </c>
      <c r="J674" s="1">
        <v>0.2</v>
      </c>
      <c r="K674" s="1">
        <v>37</v>
      </c>
      <c r="L674" s="1" t="s">
        <v>78</v>
      </c>
      <c r="M674" s="1">
        <v>37.643000000000001</v>
      </c>
      <c r="N674" s="1">
        <v>44.8</v>
      </c>
      <c r="O674" s="1">
        <v>71.363666670000001</v>
      </c>
      <c r="P674" s="1">
        <v>-163.00049999999999</v>
      </c>
      <c r="Q674" s="1">
        <v>0.56399999999999995</v>
      </c>
      <c r="R674" s="1">
        <v>32.210799999999999</v>
      </c>
      <c r="S674" s="1">
        <v>263.59815420000001</v>
      </c>
      <c r="W674" s="3">
        <v>2.157</v>
      </c>
      <c r="AH674" s="8" t="s">
        <v>3053</v>
      </c>
      <c r="AI674" s="8">
        <v>6</v>
      </c>
      <c r="AJ674" s="8" t="s">
        <v>3054</v>
      </c>
      <c r="AK674" s="8">
        <v>1</v>
      </c>
      <c r="AM674" s="1" t="s">
        <v>3055</v>
      </c>
      <c r="AT674" s="8" t="s">
        <v>1607</v>
      </c>
    </row>
    <row r="675" spans="1:46">
      <c r="A675" s="1" t="s">
        <v>3056</v>
      </c>
      <c r="C675" s="1" t="s">
        <v>3056</v>
      </c>
      <c r="D675" s="1" t="s">
        <v>3057</v>
      </c>
      <c r="E675" s="1" t="s">
        <v>1394</v>
      </c>
      <c r="F675" s="1" t="s">
        <v>3031</v>
      </c>
      <c r="G675" s="1" t="s">
        <v>456</v>
      </c>
      <c r="H675" s="2" t="s">
        <v>3032</v>
      </c>
      <c r="I675" s="1">
        <v>14</v>
      </c>
      <c r="J675" s="1">
        <v>0.2</v>
      </c>
      <c r="K675" s="1">
        <v>42</v>
      </c>
      <c r="L675" s="1" t="s">
        <v>78</v>
      </c>
      <c r="M675" s="1">
        <v>42.496000000000002</v>
      </c>
      <c r="N675" s="1">
        <v>44.8</v>
      </c>
      <c r="O675" s="1">
        <v>71.363666670000001</v>
      </c>
      <c r="P675" s="1">
        <v>-163.00049999999999</v>
      </c>
      <c r="Q675" s="1">
        <v>0.46705000000000002</v>
      </c>
      <c r="R675" s="1">
        <v>32.230499999999999</v>
      </c>
      <c r="S675" s="1">
        <v>254.93838629999999</v>
      </c>
      <c r="W675" s="3">
        <v>0.97119999999999995</v>
      </c>
      <c r="X675" s="1" t="s">
        <v>3058</v>
      </c>
      <c r="Y675" s="1">
        <v>3.4540000000000002</v>
      </c>
      <c r="Z675" s="1">
        <v>0.70099999999999996</v>
      </c>
      <c r="AA675" s="1">
        <v>1.6319999999999999</v>
      </c>
      <c r="AB675" s="1">
        <v>22.3</v>
      </c>
      <c r="AC675" s="1">
        <v>3.4</v>
      </c>
      <c r="AD675" s="1">
        <v>0.11</v>
      </c>
      <c r="AE675" s="1">
        <v>5.18</v>
      </c>
      <c r="AF675" s="1">
        <v>3.51</v>
      </c>
      <c r="AH675" s="8" t="s">
        <v>3059</v>
      </c>
      <c r="AI675" s="8">
        <v>4</v>
      </c>
      <c r="AJ675" s="8" t="s">
        <v>3060</v>
      </c>
      <c r="AK675" s="8">
        <v>2</v>
      </c>
      <c r="AM675" s="1" t="s">
        <v>3058</v>
      </c>
      <c r="AT675" s="8" t="s">
        <v>1607</v>
      </c>
    </row>
    <row r="676" spans="1:46">
      <c r="A676" s="1" t="s">
        <v>3061</v>
      </c>
      <c r="C676" s="1" t="s">
        <v>3061</v>
      </c>
      <c r="D676" s="1" t="s">
        <v>3062</v>
      </c>
      <c r="E676" s="1" t="s">
        <v>1394</v>
      </c>
      <c r="F676" s="1" t="s">
        <v>3063</v>
      </c>
      <c r="G676" s="1" t="s">
        <v>456</v>
      </c>
      <c r="H676" s="2" t="s">
        <v>3064</v>
      </c>
      <c r="I676" s="1">
        <v>12</v>
      </c>
      <c r="J676" s="1">
        <v>0.2</v>
      </c>
      <c r="K676" s="1" t="s">
        <v>1688</v>
      </c>
      <c r="L676" s="1" t="s">
        <v>52</v>
      </c>
      <c r="M676" s="1">
        <v>4.3369999999999997</v>
      </c>
      <c r="N676" s="1">
        <v>42.1</v>
      </c>
      <c r="O676" s="1">
        <v>71.490333329999999</v>
      </c>
      <c r="P676" s="1">
        <v>-163.37683329999999</v>
      </c>
      <c r="Q676" s="1">
        <v>4.9923000000000002</v>
      </c>
      <c r="R676" s="1">
        <v>31.22175</v>
      </c>
      <c r="S676" s="1">
        <v>330.70130669999998</v>
      </c>
      <c r="W676" s="3">
        <v>0.24879999999999999</v>
      </c>
      <c r="X676" s="1" t="s">
        <v>138</v>
      </c>
      <c r="Y676" s="1">
        <v>0.22</v>
      </c>
      <c r="Z676" s="1">
        <v>0.106</v>
      </c>
      <c r="AA676" s="1">
        <v>0.68700000000000006</v>
      </c>
      <c r="AB676" s="1">
        <v>3.9</v>
      </c>
      <c r="AC676" s="1">
        <v>0</v>
      </c>
      <c r="AD676" s="1">
        <v>0</v>
      </c>
      <c r="AE676" s="1">
        <v>0.21</v>
      </c>
      <c r="AF676" s="1">
        <v>0</v>
      </c>
      <c r="AH676" s="8" t="s">
        <v>3065</v>
      </c>
      <c r="AI676" s="8">
        <v>14</v>
      </c>
      <c r="AJ676" s="8" t="s">
        <v>3066</v>
      </c>
      <c r="AK676" s="8">
        <v>2</v>
      </c>
      <c r="AM676" s="1" t="s">
        <v>138</v>
      </c>
      <c r="AT676" s="8" t="s">
        <v>1607</v>
      </c>
    </row>
    <row r="677" spans="1:46">
      <c r="A677" s="1" t="s">
        <v>3067</v>
      </c>
      <c r="C677" s="1" t="s">
        <v>3067</v>
      </c>
      <c r="D677" s="1" t="s">
        <v>3068</v>
      </c>
      <c r="E677" s="1" t="s">
        <v>1466</v>
      </c>
      <c r="F677" s="1" t="s">
        <v>3063</v>
      </c>
      <c r="G677" s="1" t="s">
        <v>456</v>
      </c>
      <c r="H677" s="2" t="s">
        <v>3069</v>
      </c>
      <c r="I677" s="1">
        <v>49</v>
      </c>
      <c r="J677" s="1">
        <v>0.2</v>
      </c>
      <c r="K677" s="1" t="s">
        <v>52</v>
      </c>
      <c r="L677" s="1" t="s">
        <v>52</v>
      </c>
      <c r="M677" s="1">
        <v>5.2130000000000001</v>
      </c>
      <c r="N677" s="1">
        <v>44</v>
      </c>
      <c r="O677" s="1">
        <v>71.49212</v>
      </c>
      <c r="P677" s="1">
        <v>-163.37971999999999</v>
      </c>
      <c r="Q677" s="1">
        <v>5.2896999999999998</v>
      </c>
      <c r="R677" s="1">
        <v>31.2502</v>
      </c>
      <c r="S677" s="1">
        <v>306.76350000000002</v>
      </c>
      <c r="W677" s="3">
        <v>0.24299999999999999</v>
      </c>
      <c r="X677" s="1" t="s">
        <v>3070</v>
      </c>
      <c r="Y677" s="1">
        <v>0.26</v>
      </c>
      <c r="AA677" s="1">
        <v>0.68</v>
      </c>
      <c r="AB677" s="1">
        <v>4.4000000000000004</v>
      </c>
      <c r="AE677" s="1">
        <v>0.42</v>
      </c>
      <c r="AF677" s="1">
        <v>0.83</v>
      </c>
      <c r="AI677" s="1">
        <v>12</v>
      </c>
      <c r="AJ677" s="1" t="s">
        <v>3070</v>
      </c>
      <c r="AK677" s="1">
        <v>4</v>
      </c>
      <c r="AL677" s="1">
        <v>95.260999999999996</v>
      </c>
      <c r="AM677" s="1" t="s">
        <v>3070</v>
      </c>
      <c r="AP677" s="1" t="s">
        <v>3071</v>
      </c>
      <c r="AQ677" s="1">
        <v>-2.11</v>
      </c>
      <c r="AR677" s="1">
        <v>11.07</v>
      </c>
      <c r="AS677" s="1" t="s">
        <v>3072</v>
      </c>
      <c r="AT677" s="1">
        <v>5</v>
      </c>
    </row>
    <row r="678" spans="1:46">
      <c r="A678" s="1" t="s">
        <v>3073</v>
      </c>
      <c r="C678" s="1" t="s">
        <v>3073</v>
      </c>
      <c r="D678" s="1" t="s">
        <v>3074</v>
      </c>
      <c r="E678" s="1" t="s">
        <v>1394</v>
      </c>
      <c r="F678" s="1" t="s">
        <v>3063</v>
      </c>
      <c r="G678" s="1" t="s">
        <v>456</v>
      </c>
      <c r="H678" s="2" t="s">
        <v>3064</v>
      </c>
      <c r="I678" s="1">
        <v>12</v>
      </c>
      <c r="J678" s="1">
        <v>0.2</v>
      </c>
      <c r="K678" s="1">
        <v>20</v>
      </c>
      <c r="L678" s="1" t="s">
        <v>65</v>
      </c>
      <c r="M678" s="1">
        <v>20.18</v>
      </c>
      <c r="N678" s="1">
        <v>42.1</v>
      </c>
      <c r="O678" s="1">
        <v>71.490333329999999</v>
      </c>
      <c r="P678" s="1">
        <v>-163.37683329999999</v>
      </c>
      <c r="Q678" s="1">
        <v>4.9805999999999999</v>
      </c>
      <c r="R678" s="1">
        <v>31.2196</v>
      </c>
      <c r="S678" s="1">
        <v>330.1073154</v>
      </c>
      <c r="W678" s="3">
        <v>0.25530000000000003</v>
      </c>
      <c r="X678" s="1" t="s">
        <v>3075</v>
      </c>
      <c r="Y678" s="1">
        <v>0.17699999999999999</v>
      </c>
      <c r="Z678" s="1">
        <v>9.1999999999999998E-2</v>
      </c>
      <c r="AA678" s="1">
        <v>0.68899999999999995</v>
      </c>
      <c r="AB678" s="1">
        <v>3.9</v>
      </c>
      <c r="AC678" s="1">
        <v>0</v>
      </c>
      <c r="AD678" s="1">
        <v>0</v>
      </c>
      <c r="AE678" s="1">
        <v>0.22</v>
      </c>
      <c r="AF678" s="1">
        <v>0</v>
      </c>
      <c r="AH678" s="8" t="s">
        <v>3076</v>
      </c>
      <c r="AI678" s="8">
        <v>10</v>
      </c>
      <c r="AJ678" s="8" t="s">
        <v>3077</v>
      </c>
      <c r="AK678" s="8">
        <v>1.8</v>
      </c>
      <c r="AM678" s="1" t="s">
        <v>3075</v>
      </c>
      <c r="AT678" s="8" t="s">
        <v>1607</v>
      </c>
    </row>
    <row r="679" spans="1:46">
      <c r="A679" s="1" t="s">
        <v>3078</v>
      </c>
      <c r="C679" s="1" t="s">
        <v>3078</v>
      </c>
      <c r="D679" s="1" t="s">
        <v>3079</v>
      </c>
      <c r="E679" s="1" t="s">
        <v>1466</v>
      </c>
      <c r="F679" s="1" t="s">
        <v>3063</v>
      </c>
      <c r="G679" s="1" t="s">
        <v>456</v>
      </c>
      <c r="H679" s="2" t="s">
        <v>3080</v>
      </c>
      <c r="I679" s="1">
        <v>49</v>
      </c>
      <c r="J679" s="1">
        <v>0.2</v>
      </c>
      <c r="K679" s="1" t="s">
        <v>2199</v>
      </c>
      <c r="L679" s="1" t="s">
        <v>65</v>
      </c>
      <c r="M679" s="1">
        <v>20.597999999999999</v>
      </c>
      <c r="N679" s="1">
        <v>44</v>
      </c>
      <c r="O679" s="1">
        <v>71.491960000000006</v>
      </c>
      <c r="P679" s="1">
        <v>-163.38251</v>
      </c>
      <c r="Q679" s="1">
        <v>4.5011999999999999</v>
      </c>
      <c r="R679" s="1">
        <v>31.541250000000002</v>
      </c>
      <c r="S679" s="1">
        <v>356.45350000000002</v>
      </c>
      <c r="W679" s="3">
        <v>0.70499999999999996</v>
      </c>
      <c r="X679" s="1" t="s">
        <v>3081</v>
      </c>
      <c r="Y679" s="1">
        <v>0.78</v>
      </c>
      <c r="AA679" s="1">
        <v>0.62</v>
      </c>
      <c r="AB679" s="1">
        <v>18.850000000000001</v>
      </c>
      <c r="AE679" s="1">
        <v>0.51</v>
      </c>
      <c r="AF679" s="1">
        <v>2.33</v>
      </c>
      <c r="AI679" s="1">
        <v>8</v>
      </c>
      <c r="AJ679" s="1" t="s">
        <v>3082</v>
      </c>
      <c r="AK679" s="1">
        <v>4</v>
      </c>
      <c r="AL679" s="1">
        <v>93.253500000000003</v>
      </c>
      <c r="AM679" s="1" t="s">
        <v>3081</v>
      </c>
      <c r="AP679" s="1" t="s">
        <v>3083</v>
      </c>
      <c r="AR679" s="1">
        <v>11.07</v>
      </c>
      <c r="AT679" s="1">
        <v>21.2</v>
      </c>
    </row>
    <row r="680" spans="1:46">
      <c r="A680" s="1" t="s">
        <v>3084</v>
      </c>
      <c r="C680" s="1" t="s">
        <v>3084</v>
      </c>
      <c r="D680" s="1" t="s">
        <v>3085</v>
      </c>
      <c r="E680" s="1" t="s">
        <v>1466</v>
      </c>
      <c r="F680" s="1" t="s">
        <v>3063</v>
      </c>
      <c r="G680" s="1" t="s">
        <v>456</v>
      </c>
      <c r="H680" s="2" t="s">
        <v>3080</v>
      </c>
      <c r="I680" s="1">
        <v>49</v>
      </c>
      <c r="J680" s="1">
        <v>0.2</v>
      </c>
      <c r="K680" s="1" t="s">
        <v>2199</v>
      </c>
      <c r="L680" s="1" t="s">
        <v>65</v>
      </c>
      <c r="M680" s="1">
        <v>23.574000000000002</v>
      </c>
      <c r="N680" s="1">
        <v>44</v>
      </c>
      <c r="O680" s="1">
        <v>71.491960000000006</v>
      </c>
      <c r="P680" s="1">
        <v>-163.38257999999999</v>
      </c>
      <c r="Q680" s="1">
        <v>2.79975</v>
      </c>
      <c r="R680" s="1">
        <v>31.790050000000001</v>
      </c>
      <c r="S680" s="1">
        <v>381.42200000000003</v>
      </c>
      <c r="W680" s="3">
        <v>1.9379999999999999</v>
      </c>
      <c r="X680" s="1" t="s">
        <v>3086</v>
      </c>
      <c r="AI680" s="1">
        <v>7</v>
      </c>
      <c r="AJ680" s="1" t="s">
        <v>3086</v>
      </c>
      <c r="AK680" s="1">
        <v>4</v>
      </c>
      <c r="AL680" s="1">
        <v>88.444299999999998</v>
      </c>
      <c r="AM680" s="1" t="s">
        <v>3086</v>
      </c>
      <c r="AP680" s="1" t="s">
        <v>3087</v>
      </c>
      <c r="AR680" s="1">
        <v>11.07</v>
      </c>
      <c r="AT680" s="1">
        <v>24.5</v>
      </c>
    </row>
    <row r="681" spans="1:46">
      <c r="A681" s="1" t="s">
        <v>3088</v>
      </c>
      <c r="C681" s="1" t="s">
        <v>3088</v>
      </c>
      <c r="D681" s="1" t="s">
        <v>3089</v>
      </c>
      <c r="E681" s="1" t="s">
        <v>1466</v>
      </c>
      <c r="F681" s="1" t="s">
        <v>3063</v>
      </c>
      <c r="G681" s="1" t="s">
        <v>456</v>
      </c>
      <c r="H681" s="2" t="s">
        <v>3090</v>
      </c>
      <c r="I681" s="1">
        <v>49</v>
      </c>
      <c r="J681" s="1">
        <v>0.2</v>
      </c>
      <c r="K681" s="1" t="s">
        <v>2199</v>
      </c>
      <c r="L681" s="1" t="s">
        <v>65</v>
      </c>
      <c r="M681" s="1">
        <v>24.872</v>
      </c>
      <c r="N681" s="1">
        <v>44</v>
      </c>
      <c r="O681" s="1">
        <v>71.491960000000006</v>
      </c>
      <c r="P681" s="1">
        <v>-163.38266999999999</v>
      </c>
      <c r="Q681" s="1">
        <v>0.87185000000000001</v>
      </c>
      <c r="R681" s="1">
        <v>31.941600000000001</v>
      </c>
      <c r="S681" s="1">
        <v>333.916</v>
      </c>
      <c r="W681" s="3">
        <v>2.77</v>
      </c>
      <c r="X681" s="1" t="s">
        <v>3091</v>
      </c>
      <c r="AI681" s="1">
        <v>6</v>
      </c>
      <c r="AJ681" s="1" t="s">
        <v>3091</v>
      </c>
      <c r="AK681" s="1">
        <v>4</v>
      </c>
      <c r="AL681" s="1">
        <v>78.547600000000003</v>
      </c>
      <c r="AM681" s="1" t="s">
        <v>3091</v>
      </c>
      <c r="AP681" s="1" t="s">
        <v>3092</v>
      </c>
      <c r="AR681" s="1">
        <v>11.07</v>
      </c>
      <c r="AT681" s="1">
        <v>26</v>
      </c>
    </row>
    <row r="682" spans="1:46">
      <c r="A682" s="1" t="s">
        <v>3093</v>
      </c>
      <c r="C682" s="1" t="s">
        <v>3093</v>
      </c>
      <c r="D682" s="1" t="s">
        <v>3094</v>
      </c>
      <c r="E682" s="1" t="s">
        <v>1466</v>
      </c>
      <c r="F682" s="1" t="s">
        <v>3063</v>
      </c>
      <c r="G682" s="1" t="s">
        <v>456</v>
      </c>
      <c r="H682" s="2" t="s">
        <v>3090</v>
      </c>
      <c r="I682" s="1">
        <v>49</v>
      </c>
      <c r="J682" s="1">
        <v>0.2</v>
      </c>
      <c r="K682" s="1" t="s">
        <v>2199</v>
      </c>
      <c r="L682" s="1" t="s">
        <v>65</v>
      </c>
      <c r="M682" s="1">
        <v>26.800999999999998</v>
      </c>
      <c r="N682" s="1">
        <v>44</v>
      </c>
      <c r="O682" s="1">
        <v>71.491960000000006</v>
      </c>
      <c r="P682" s="1">
        <v>-163.38273000000001</v>
      </c>
      <c r="Q682" s="1">
        <v>0.1328</v>
      </c>
      <c r="R682" s="1">
        <v>32.011049999999997</v>
      </c>
      <c r="S682" s="1">
        <v>280.19650000000001</v>
      </c>
      <c r="W682" s="3">
        <v>1.121</v>
      </c>
      <c r="X682" s="1" t="s">
        <v>3095</v>
      </c>
      <c r="Y682" s="1">
        <v>0.75</v>
      </c>
      <c r="AA682" s="1">
        <v>1.54</v>
      </c>
      <c r="AB682" s="1">
        <v>8.14</v>
      </c>
      <c r="AE682" s="1">
        <v>2.75</v>
      </c>
      <c r="AF682" s="1">
        <v>7.86</v>
      </c>
      <c r="AI682" s="1">
        <v>5</v>
      </c>
      <c r="AJ682" s="1" t="s">
        <v>3096</v>
      </c>
      <c r="AK682" s="1">
        <v>4</v>
      </c>
      <c r="AL682" s="1">
        <v>71.510099999999994</v>
      </c>
      <c r="AM682" s="1" t="s">
        <v>3095</v>
      </c>
      <c r="AP682" s="1" t="s">
        <v>3097</v>
      </c>
      <c r="AR682" s="1">
        <v>11.07</v>
      </c>
      <c r="AT682" s="1">
        <v>27.5</v>
      </c>
    </row>
    <row r="683" spans="1:46">
      <c r="A683" s="1" t="s">
        <v>3098</v>
      </c>
      <c r="C683" s="1" t="s">
        <v>3098</v>
      </c>
      <c r="D683" s="1" t="s">
        <v>3099</v>
      </c>
      <c r="E683" s="1" t="s">
        <v>1466</v>
      </c>
      <c r="F683" s="1" t="s">
        <v>3063</v>
      </c>
      <c r="G683" s="1" t="s">
        <v>456</v>
      </c>
      <c r="H683" s="2" t="s">
        <v>3100</v>
      </c>
      <c r="I683" s="1">
        <v>49</v>
      </c>
      <c r="J683" s="1">
        <v>0.2</v>
      </c>
      <c r="K683" s="1" t="s">
        <v>1488</v>
      </c>
      <c r="L683" s="1" t="s">
        <v>65</v>
      </c>
      <c r="M683" s="1">
        <v>29.638000000000002</v>
      </c>
      <c r="N683" s="1">
        <v>44</v>
      </c>
      <c r="O683" s="1">
        <v>71.491900000000001</v>
      </c>
      <c r="P683" s="1">
        <v>-163.38324</v>
      </c>
      <c r="Q683" s="1">
        <v>6.2449999999999999E-2</v>
      </c>
      <c r="R683" s="1">
        <v>32.230899999999998</v>
      </c>
      <c r="S683" s="1">
        <v>278.16699999999997</v>
      </c>
      <c r="W683" s="3">
        <v>0.40100000000000002</v>
      </c>
      <c r="X683" s="1" t="s">
        <v>3095</v>
      </c>
      <c r="Y683" s="1">
        <v>0.75</v>
      </c>
      <c r="AA683" s="1">
        <v>1.54</v>
      </c>
      <c r="AB683" s="1">
        <v>8.14</v>
      </c>
      <c r="AE683" s="1">
        <v>2.75</v>
      </c>
      <c r="AF683" s="1">
        <v>7.86</v>
      </c>
      <c r="AI683" s="1">
        <v>3</v>
      </c>
      <c r="AJ683" s="1" t="s">
        <v>3095</v>
      </c>
      <c r="AK683" s="1">
        <v>4</v>
      </c>
      <c r="AL683" s="1">
        <v>68.775000000000006</v>
      </c>
      <c r="AM683" s="1" t="s">
        <v>3095</v>
      </c>
      <c r="AP683" s="1" t="s">
        <v>3101</v>
      </c>
      <c r="AR683" s="1">
        <v>11.07</v>
      </c>
      <c r="AS683" s="1" t="s">
        <v>3102</v>
      </c>
      <c r="AT683" s="1">
        <v>30.8</v>
      </c>
    </row>
    <row r="684" spans="1:46">
      <c r="A684" s="1" t="s">
        <v>3103</v>
      </c>
      <c r="C684" s="1" t="s">
        <v>3103</v>
      </c>
      <c r="D684" s="1" t="s">
        <v>3104</v>
      </c>
      <c r="E684" s="1" t="s">
        <v>1466</v>
      </c>
      <c r="F684" s="1" t="s">
        <v>3063</v>
      </c>
      <c r="G684" s="1" t="s">
        <v>456</v>
      </c>
      <c r="H684" s="2" t="s">
        <v>3090</v>
      </c>
      <c r="I684" s="1">
        <v>49</v>
      </c>
      <c r="J684" s="1">
        <v>0.2</v>
      </c>
      <c r="L684" s="1" t="s">
        <v>65</v>
      </c>
      <c r="M684" s="1">
        <v>30.231000000000002</v>
      </c>
      <c r="N684" s="1">
        <v>44</v>
      </c>
      <c r="O684" s="1">
        <v>71.491919999999993</v>
      </c>
      <c r="P684" s="1">
        <v>-163.38292000000001</v>
      </c>
      <c r="Q684" s="1">
        <v>5.5399999999999998E-2</v>
      </c>
      <c r="R684" s="1">
        <v>32.231400000000001</v>
      </c>
      <c r="S684" s="1">
        <v>278.5915</v>
      </c>
      <c r="W684" s="3">
        <v>0.34899999999999998</v>
      </c>
      <c r="X684" s="1" t="s">
        <v>3095</v>
      </c>
      <c r="Y684" s="1">
        <v>0.75</v>
      </c>
      <c r="AA684" s="1">
        <v>1.54</v>
      </c>
      <c r="AB684" s="1">
        <v>8.14</v>
      </c>
      <c r="AE684" s="1">
        <v>2.75</v>
      </c>
      <c r="AF684" s="1">
        <v>7.86</v>
      </c>
      <c r="AI684" s="1">
        <v>4</v>
      </c>
      <c r="AJ684" s="1" t="s">
        <v>3105</v>
      </c>
      <c r="AK684" s="1">
        <v>4</v>
      </c>
      <c r="AL684" s="1">
        <v>70.797200000000004</v>
      </c>
      <c r="AM684" s="1" t="s">
        <v>3095</v>
      </c>
      <c r="AP684" s="1" t="s">
        <v>3106</v>
      </c>
      <c r="AR684" s="1">
        <v>11.07</v>
      </c>
      <c r="AS684" s="1" t="s">
        <v>3102</v>
      </c>
      <c r="AT684" s="1">
        <v>29.7</v>
      </c>
    </row>
    <row r="685" spans="1:46">
      <c r="A685" s="1" t="s">
        <v>3107</v>
      </c>
      <c r="C685" s="1" t="s">
        <v>3107</v>
      </c>
      <c r="D685" s="1" t="s">
        <v>3108</v>
      </c>
      <c r="E685" s="1" t="s">
        <v>1394</v>
      </c>
      <c r="F685" s="1" t="s">
        <v>3063</v>
      </c>
      <c r="G685" s="1" t="s">
        <v>456</v>
      </c>
      <c r="H685" s="2" t="s">
        <v>3064</v>
      </c>
      <c r="I685" s="1">
        <v>12</v>
      </c>
      <c r="J685" s="1">
        <v>0.2</v>
      </c>
      <c r="K685" s="1">
        <v>35</v>
      </c>
      <c r="L685" s="1" t="s">
        <v>78</v>
      </c>
      <c r="M685" s="1">
        <v>34.857999999999997</v>
      </c>
      <c r="N685" s="1">
        <v>42.1</v>
      </c>
      <c r="O685" s="1">
        <v>71.490333329999999</v>
      </c>
      <c r="P685" s="1">
        <v>-163.37683329999999</v>
      </c>
      <c r="Q685" s="1">
        <v>0.74114999999999998</v>
      </c>
      <c r="R685" s="1">
        <v>32.049950000000003</v>
      </c>
      <c r="S685" s="1">
        <v>332.29123829999997</v>
      </c>
      <c r="W685" s="3">
        <v>3.0371999999999999</v>
      </c>
      <c r="AH685" s="8" t="s">
        <v>3109</v>
      </c>
      <c r="AI685" s="8">
        <v>6</v>
      </c>
      <c r="AJ685" s="8" t="s">
        <v>3110</v>
      </c>
      <c r="AK685" s="8">
        <v>1.8</v>
      </c>
      <c r="AM685" s="1" t="s">
        <v>3111</v>
      </c>
      <c r="AT685" s="8" t="s">
        <v>1607</v>
      </c>
    </row>
    <row r="686" spans="1:46">
      <c r="A686" s="1" t="s">
        <v>3112</v>
      </c>
      <c r="C686" s="1" t="s">
        <v>3112</v>
      </c>
      <c r="D686" s="1" t="s">
        <v>3113</v>
      </c>
      <c r="E686" s="1" t="s">
        <v>1466</v>
      </c>
      <c r="F686" s="1" t="s">
        <v>3063</v>
      </c>
      <c r="G686" s="1" t="s">
        <v>456</v>
      </c>
      <c r="H686" s="2" t="s">
        <v>3100</v>
      </c>
      <c r="I686" s="1">
        <v>49</v>
      </c>
      <c r="J686" s="1">
        <v>0.2</v>
      </c>
      <c r="K686" s="1" t="s">
        <v>78</v>
      </c>
      <c r="L686" s="1" t="s">
        <v>78</v>
      </c>
      <c r="M686" s="1">
        <v>37.850999999999999</v>
      </c>
      <c r="N686" s="1">
        <v>44</v>
      </c>
      <c r="O686" s="1">
        <v>71.491860000000003</v>
      </c>
      <c r="P686" s="1">
        <v>-163.38368</v>
      </c>
      <c r="Q686" s="1">
        <v>0.10395</v>
      </c>
      <c r="R686" s="1">
        <v>32.239100000000001</v>
      </c>
      <c r="S686" s="1">
        <v>271.24400000000003</v>
      </c>
      <c r="W686" s="3">
        <v>0.46600000000000003</v>
      </c>
      <c r="X686" s="1" t="s">
        <v>3114</v>
      </c>
      <c r="Y686" s="1">
        <v>0.96</v>
      </c>
      <c r="AA686" s="1">
        <v>1.61</v>
      </c>
      <c r="AB686" s="1">
        <v>9.3800000000000008</v>
      </c>
      <c r="AE686" s="1">
        <v>3.26</v>
      </c>
      <c r="AF686" s="1">
        <v>5.84</v>
      </c>
      <c r="AI686" s="1">
        <v>2</v>
      </c>
      <c r="AJ686" s="1" t="s">
        <v>3115</v>
      </c>
      <c r="AK686" s="1">
        <v>4</v>
      </c>
      <c r="AL686" s="1">
        <v>52.819899999999997</v>
      </c>
      <c r="AM686" s="1" t="s">
        <v>3114</v>
      </c>
      <c r="AP686" s="1" t="s">
        <v>3116</v>
      </c>
      <c r="AQ686" s="1">
        <v>-1.53</v>
      </c>
      <c r="AR686" s="1">
        <v>11.07</v>
      </c>
      <c r="AS686" s="1" t="s">
        <v>3102</v>
      </c>
      <c r="AT686" s="1">
        <v>38.799999999999997</v>
      </c>
    </row>
    <row r="687" spans="1:46">
      <c r="A687" s="1" t="s">
        <v>3117</v>
      </c>
      <c r="C687" s="1" t="s">
        <v>3117</v>
      </c>
      <c r="D687" s="1" t="s">
        <v>3118</v>
      </c>
      <c r="E687" s="1" t="s">
        <v>1394</v>
      </c>
      <c r="F687" s="1" t="s">
        <v>3063</v>
      </c>
      <c r="G687" s="1" t="s">
        <v>456</v>
      </c>
      <c r="H687" s="2" t="s">
        <v>3064</v>
      </c>
      <c r="I687" s="1">
        <v>12</v>
      </c>
      <c r="J687" s="1">
        <v>0.2</v>
      </c>
      <c r="K687" s="1" t="s">
        <v>78</v>
      </c>
      <c r="L687" s="1" t="s">
        <v>78</v>
      </c>
      <c r="M687" s="1">
        <v>39.555</v>
      </c>
      <c r="N687" s="1">
        <v>42.1</v>
      </c>
      <c r="O687" s="1">
        <v>71.490333329999999</v>
      </c>
      <c r="P687" s="1">
        <v>-163.37683329999999</v>
      </c>
      <c r="Q687" s="1">
        <v>0.54069999999999996</v>
      </c>
      <c r="R687" s="1">
        <v>32.134999999999998</v>
      </c>
      <c r="S687" s="1">
        <v>273.02609130000002</v>
      </c>
      <c r="W687" s="3">
        <v>0.61619999999999997</v>
      </c>
      <c r="X687" s="1" t="s">
        <v>153</v>
      </c>
      <c r="Y687" s="1">
        <v>1.857</v>
      </c>
      <c r="Z687" s="1">
        <v>0.73099999999999998</v>
      </c>
      <c r="AA687" s="1">
        <v>1.516</v>
      </c>
      <c r="AB687" s="1">
        <v>24</v>
      </c>
      <c r="AC687" s="1">
        <v>2.1</v>
      </c>
      <c r="AD687" s="1">
        <v>0.08</v>
      </c>
      <c r="AE687" s="1">
        <v>4.6399999999999997</v>
      </c>
      <c r="AF687" s="1">
        <v>2.1800000000000002</v>
      </c>
      <c r="AH687" s="8" t="s">
        <v>3119</v>
      </c>
      <c r="AI687" s="8">
        <v>4</v>
      </c>
      <c r="AJ687" s="8" t="s">
        <v>3120</v>
      </c>
      <c r="AK687" s="8">
        <v>1.9</v>
      </c>
      <c r="AM687" s="1" t="s">
        <v>153</v>
      </c>
      <c r="AT687" s="8" t="s">
        <v>1607</v>
      </c>
    </row>
    <row r="688" spans="1:46">
      <c r="A688" s="1" t="s">
        <v>3121</v>
      </c>
      <c r="C688" s="1" t="s">
        <v>3121</v>
      </c>
      <c r="D688" s="1" t="s">
        <v>3122</v>
      </c>
      <c r="E688" s="1" t="s">
        <v>1466</v>
      </c>
      <c r="F688" s="1" t="s">
        <v>1769</v>
      </c>
      <c r="G688" s="1" t="s">
        <v>456</v>
      </c>
      <c r="H688" s="2" t="s">
        <v>3123</v>
      </c>
      <c r="I688" s="1">
        <v>47</v>
      </c>
      <c r="J688" s="1">
        <v>0.2</v>
      </c>
      <c r="K688" s="1" t="s">
        <v>52</v>
      </c>
      <c r="L688" s="1" t="s">
        <v>52</v>
      </c>
      <c r="M688" s="1">
        <v>4.84</v>
      </c>
      <c r="N688" s="1">
        <v>43</v>
      </c>
      <c r="O688" s="1">
        <v>71.617220000000003</v>
      </c>
      <c r="P688" s="1">
        <v>-163.76548</v>
      </c>
      <c r="Q688" s="1">
        <v>5.1841999999999997</v>
      </c>
      <c r="R688" s="1">
        <v>31.485050000000001</v>
      </c>
      <c r="S688" s="1">
        <v>308.94900000000001</v>
      </c>
      <c r="W688" s="3">
        <v>0.43</v>
      </c>
      <c r="X688" s="1" t="s">
        <v>3124</v>
      </c>
      <c r="Y688" s="1">
        <v>0.44</v>
      </c>
      <c r="AA688" s="1">
        <v>0.54</v>
      </c>
      <c r="AB688" s="1">
        <v>2.85</v>
      </c>
      <c r="AE688" s="1">
        <v>0.44</v>
      </c>
      <c r="AF688" s="1">
        <v>2.06</v>
      </c>
      <c r="AI688" s="1">
        <v>9</v>
      </c>
      <c r="AJ688" s="1" t="s">
        <v>3124</v>
      </c>
      <c r="AL688" s="1">
        <v>94.519599999999997</v>
      </c>
      <c r="AM688" s="1" t="s">
        <v>3124</v>
      </c>
      <c r="AP688" s="1" t="s">
        <v>3125</v>
      </c>
      <c r="AQ688" s="1">
        <v>-1.86</v>
      </c>
      <c r="AR688" s="1">
        <v>15.55</v>
      </c>
      <c r="AS688" s="1" t="s">
        <v>3126</v>
      </c>
      <c r="AT688" s="1">
        <v>5</v>
      </c>
    </row>
    <row r="689" spans="1:46">
      <c r="A689" s="1" t="s">
        <v>3127</v>
      </c>
      <c r="C689" s="1" t="s">
        <v>3127</v>
      </c>
      <c r="D689" s="1" t="s">
        <v>3128</v>
      </c>
      <c r="E689" s="1" t="s">
        <v>1466</v>
      </c>
      <c r="F689" s="1" t="s">
        <v>1769</v>
      </c>
      <c r="G689" s="1" t="s">
        <v>456</v>
      </c>
      <c r="H689" s="2" t="s">
        <v>3129</v>
      </c>
      <c r="I689" s="1">
        <v>47</v>
      </c>
      <c r="J689" s="1">
        <v>0.2</v>
      </c>
      <c r="K689" s="1" t="s">
        <v>1488</v>
      </c>
      <c r="L689" s="1" t="s">
        <v>65</v>
      </c>
      <c r="M689" s="1">
        <v>32.606000000000002</v>
      </c>
      <c r="N689" s="1">
        <v>43</v>
      </c>
      <c r="O689" s="1">
        <v>71.616969999999995</v>
      </c>
      <c r="P689" s="1">
        <v>-163.7662</v>
      </c>
      <c r="Q689" s="1">
        <v>0.15515000000000001</v>
      </c>
      <c r="R689" s="1">
        <v>32.263599999999997</v>
      </c>
      <c r="S689" s="1">
        <v>320.24149999999997</v>
      </c>
      <c r="W689" s="3">
        <v>3.137</v>
      </c>
      <c r="X689" s="1" t="s">
        <v>3130</v>
      </c>
      <c r="Y689" s="1">
        <v>7.88</v>
      </c>
      <c r="AA689" s="1">
        <v>1.21</v>
      </c>
      <c r="AB689" s="1">
        <v>4.2699999999999996</v>
      </c>
      <c r="AE689" s="1">
        <v>1.34</v>
      </c>
      <c r="AF689" s="1">
        <v>3.28</v>
      </c>
      <c r="AI689" s="1">
        <v>3</v>
      </c>
      <c r="AJ689" s="1" t="s">
        <v>3130</v>
      </c>
      <c r="AL689" s="1">
        <v>76.453999999999994</v>
      </c>
      <c r="AM689" s="1" t="s">
        <v>3130</v>
      </c>
      <c r="AP689" s="1" t="s">
        <v>3131</v>
      </c>
      <c r="AR689" s="1">
        <v>15.55</v>
      </c>
      <c r="AS689" s="1" t="s">
        <v>3132</v>
      </c>
      <c r="AT689" s="1">
        <v>31</v>
      </c>
    </row>
    <row r="690" spans="1:46">
      <c r="A690" s="1" t="s">
        <v>3133</v>
      </c>
      <c r="C690" s="1" t="s">
        <v>3133</v>
      </c>
      <c r="D690" s="1" t="s">
        <v>3134</v>
      </c>
      <c r="E690" s="1" t="s">
        <v>1394</v>
      </c>
      <c r="F690" s="1" t="s">
        <v>1769</v>
      </c>
      <c r="G690" s="1" t="s">
        <v>456</v>
      </c>
      <c r="I690" s="1">
        <v>10</v>
      </c>
      <c r="J690" s="1">
        <v>0.2</v>
      </c>
      <c r="K690" s="1" t="s">
        <v>78</v>
      </c>
      <c r="L690" s="1" t="s">
        <v>78</v>
      </c>
      <c r="O690" s="1">
        <v>71.619833330000006</v>
      </c>
      <c r="P690" s="1">
        <v>-163.76233329999999</v>
      </c>
      <c r="AH690" s="7" t="s">
        <v>3134</v>
      </c>
      <c r="AI690" s="8" t="s">
        <v>2866</v>
      </c>
      <c r="AJ690" s="8" t="s">
        <v>2867</v>
      </c>
      <c r="AK690" s="8"/>
      <c r="AM690" s="1" t="s">
        <v>3135</v>
      </c>
      <c r="AT690" s="8" t="s">
        <v>1607</v>
      </c>
    </row>
    <row r="691" spans="1:46">
      <c r="A691" s="1" t="s">
        <v>3136</v>
      </c>
      <c r="C691" s="1" t="s">
        <v>3136</v>
      </c>
      <c r="D691" s="1" t="s">
        <v>3137</v>
      </c>
      <c r="E691" s="1" t="s">
        <v>1394</v>
      </c>
      <c r="F691" s="1" t="s">
        <v>1769</v>
      </c>
      <c r="G691" s="1" t="s">
        <v>456</v>
      </c>
      <c r="I691" s="1">
        <v>10</v>
      </c>
      <c r="J691" s="1">
        <v>0.2</v>
      </c>
      <c r="K691" s="1" t="s">
        <v>78</v>
      </c>
      <c r="L691" s="1" t="s">
        <v>78</v>
      </c>
      <c r="O691" s="1">
        <v>71.619833330000006</v>
      </c>
      <c r="P691" s="1">
        <v>-163.76233329999999</v>
      </c>
      <c r="AH691" s="7" t="s">
        <v>3137</v>
      </c>
      <c r="AI691" s="8" t="s">
        <v>2866</v>
      </c>
      <c r="AJ691" s="8" t="s">
        <v>2867</v>
      </c>
      <c r="AK691" s="8"/>
      <c r="AM691" s="1" t="s">
        <v>3135</v>
      </c>
      <c r="AT691" s="8" t="s">
        <v>1607</v>
      </c>
    </row>
    <row r="692" spans="1:46">
      <c r="A692" s="1" t="s">
        <v>3138</v>
      </c>
      <c r="C692" s="1" t="s">
        <v>3138</v>
      </c>
      <c r="D692" s="1" t="s">
        <v>3139</v>
      </c>
      <c r="E692" s="1" t="s">
        <v>1394</v>
      </c>
      <c r="F692" s="1" t="s">
        <v>3140</v>
      </c>
      <c r="G692" s="1" t="s">
        <v>456</v>
      </c>
      <c r="H692" s="2" t="s">
        <v>3141</v>
      </c>
      <c r="I692" s="1">
        <v>30</v>
      </c>
      <c r="J692" s="1">
        <v>0.2</v>
      </c>
      <c r="K692" s="1">
        <v>5</v>
      </c>
      <c r="L692" s="1" t="s">
        <v>52</v>
      </c>
      <c r="M692" s="1">
        <v>2.1389999999999998</v>
      </c>
      <c r="N692" s="1">
        <v>45.9</v>
      </c>
      <c r="O692" s="1">
        <v>71.248166670000003</v>
      </c>
      <c r="P692" s="1">
        <v>-157.1468333</v>
      </c>
      <c r="Q692" s="1">
        <v>3.2101000000000002</v>
      </c>
      <c r="R692" s="1">
        <v>30.533650000000002</v>
      </c>
      <c r="S692" s="1">
        <v>320.33995470000002</v>
      </c>
      <c r="W692" s="3">
        <v>0.53580000000000005</v>
      </c>
      <c r="X692" s="1" t="s">
        <v>3142</v>
      </c>
      <c r="Y692" s="1">
        <v>0.72799999999999998</v>
      </c>
      <c r="Z692" s="1">
        <v>0.44500000000000001</v>
      </c>
      <c r="AA692" s="1">
        <v>0.91600000000000004</v>
      </c>
      <c r="AB692" s="1">
        <v>9.1999999999999993</v>
      </c>
      <c r="AC692" s="1">
        <v>2.9</v>
      </c>
      <c r="AD692" s="1">
        <v>0.08</v>
      </c>
      <c r="AE692" s="1">
        <v>0.63</v>
      </c>
      <c r="AF692" s="1">
        <v>2.98</v>
      </c>
      <c r="AH692" s="8" t="s">
        <v>3143</v>
      </c>
      <c r="AI692" s="8">
        <v>14</v>
      </c>
      <c r="AJ692" s="8" t="s">
        <v>3144</v>
      </c>
      <c r="AK692" s="8">
        <v>3</v>
      </c>
      <c r="AM692" s="1" t="s">
        <v>3142</v>
      </c>
      <c r="AT692" s="8" t="s">
        <v>1607</v>
      </c>
    </row>
    <row r="693" spans="1:46">
      <c r="A693" s="1" t="s">
        <v>3145</v>
      </c>
      <c r="C693" s="1" t="s">
        <v>3145</v>
      </c>
      <c r="D693" s="1" t="s">
        <v>3146</v>
      </c>
      <c r="E693" s="1" t="s">
        <v>1394</v>
      </c>
      <c r="F693" s="1" t="s">
        <v>3140</v>
      </c>
      <c r="G693" s="1" t="s">
        <v>456</v>
      </c>
      <c r="H693" s="2" t="s">
        <v>3141</v>
      </c>
      <c r="I693" s="1">
        <v>30</v>
      </c>
      <c r="J693" s="1">
        <v>0.2</v>
      </c>
      <c r="K693" s="1">
        <v>10</v>
      </c>
      <c r="L693" s="1" t="s">
        <v>65</v>
      </c>
      <c r="M693" s="1">
        <v>10.308</v>
      </c>
      <c r="N693" s="1">
        <v>45.9</v>
      </c>
      <c r="O693" s="1">
        <v>71.248166670000003</v>
      </c>
      <c r="P693" s="1">
        <v>-157.1468333</v>
      </c>
      <c r="Q693" s="1">
        <v>0.24725</v>
      </c>
      <c r="R693" s="1">
        <v>34.298749999999998</v>
      </c>
      <c r="S693" s="1">
        <v>272.9769642</v>
      </c>
      <c r="W693" s="3">
        <v>0.2384</v>
      </c>
      <c r="X693" s="1" t="s">
        <v>3147</v>
      </c>
      <c r="Y693" s="1">
        <v>0.19</v>
      </c>
      <c r="Z693" s="1">
        <v>0.28699999999999998</v>
      </c>
      <c r="AA693" s="1">
        <v>1.2509999999999999</v>
      </c>
      <c r="AB693" s="1">
        <v>18</v>
      </c>
      <c r="AC693" s="1">
        <v>13</v>
      </c>
      <c r="AD693" s="1">
        <v>0.13</v>
      </c>
      <c r="AE693" s="1">
        <v>0.26</v>
      </c>
      <c r="AF693" s="1">
        <v>13.13</v>
      </c>
      <c r="AH693" s="8" t="s">
        <v>3148</v>
      </c>
      <c r="AI693" s="8">
        <v>12</v>
      </c>
      <c r="AJ693" s="8" t="s">
        <v>3149</v>
      </c>
      <c r="AK693" s="8">
        <v>3</v>
      </c>
      <c r="AM693" s="1" t="s">
        <v>3147</v>
      </c>
      <c r="AT693" s="8" t="s">
        <v>1607</v>
      </c>
    </row>
    <row r="694" spans="1:46">
      <c r="A694" s="1" t="s">
        <v>3150</v>
      </c>
      <c r="C694" s="1" t="s">
        <v>3150</v>
      </c>
      <c r="D694" s="1" t="s">
        <v>3151</v>
      </c>
      <c r="E694" s="1" t="s">
        <v>1394</v>
      </c>
      <c r="F694" s="1" t="s">
        <v>3140</v>
      </c>
      <c r="G694" s="1" t="s">
        <v>456</v>
      </c>
      <c r="H694" s="2" t="s">
        <v>3141</v>
      </c>
      <c r="I694" s="1">
        <v>30</v>
      </c>
      <c r="J694" s="1">
        <v>0.2</v>
      </c>
      <c r="K694" s="1">
        <v>20</v>
      </c>
      <c r="L694" s="1" t="s">
        <v>65</v>
      </c>
      <c r="M694" s="1">
        <v>20.05</v>
      </c>
      <c r="N694" s="1">
        <v>45.9</v>
      </c>
      <c r="O694" s="1">
        <v>71.248166670000003</v>
      </c>
      <c r="P694" s="1">
        <v>-157.1468333</v>
      </c>
      <c r="Q694" s="1">
        <v>3.32E-2</v>
      </c>
      <c r="R694" s="1">
        <v>34.43535</v>
      </c>
      <c r="S694" s="1">
        <v>270.77071080000002</v>
      </c>
      <c r="W694" s="3">
        <v>0.27010000000000001</v>
      </c>
      <c r="X694" s="1" t="s">
        <v>3152</v>
      </c>
      <c r="Y694" s="1">
        <v>0.27</v>
      </c>
      <c r="Z694" s="1">
        <v>0.46</v>
      </c>
      <c r="AA694" s="1">
        <v>1.2689999999999999</v>
      </c>
      <c r="AB694" s="1">
        <v>18.7</v>
      </c>
      <c r="AC694" s="1">
        <v>13.6</v>
      </c>
      <c r="AD694" s="1">
        <v>0.13</v>
      </c>
      <c r="AE694" s="1">
        <v>0.24</v>
      </c>
      <c r="AF694" s="1">
        <v>13.73</v>
      </c>
      <c r="AH694" s="8" t="s">
        <v>3153</v>
      </c>
      <c r="AI694" s="8">
        <v>10</v>
      </c>
      <c r="AJ694" s="8" t="s">
        <v>3154</v>
      </c>
      <c r="AK694" s="8">
        <v>3</v>
      </c>
      <c r="AM694" s="1" t="s">
        <v>3152</v>
      </c>
      <c r="AT694" s="8" t="s">
        <v>1607</v>
      </c>
    </row>
    <row r="695" spans="1:46">
      <c r="A695" s="1" t="s">
        <v>3155</v>
      </c>
      <c r="C695" s="1" t="s">
        <v>3155</v>
      </c>
      <c r="D695" s="1" t="s">
        <v>3156</v>
      </c>
      <c r="E695" s="1" t="s">
        <v>1394</v>
      </c>
      <c r="F695" s="1" t="s">
        <v>3140</v>
      </c>
      <c r="G695" s="1" t="s">
        <v>456</v>
      </c>
      <c r="H695" s="2" t="s">
        <v>3141</v>
      </c>
      <c r="I695" s="1">
        <v>30</v>
      </c>
      <c r="J695" s="1">
        <v>0.2</v>
      </c>
      <c r="K695" s="1">
        <v>44</v>
      </c>
      <c r="L695" s="1" t="s">
        <v>78</v>
      </c>
      <c r="M695" s="1">
        <v>43.822000000000003</v>
      </c>
      <c r="N695" s="1">
        <v>45.9</v>
      </c>
      <c r="O695" s="1">
        <v>71.248166670000003</v>
      </c>
      <c r="P695" s="1">
        <v>-157.1468333</v>
      </c>
      <c r="Q695" s="1">
        <v>3.4000000000000002E-2</v>
      </c>
      <c r="R695" s="1">
        <v>34.436750000000004</v>
      </c>
      <c r="S695" s="1">
        <v>270.53400749999997</v>
      </c>
      <c r="W695" s="3">
        <v>0.3019</v>
      </c>
      <c r="X695" s="1" t="s">
        <v>3157</v>
      </c>
      <c r="Y695" s="1">
        <v>0.34200000000000003</v>
      </c>
      <c r="Z695" s="1">
        <v>0.6</v>
      </c>
      <c r="AA695" s="1">
        <v>1.2769999999999999</v>
      </c>
      <c r="AB695" s="1">
        <v>18.7</v>
      </c>
      <c r="AC695" s="1">
        <v>13.6</v>
      </c>
      <c r="AD695" s="1">
        <v>0.13</v>
      </c>
      <c r="AE695" s="1">
        <v>0.24</v>
      </c>
      <c r="AF695" s="1">
        <v>13.73</v>
      </c>
      <c r="AH695" s="8" t="s">
        <v>3158</v>
      </c>
      <c r="AI695" s="8">
        <v>4</v>
      </c>
      <c r="AJ695" s="8" t="s">
        <v>3159</v>
      </c>
      <c r="AK695" s="8">
        <v>3</v>
      </c>
      <c r="AM695" s="1" t="s">
        <v>3157</v>
      </c>
      <c r="AT695" s="8" t="s">
        <v>1607</v>
      </c>
    </row>
    <row r="696" spans="1:46">
      <c r="A696" s="1" t="s">
        <v>3160</v>
      </c>
      <c r="C696" s="1" t="s">
        <v>3160</v>
      </c>
      <c r="D696" s="1" t="s">
        <v>3161</v>
      </c>
      <c r="E696" s="1" t="s">
        <v>1394</v>
      </c>
      <c r="F696" s="1" t="s">
        <v>3162</v>
      </c>
      <c r="G696" s="1" t="s">
        <v>456</v>
      </c>
      <c r="H696" s="2" t="s">
        <v>3163</v>
      </c>
      <c r="I696" s="1">
        <v>21</v>
      </c>
      <c r="J696" s="1">
        <v>0.2</v>
      </c>
      <c r="K696" s="1">
        <v>7</v>
      </c>
      <c r="L696" s="1" t="s">
        <v>65</v>
      </c>
      <c r="M696" s="1">
        <v>8.0960000000000001</v>
      </c>
      <c r="N696" s="1">
        <v>62.7</v>
      </c>
      <c r="O696" s="1">
        <v>71.622500000000002</v>
      </c>
      <c r="P696" s="1">
        <v>-157.90466670000001</v>
      </c>
      <c r="Q696" s="1">
        <v>4.7551500000000004</v>
      </c>
      <c r="R696" s="1">
        <v>28.516349999999999</v>
      </c>
      <c r="S696" s="1">
        <v>338.8340748</v>
      </c>
      <c r="W696" s="3">
        <v>0.52480000000000004</v>
      </c>
      <c r="X696" s="1" t="s">
        <v>3164</v>
      </c>
      <c r="Y696" s="1">
        <v>0.95399999999999996</v>
      </c>
      <c r="Z696" s="1">
        <v>0.41199999999999998</v>
      </c>
      <c r="AA696" s="1">
        <v>0.48099999999999998</v>
      </c>
      <c r="AB696" s="1">
        <v>4.5999999999999996</v>
      </c>
      <c r="AC696" s="1">
        <v>0</v>
      </c>
      <c r="AD696" s="1">
        <v>0.01</v>
      </c>
      <c r="AE696" s="1">
        <v>0.27</v>
      </c>
      <c r="AF696" s="1">
        <v>0.01</v>
      </c>
      <c r="AH696" s="8" t="s">
        <v>3165</v>
      </c>
      <c r="AI696" s="8">
        <v>18</v>
      </c>
      <c r="AJ696" s="8" t="s">
        <v>3166</v>
      </c>
      <c r="AK696" s="8">
        <v>3</v>
      </c>
      <c r="AM696" s="1" t="s">
        <v>3164</v>
      </c>
      <c r="AT696" s="8" t="s">
        <v>1607</v>
      </c>
    </row>
    <row r="697" spans="1:46">
      <c r="A697" s="1" t="s">
        <v>3167</v>
      </c>
      <c r="C697" s="1" t="s">
        <v>3167</v>
      </c>
      <c r="D697" s="1" t="s">
        <v>3168</v>
      </c>
      <c r="E697" s="1" t="s">
        <v>1394</v>
      </c>
      <c r="F697" s="1" t="s">
        <v>3162</v>
      </c>
      <c r="G697" s="1" t="s">
        <v>456</v>
      </c>
      <c r="H697" s="2" t="s">
        <v>3163</v>
      </c>
      <c r="I697" s="1">
        <v>21</v>
      </c>
      <c r="J697" s="1">
        <v>0.2</v>
      </c>
      <c r="K697" s="1">
        <v>24</v>
      </c>
      <c r="L697" s="1" t="s">
        <v>65</v>
      </c>
      <c r="M697" s="1">
        <v>24.178999999999998</v>
      </c>
      <c r="N697" s="1">
        <v>62.7</v>
      </c>
      <c r="O697" s="1">
        <v>71.622500000000002</v>
      </c>
      <c r="P697" s="1">
        <v>-157.90466670000001</v>
      </c>
      <c r="Q697" s="1">
        <v>2.2532999999999999</v>
      </c>
      <c r="R697" s="1">
        <v>30.87255</v>
      </c>
      <c r="S697" s="1">
        <v>383.93275260000001</v>
      </c>
      <c r="W697" s="3">
        <v>0.3493</v>
      </c>
      <c r="X697" s="1" t="s">
        <v>3169</v>
      </c>
      <c r="Y697" s="1">
        <v>0.47799999999999998</v>
      </c>
      <c r="Z697" s="1">
        <v>0.23599999999999999</v>
      </c>
      <c r="AA697" s="1">
        <v>0.60899999999999999</v>
      </c>
      <c r="AB697" s="1">
        <v>4.0999999999999996</v>
      </c>
      <c r="AC697" s="1">
        <v>0</v>
      </c>
      <c r="AD697" s="1">
        <v>0</v>
      </c>
      <c r="AE697" s="1">
        <v>0.22</v>
      </c>
      <c r="AF697" s="1">
        <v>0</v>
      </c>
      <c r="AH697" s="8" t="s">
        <v>3170</v>
      </c>
      <c r="AI697" s="8">
        <v>12</v>
      </c>
      <c r="AJ697" s="8" t="s">
        <v>3171</v>
      </c>
      <c r="AK697" s="8">
        <v>4.5</v>
      </c>
      <c r="AM697" s="1" t="s">
        <v>3169</v>
      </c>
      <c r="AT697" s="8" t="s">
        <v>1607</v>
      </c>
    </row>
    <row r="698" spans="1:46">
      <c r="A698" s="1" t="s">
        <v>3172</v>
      </c>
      <c r="C698" s="1" t="s">
        <v>3172</v>
      </c>
      <c r="D698" s="1" t="s">
        <v>3173</v>
      </c>
      <c r="E698" s="1" t="s">
        <v>1394</v>
      </c>
      <c r="F698" s="1" t="s">
        <v>3162</v>
      </c>
      <c r="G698" s="1" t="s">
        <v>456</v>
      </c>
      <c r="H698" s="2" t="s">
        <v>3163</v>
      </c>
      <c r="I698" s="1">
        <v>21</v>
      </c>
      <c r="J698" s="1">
        <v>0.2</v>
      </c>
      <c r="K698" s="1">
        <v>40</v>
      </c>
      <c r="L698" s="1" t="s">
        <v>65</v>
      </c>
      <c r="M698" s="1">
        <v>40.369999999999997</v>
      </c>
      <c r="N698" s="1">
        <v>62.7</v>
      </c>
      <c r="O698" s="1">
        <v>71.622500000000002</v>
      </c>
      <c r="P698" s="1">
        <v>-157.90466670000001</v>
      </c>
      <c r="Q698" s="1">
        <v>1.3133999999999999</v>
      </c>
      <c r="R698" s="1">
        <v>31.730699999999999</v>
      </c>
      <c r="S698" s="1">
        <v>366.2782593</v>
      </c>
      <c r="W698" s="3">
        <v>0.23649999999999999</v>
      </c>
      <c r="X698" s="1" t="s">
        <v>2190</v>
      </c>
      <c r="Y698" s="1">
        <v>0.13300000000000001</v>
      </c>
      <c r="Z698" s="1">
        <v>0.11700000000000001</v>
      </c>
      <c r="AA698" s="1">
        <v>0.85899999999999999</v>
      </c>
      <c r="AB698" s="1">
        <v>3.2</v>
      </c>
      <c r="AC698" s="1">
        <v>0.9</v>
      </c>
      <c r="AD698" s="1">
        <v>0.12</v>
      </c>
      <c r="AE698" s="1">
        <v>0.76</v>
      </c>
      <c r="AF698" s="1">
        <v>1.02</v>
      </c>
      <c r="AH698" s="8" t="s">
        <v>3174</v>
      </c>
      <c r="AI698" s="8">
        <v>8</v>
      </c>
      <c r="AJ698" s="8" t="s">
        <v>3175</v>
      </c>
      <c r="AK698" s="8">
        <v>4.2</v>
      </c>
      <c r="AM698" s="1" t="s">
        <v>2190</v>
      </c>
      <c r="AT698" s="8" t="s">
        <v>1607</v>
      </c>
    </row>
    <row r="699" spans="1:46">
      <c r="A699" s="1" t="s">
        <v>3176</v>
      </c>
      <c r="C699" s="1" t="s">
        <v>3176</v>
      </c>
      <c r="D699" s="1" t="s">
        <v>3177</v>
      </c>
      <c r="E699" s="1" t="s">
        <v>1394</v>
      </c>
      <c r="F699" s="1" t="s">
        <v>3162</v>
      </c>
      <c r="G699" s="1" t="s">
        <v>456</v>
      </c>
      <c r="H699" s="2" t="s">
        <v>3163</v>
      </c>
      <c r="I699" s="1">
        <v>21</v>
      </c>
      <c r="J699" s="1">
        <v>0.2</v>
      </c>
      <c r="K699" s="1">
        <v>59</v>
      </c>
      <c r="L699" s="1" t="s">
        <v>78</v>
      </c>
      <c r="M699" s="1">
        <v>59.511000000000003</v>
      </c>
      <c r="N699" s="1">
        <v>62.7</v>
      </c>
      <c r="O699" s="1">
        <v>71.622500000000002</v>
      </c>
      <c r="P699" s="1">
        <v>-157.90466670000001</v>
      </c>
      <c r="Q699" s="1">
        <v>-0.60214999999999996</v>
      </c>
      <c r="R699" s="1">
        <v>31.989450000000001</v>
      </c>
      <c r="S699" s="1">
        <v>279.98427509999999</v>
      </c>
      <c r="W699" s="3">
        <v>0.25540000000000002</v>
      </c>
      <c r="X699" s="1" t="s">
        <v>2209</v>
      </c>
      <c r="Y699" s="1">
        <v>0.17299999999999999</v>
      </c>
      <c r="Z699" s="1">
        <v>0.29299999999999998</v>
      </c>
      <c r="AA699" s="1">
        <v>1.661</v>
      </c>
      <c r="AB699" s="1">
        <v>22.3</v>
      </c>
      <c r="AC699" s="1">
        <v>6</v>
      </c>
      <c r="AD699" s="1">
        <v>0.2</v>
      </c>
      <c r="AE699" s="1">
        <v>3.15</v>
      </c>
      <c r="AF699" s="1">
        <v>6.2</v>
      </c>
      <c r="AH699" s="8" t="s">
        <v>3178</v>
      </c>
      <c r="AI699" s="8">
        <v>4</v>
      </c>
      <c r="AJ699" s="8" t="s">
        <v>3179</v>
      </c>
      <c r="AK699" s="8">
        <v>4.0999999999999996</v>
      </c>
      <c r="AM699" s="1" t="s">
        <v>2209</v>
      </c>
      <c r="AT699" s="8" t="s">
        <v>1607</v>
      </c>
    </row>
    <row r="700" spans="1:46">
      <c r="A700" s="1" t="s">
        <v>3180</v>
      </c>
      <c r="C700" s="1" t="s">
        <v>3180</v>
      </c>
      <c r="D700" s="1" t="s">
        <v>3181</v>
      </c>
      <c r="E700" s="1" t="s">
        <v>1394</v>
      </c>
      <c r="F700" s="1" t="s">
        <v>3182</v>
      </c>
      <c r="G700" s="1" t="s">
        <v>456</v>
      </c>
      <c r="H700" s="2" t="s">
        <v>3183</v>
      </c>
      <c r="I700" s="1">
        <v>28</v>
      </c>
      <c r="J700" s="1">
        <v>0.2</v>
      </c>
      <c r="K700" s="1">
        <v>5</v>
      </c>
      <c r="L700" s="1" t="s">
        <v>52</v>
      </c>
      <c r="M700" s="1">
        <v>2.9079999999999999</v>
      </c>
      <c r="N700" s="1">
        <v>88.4</v>
      </c>
      <c r="O700" s="1">
        <v>71.326666669999994</v>
      </c>
      <c r="P700" s="1">
        <v>-157.31450000000001</v>
      </c>
      <c r="Q700" s="1">
        <v>5.1624499999999998</v>
      </c>
      <c r="R700" s="1">
        <v>29.96565</v>
      </c>
      <c r="S700" s="1">
        <v>329.87507820000002</v>
      </c>
      <c r="W700" s="3">
        <v>0.48330000000000001</v>
      </c>
      <c r="AH700" s="8" t="s">
        <v>3184</v>
      </c>
      <c r="AI700" s="8">
        <v>20</v>
      </c>
      <c r="AJ700" s="8" t="s">
        <v>3185</v>
      </c>
      <c r="AK700" s="8">
        <v>3</v>
      </c>
      <c r="AM700" s="1" t="s">
        <v>3186</v>
      </c>
      <c r="AT700" s="8" t="s">
        <v>1607</v>
      </c>
    </row>
    <row r="701" spans="1:46">
      <c r="A701" s="1" t="s">
        <v>3187</v>
      </c>
      <c r="C701" s="1" t="s">
        <v>3187</v>
      </c>
      <c r="D701" s="1" t="s">
        <v>3188</v>
      </c>
      <c r="E701" s="1" t="s">
        <v>1394</v>
      </c>
      <c r="F701" s="1" t="s">
        <v>3182</v>
      </c>
      <c r="G701" s="1" t="s">
        <v>456</v>
      </c>
      <c r="H701" s="2" t="s">
        <v>3183</v>
      </c>
      <c r="I701" s="1">
        <v>28</v>
      </c>
      <c r="J701" s="1">
        <v>0.2</v>
      </c>
      <c r="K701" s="1">
        <v>10</v>
      </c>
      <c r="L701" s="1" t="s">
        <v>65</v>
      </c>
      <c r="M701" s="1">
        <v>10.327</v>
      </c>
      <c r="N701" s="1">
        <v>88.4</v>
      </c>
      <c r="O701" s="1">
        <v>71.326666669999994</v>
      </c>
      <c r="P701" s="1">
        <v>-157.31450000000001</v>
      </c>
      <c r="Q701" s="1">
        <v>5.8531000000000004</v>
      </c>
      <c r="R701" s="1">
        <v>30.448650000000001</v>
      </c>
      <c r="S701" s="1">
        <v>322.2693099</v>
      </c>
      <c r="W701" s="3">
        <v>0.5696</v>
      </c>
      <c r="X701" s="1" t="s">
        <v>3189</v>
      </c>
      <c r="Y701" s="1">
        <v>0.81899999999999995</v>
      </c>
      <c r="Z701" s="1">
        <v>0.39400000000000002</v>
      </c>
      <c r="AA701" s="1">
        <v>0.66100000000000003</v>
      </c>
      <c r="AB701" s="1">
        <v>5.7</v>
      </c>
      <c r="AC701" s="1">
        <v>0.2</v>
      </c>
      <c r="AD701" s="1">
        <v>0.03</v>
      </c>
      <c r="AE701" s="1">
        <v>0.45</v>
      </c>
      <c r="AF701" s="1">
        <v>0.23</v>
      </c>
      <c r="AH701" s="8" t="s">
        <v>3190</v>
      </c>
      <c r="AI701" s="8">
        <v>18</v>
      </c>
      <c r="AJ701" s="8" t="s">
        <v>3191</v>
      </c>
      <c r="AK701" s="8">
        <v>3</v>
      </c>
      <c r="AM701" s="1" t="s">
        <v>3189</v>
      </c>
      <c r="AT701" s="8" t="s">
        <v>1607</v>
      </c>
    </row>
    <row r="702" spans="1:46">
      <c r="A702" s="1" t="s">
        <v>3192</v>
      </c>
      <c r="C702" s="1" t="s">
        <v>3192</v>
      </c>
      <c r="D702" s="1" t="s">
        <v>3193</v>
      </c>
      <c r="E702" s="1" t="s">
        <v>1394</v>
      </c>
      <c r="F702" s="1" t="s">
        <v>3182</v>
      </c>
      <c r="G702" s="1" t="s">
        <v>456</v>
      </c>
      <c r="H702" s="2" t="s">
        <v>3183</v>
      </c>
      <c r="I702" s="1">
        <v>28</v>
      </c>
      <c r="J702" s="1">
        <v>0.2</v>
      </c>
      <c r="K702" s="1">
        <v>20</v>
      </c>
      <c r="L702" s="1" t="s">
        <v>65</v>
      </c>
      <c r="M702" s="1">
        <v>20.398</v>
      </c>
      <c r="N702" s="1">
        <v>88.4</v>
      </c>
      <c r="O702" s="1">
        <v>71.326666669999994</v>
      </c>
      <c r="P702" s="1">
        <v>-157.31450000000001</v>
      </c>
      <c r="Q702" s="1">
        <v>3.5270000000000001</v>
      </c>
      <c r="R702" s="1">
        <v>31.761099999999999</v>
      </c>
      <c r="S702" s="1">
        <v>321.67531860000003</v>
      </c>
      <c r="W702" s="3">
        <v>0.23319999999999999</v>
      </c>
      <c r="X702" s="1" t="s">
        <v>3194</v>
      </c>
      <c r="Y702" s="1">
        <v>7.8E-2</v>
      </c>
      <c r="Z702" s="1">
        <v>0.21299999999999999</v>
      </c>
      <c r="AA702" s="1">
        <v>0.98099999999999998</v>
      </c>
      <c r="AB702" s="1">
        <v>7.9</v>
      </c>
      <c r="AC702" s="1">
        <v>2</v>
      </c>
      <c r="AD702" s="1">
        <v>0.12</v>
      </c>
      <c r="AE702" s="1">
        <v>0.97</v>
      </c>
      <c r="AF702" s="1">
        <v>2.12</v>
      </c>
      <c r="AH702" s="8" t="s">
        <v>3195</v>
      </c>
      <c r="AI702" s="8">
        <v>16</v>
      </c>
      <c r="AJ702" s="8" t="s">
        <v>3196</v>
      </c>
      <c r="AK702" s="8">
        <v>3</v>
      </c>
      <c r="AM702" s="1" t="s">
        <v>3194</v>
      </c>
      <c r="AT702" s="8" t="s">
        <v>1607</v>
      </c>
    </row>
    <row r="703" spans="1:46">
      <c r="A703" s="1" t="s">
        <v>3197</v>
      </c>
      <c r="C703" s="1" t="s">
        <v>3197</v>
      </c>
      <c r="D703" s="1" t="s">
        <v>3198</v>
      </c>
      <c r="E703" s="1" t="s">
        <v>1394</v>
      </c>
      <c r="F703" s="1" t="s">
        <v>3182</v>
      </c>
      <c r="G703" s="1" t="s">
        <v>456</v>
      </c>
      <c r="H703" s="2" t="s">
        <v>3183</v>
      </c>
      <c r="I703" s="1">
        <v>28</v>
      </c>
      <c r="J703" s="1">
        <v>0.2</v>
      </c>
      <c r="K703" s="1">
        <v>30</v>
      </c>
      <c r="L703" s="1" t="s">
        <v>65</v>
      </c>
      <c r="M703" s="1">
        <v>30.605</v>
      </c>
      <c r="N703" s="1">
        <v>88.4</v>
      </c>
      <c r="O703" s="1">
        <v>71.326666669999994</v>
      </c>
      <c r="P703" s="1">
        <v>-157.31450000000001</v>
      </c>
      <c r="Q703" s="1">
        <v>0.10954999999999999</v>
      </c>
      <c r="R703" s="1">
        <v>32.0002</v>
      </c>
      <c r="S703" s="1">
        <v>332.7423144</v>
      </c>
      <c r="W703" s="3">
        <v>0.21540000000000001</v>
      </c>
      <c r="X703" s="1" t="s">
        <v>3199</v>
      </c>
      <c r="Y703" s="1">
        <v>0.06</v>
      </c>
      <c r="Z703" s="1">
        <v>4.1000000000000002E-2</v>
      </c>
      <c r="AA703" s="1">
        <v>1.3380000000000001</v>
      </c>
      <c r="AB703" s="1">
        <v>13</v>
      </c>
      <c r="AC703" s="1">
        <v>5.7</v>
      </c>
      <c r="AD703" s="1">
        <v>0.13</v>
      </c>
      <c r="AE703" s="1">
        <v>1.02</v>
      </c>
      <c r="AF703" s="1">
        <v>5.83</v>
      </c>
      <c r="AH703" s="8" t="s">
        <v>3200</v>
      </c>
      <c r="AI703" s="8">
        <v>14</v>
      </c>
      <c r="AJ703" s="8" t="s">
        <v>3201</v>
      </c>
      <c r="AK703" s="8">
        <v>3</v>
      </c>
      <c r="AM703" s="1" t="s">
        <v>3199</v>
      </c>
      <c r="AT703" s="8" t="s">
        <v>1607</v>
      </c>
    </row>
    <row r="704" spans="1:46">
      <c r="A704" s="1" t="s">
        <v>3202</v>
      </c>
      <c r="C704" s="1" t="s">
        <v>3202</v>
      </c>
      <c r="D704" s="1" t="s">
        <v>3203</v>
      </c>
      <c r="E704" s="1" t="s">
        <v>1394</v>
      </c>
      <c r="F704" s="1" t="s">
        <v>3182</v>
      </c>
      <c r="G704" s="1" t="s">
        <v>456</v>
      </c>
      <c r="H704" s="2" t="s">
        <v>3183</v>
      </c>
      <c r="I704" s="1">
        <v>28</v>
      </c>
      <c r="J704" s="1">
        <v>0.2</v>
      </c>
      <c r="K704" s="1">
        <v>40</v>
      </c>
      <c r="L704" s="1" t="s">
        <v>65</v>
      </c>
      <c r="M704" s="1">
        <v>40.817</v>
      </c>
      <c r="N704" s="1">
        <v>88.4</v>
      </c>
      <c r="O704" s="1">
        <v>71.326666669999994</v>
      </c>
      <c r="P704" s="1">
        <v>-157.31450000000001</v>
      </c>
      <c r="Q704" s="1">
        <v>0.34889999999999999</v>
      </c>
      <c r="R704" s="1">
        <v>32.348950000000002</v>
      </c>
      <c r="S704" s="1">
        <v>297.70129379999997</v>
      </c>
      <c r="W704" s="3">
        <v>0.19439999999999999</v>
      </c>
      <c r="X704" s="1" t="s">
        <v>3204</v>
      </c>
      <c r="Y704" s="1">
        <v>5.0999999999999997E-2</v>
      </c>
      <c r="Z704" s="1">
        <v>9.1999999999999998E-2</v>
      </c>
      <c r="AA704" s="1">
        <v>1.53</v>
      </c>
      <c r="AB704" s="1">
        <v>16.8</v>
      </c>
      <c r="AC704" s="1">
        <v>6.1</v>
      </c>
      <c r="AD704" s="1">
        <v>0.18</v>
      </c>
      <c r="AE704" s="1">
        <v>2.69</v>
      </c>
      <c r="AF704" s="1">
        <v>6.28</v>
      </c>
      <c r="AH704" s="8" t="s">
        <v>3205</v>
      </c>
      <c r="AI704" s="8">
        <v>12</v>
      </c>
      <c r="AJ704" s="8" t="s">
        <v>3206</v>
      </c>
      <c r="AK704" s="8">
        <v>3</v>
      </c>
      <c r="AM704" s="1" t="s">
        <v>3204</v>
      </c>
      <c r="AT704" s="8" t="s">
        <v>1607</v>
      </c>
    </row>
    <row r="705" spans="1:46">
      <c r="A705" s="1" t="s">
        <v>3207</v>
      </c>
      <c r="C705" s="1" t="s">
        <v>3207</v>
      </c>
      <c r="D705" s="1" t="s">
        <v>3208</v>
      </c>
      <c r="E705" s="1" t="s">
        <v>1394</v>
      </c>
      <c r="F705" s="1" t="s">
        <v>3182</v>
      </c>
      <c r="G705" s="1" t="s">
        <v>456</v>
      </c>
      <c r="H705" s="2" t="s">
        <v>3183</v>
      </c>
      <c r="I705" s="1">
        <v>28</v>
      </c>
      <c r="J705" s="1">
        <v>0.2</v>
      </c>
      <c r="K705" s="1">
        <v>50</v>
      </c>
      <c r="L705" s="1" t="s">
        <v>65</v>
      </c>
      <c r="M705" s="1">
        <v>50.503</v>
      </c>
      <c r="N705" s="1">
        <v>88.4</v>
      </c>
      <c r="O705" s="1">
        <v>71.326666669999994</v>
      </c>
      <c r="P705" s="1">
        <v>-157.31450000000001</v>
      </c>
      <c r="Q705" s="1">
        <v>-0.53910000000000002</v>
      </c>
      <c r="R705" s="1">
        <v>32.857300000000002</v>
      </c>
      <c r="S705" s="1">
        <v>289.59978840000002</v>
      </c>
      <c r="W705" s="3">
        <v>0.19570000000000001</v>
      </c>
      <c r="X705" s="1" t="s">
        <v>3209</v>
      </c>
      <c r="Y705" s="1">
        <v>6.9000000000000006E-2</v>
      </c>
      <c r="Z705" s="1">
        <v>7.8E-2</v>
      </c>
      <c r="AA705" s="1">
        <v>1.696</v>
      </c>
      <c r="AB705" s="1">
        <v>24.7</v>
      </c>
      <c r="AC705" s="1">
        <v>12</v>
      </c>
      <c r="AD705" s="1">
        <v>0.1</v>
      </c>
      <c r="AE705" s="1">
        <v>0.81</v>
      </c>
      <c r="AF705" s="1">
        <v>12.1</v>
      </c>
      <c r="AH705" s="8" t="s">
        <v>3210</v>
      </c>
      <c r="AI705" s="8">
        <v>10</v>
      </c>
      <c r="AJ705" s="8" t="s">
        <v>3211</v>
      </c>
      <c r="AK705" s="8">
        <v>3</v>
      </c>
      <c r="AM705" s="1" t="s">
        <v>3209</v>
      </c>
      <c r="AT705" s="8" t="s">
        <v>1607</v>
      </c>
    </row>
    <row r="706" spans="1:46">
      <c r="A706" s="1" t="s">
        <v>3212</v>
      </c>
      <c r="C706" s="1" t="s">
        <v>3212</v>
      </c>
      <c r="D706" s="1" t="s">
        <v>3213</v>
      </c>
      <c r="E706" s="1" t="s">
        <v>1394</v>
      </c>
      <c r="F706" s="1" t="s">
        <v>3182</v>
      </c>
      <c r="G706" s="1" t="s">
        <v>456</v>
      </c>
      <c r="H706" s="2" t="s">
        <v>3183</v>
      </c>
      <c r="I706" s="1">
        <v>28</v>
      </c>
      <c r="J706" s="1">
        <v>0.2</v>
      </c>
      <c r="K706" s="1">
        <v>60</v>
      </c>
      <c r="L706" s="1" t="s">
        <v>65</v>
      </c>
      <c r="M706" s="1">
        <v>61.713999999999999</v>
      </c>
      <c r="N706" s="1">
        <v>88.4</v>
      </c>
      <c r="O706" s="1">
        <v>71.326666669999994</v>
      </c>
      <c r="P706" s="1">
        <v>-157.31450000000001</v>
      </c>
      <c r="Q706" s="1">
        <v>-1.2581</v>
      </c>
      <c r="R706" s="1">
        <v>33.242849999999997</v>
      </c>
      <c r="S706" s="1">
        <v>288.39840750000002</v>
      </c>
      <c r="W706" s="3">
        <v>0.1875</v>
      </c>
      <c r="X706" s="1" t="s">
        <v>3214</v>
      </c>
      <c r="Y706" s="1">
        <v>4.9000000000000002E-2</v>
      </c>
      <c r="Z706" s="1">
        <v>3.5999999999999997E-2</v>
      </c>
      <c r="AA706" s="1">
        <v>1.7809999999999999</v>
      </c>
      <c r="AB706" s="1">
        <v>28.3</v>
      </c>
      <c r="AC706" s="1">
        <v>14.3</v>
      </c>
      <c r="AD706" s="1">
        <v>0.05</v>
      </c>
      <c r="AE706" s="1">
        <v>0.2</v>
      </c>
      <c r="AF706" s="1">
        <v>14.35</v>
      </c>
      <c r="AH706" s="8" t="s">
        <v>3215</v>
      </c>
      <c r="AI706" s="8">
        <v>8</v>
      </c>
      <c r="AJ706" s="8" t="s">
        <v>3216</v>
      </c>
      <c r="AK706" s="8">
        <v>3</v>
      </c>
      <c r="AM706" s="1" t="s">
        <v>3214</v>
      </c>
      <c r="AT706" s="8" t="s">
        <v>1607</v>
      </c>
    </row>
    <row r="707" spans="1:46">
      <c r="A707" s="1" t="s">
        <v>3217</v>
      </c>
      <c r="C707" s="1" t="s">
        <v>3217</v>
      </c>
      <c r="D707" s="1" t="s">
        <v>3218</v>
      </c>
      <c r="E707" s="1" t="s">
        <v>1394</v>
      </c>
      <c r="F707" s="1" t="s">
        <v>3182</v>
      </c>
      <c r="G707" s="1" t="s">
        <v>456</v>
      </c>
      <c r="H707" s="2" t="s">
        <v>3183</v>
      </c>
      <c r="I707" s="1">
        <v>28</v>
      </c>
      <c r="J707" s="1">
        <v>0.2</v>
      </c>
      <c r="K707" s="1">
        <v>60</v>
      </c>
      <c r="L707" s="1" t="s">
        <v>65</v>
      </c>
      <c r="M707" s="1">
        <v>61.713999999999999</v>
      </c>
      <c r="N707" s="1">
        <v>88.4</v>
      </c>
      <c r="O707" s="1">
        <v>71.326666669999994</v>
      </c>
      <c r="P707" s="1">
        <v>-157.31450000000001</v>
      </c>
      <c r="Q707" s="1">
        <v>-1.2581</v>
      </c>
      <c r="R707" s="1">
        <v>33.242849999999997</v>
      </c>
      <c r="S707" s="1">
        <v>288.39840750000002</v>
      </c>
      <c r="W707" s="3">
        <v>0.1875</v>
      </c>
      <c r="X707" s="1" t="s">
        <v>3214</v>
      </c>
      <c r="Y707" s="1">
        <v>4.9000000000000002E-2</v>
      </c>
      <c r="Z707" s="1">
        <v>3.5999999999999997E-2</v>
      </c>
      <c r="AA707" s="1">
        <v>1.7809999999999999</v>
      </c>
      <c r="AB707" s="1">
        <v>28.3</v>
      </c>
      <c r="AC707" s="1">
        <v>14.3</v>
      </c>
      <c r="AD707" s="1">
        <v>0.05</v>
      </c>
      <c r="AE707" s="1">
        <v>0.2</v>
      </c>
      <c r="AF707" s="1">
        <v>14.35</v>
      </c>
      <c r="AH707" s="8" t="s">
        <v>3215</v>
      </c>
      <c r="AI707" s="8">
        <v>8</v>
      </c>
      <c r="AJ707" s="8" t="s">
        <v>3216</v>
      </c>
      <c r="AK707" s="8">
        <v>3</v>
      </c>
      <c r="AM707" s="1" t="s">
        <v>3214</v>
      </c>
      <c r="AT707" s="8" t="s">
        <v>1607</v>
      </c>
    </row>
    <row r="708" spans="1:46">
      <c r="A708" s="1" t="s">
        <v>3219</v>
      </c>
      <c r="C708" s="1" t="s">
        <v>3219</v>
      </c>
      <c r="D708" s="1" t="s">
        <v>3220</v>
      </c>
      <c r="E708" s="1" t="s">
        <v>1394</v>
      </c>
      <c r="F708" s="1" t="s">
        <v>3182</v>
      </c>
      <c r="G708" s="1" t="s">
        <v>456</v>
      </c>
      <c r="H708" s="2" t="s">
        <v>3183</v>
      </c>
      <c r="I708" s="1">
        <v>28</v>
      </c>
      <c r="J708" s="1">
        <v>0.2</v>
      </c>
      <c r="K708" s="1">
        <v>60</v>
      </c>
      <c r="L708" s="1" t="s">
        <v>65</v>
      </c>
      <c r="M708" s="1">
        <v>61.713999999999999</v>
      </c>
      <c r="N708" s="1">
        <v>88.4</v>
      </c>
      <c r="O708" s="1">
        <v>71.326666669999994</v>
      </c>
      <c r="P708" s="1">
        <v>-157.31450000000001</v>
      </c>
      <c r="Q708" s="1">
        <v>-1.2581</v>
      </c>
      <c r="R708" s="1">
        <v>33.242849999999997</v>
      </c>
      <c r="S708" s="1">
        <v>288.39840750000002</v>
      </c>
      <c r="W708" s="3">
        <v>0.1875</v>
      </c>
      <c r="X708" s="1" t="s">
        <v>3214</v>
      </c>
      <c r="Y708" s="1">
        <v>4.9000000000000002E-2</v>
      </c>
      <c r="Z708" s="1">
        <v>3.5999999999999997E-2</v>
      </c>
      <c r="AA708" s="1">
        <v>1.7809999999999999</v>
      </c>
      <c r="AB708" s="1">
        <v>28.3</v>
      </c>
      <c r="AC708" s="1">
        <v>14.3</v>
      </c>
      <c r="AD708" s="1">
        <v>0.05</v>
      </c>
      <c r="AE708" s="1">
        <v>0.2</v>
      </c>
      <c r="AF708" s="1">
        <v>14.35</v>
      </c>
      <c r="AH708" s="7" t="s">
        <v>3220</v>
      </c>
      <c r="AI708" s="8">
        <v>8</v>
      </c>
      <c r="AJ708" s="8" t="s">
        <v>3216</v>
      </c>
      <c r="AK708" s="8"/>
      <c r="AM708" s="1" t="s">
        <v>3214</v>
      </c>
      <c r="AT708" s="8" t="s">
        <v>1607</v>
      </c>
    </row>
    <row r="709" spans="1:46">
      <c r="A709" s="1" t="s">
        <v>3221</v>
      </c>
      <c r="C709" s="1" t="s">
        <v>3221</v>
      </c>
      <c r="D709" s="1" t="s">
        <v>3222</v>
      </c>
      <c r="E709" s="1" t="s">
        <v>1394</v>
      </c>
      <c r="F709" s="1" t="s">
        <v>3182</v>
      </c>
      <c r="G709" s="1" t="s">
        <v>456</v>
      </c>
      <c r="H709" s="2" t="s">
        <v>3183</v>
      </c>
      <c r="I709" s="1">
        <v>28</v>
      </c>
      <c r="J709" s="1">
        <v>0.2</v>
      </c>
      <c r="K709" s="1">
        <v>60</v>
      </c>
      <c r="L709" s="1" t="s">
        <v>65</v>
      </c>
      <c r="M709" s="1">
        <v>61.713999999999999</v>
      </c>
      <c r="N709" s="1">
        <v>88.4</v>
      </c>
      <c r="O709" s="1">
        <v>71.326666669999994</v>
      </c>
      <c r="P709" s="1">
        <v>-157.31450000000001</v>
      </c>
      <c r="Q709" s="1">
        <v>-1.2581</v>
      </c>
      <c r="R709" s="1">
        <v>33.242849999999997</v>
      </c>
      <c r="S709" s="1">
        <v>288.39840750000002</v>
      </c>
      <c r="W709" s="3">
        <v>0.1875</v>
      </c>
      <c r="X709" s="1" t="s">
        <v>3214</v>
      </c>
      <c r="Y709" s="1">
        <v>4.9000000000000002E-2</v>
      </c>
      <c r="Z709" s="1">
        <v>3.5999999999999997E-2</v>
      </c>
      <c r="AA709" s="1">
        <v>1.7809999999999999</v>
      </c>
      <c r="AB709" s="1">
        <v>28.3</v>
      </c>
      <c r="AC709" s="1">
        <v>14.3</v>
      </c>
      <c r="AD709" s="1">
        <v>0.05</v>
      </c>
      <c r="AE709" s="1">
        <v>0.2</v>
      </c>
      <c r="AF709" s="1">
        <v>14.35</v>
      </c>
      <c r="AH709" s="7" t="s">
        <v>3222</v>
      </c>
      <c r="AI709" s="8">
        <v>8</v>
      </c>
      <c r="AJ709" s="8" t="s">
        <v>3216</v>
      </c>
      <c r="AK709" s="8"/>
      <c r="AM709" s="1" t="s">
        <v>3214</v>
      </c>
      <c r="AT709" s="8" t="s">
        <v>1607</v>
      </c>
    </row>
    <row r="710" spans="1:46">
      <c r="A710" s="1" t="s">
        <v>3223</v>
      </c>
      <c r="C710" s="1" t="s">
        <v>3223</v>
      </c>
      <c r="D710" s="1" t="s">
        <v>3224</v>
      </c>
      <c r="E710" s="1" t="s">
        <v>1394</v>
      </c>
      <c r="F710" s="1" t="s">
        <v>3182</v>
      </c>
      <c r="G710" s="1" t="s">
        <v>456</v>
      </c>
      <c r="H710" s="2" t="s">
        <v>3183</v>
      </c>
      <c r="I710" s="1">
        <v>28</v>
      </c>
      <c r="J710" s="1">
        <v>0.2</v>
      </c>
      <c r="K710" s="1">
        <v>84</v>
      </c>
      <c r="L710" s="1" t="s">
        <v>78</v>
      </c>
      <c r="M710" s="1">
        <v>84.53</v>
      </c>
      <c r="N710" s="1">
        <v>88.4</v>
      </c>
      <c r="O710" s="1">
        <v>71.326666669999994</v>
      </c>
      <c r="P710" s="1">
        <v>-157.31450000000001</v>
      </c>
      <c r="Q710" s="1">
        <v>-9.8650000000000002E-2</v>
      </c>
      <c r="R710" s="1">
        <v>34.179450000000003</v>
      </c>
      <c r="S710" s="1">
        <v>273.42357420000002</v>
      </c>
      <c r="W710" s="3">
        <v>0.2142</v>
      </c>
      <c r="X710" s="1" t="s">
        <v>3225</v>
      </c>
      <c r="Y710" s="1">
        <v>0.13700000000000001</v>
      </c>
      <c r="Z710" s="1">
        <v>0.24099999999999999</v>
      </c>
      <c r="AA710" s="1">
        <v>1.4219999999999999</v>
      </c>
      <c r="AB710" s="1">
        <v>21.5</v>
      </c>
      <c r="AC710" s="1">
        <v>13.1</v>
      </c>
      <c r="AD710" s="1">
        <v>0.11</v>
      </c>
      <c r="AE710" s="1">
        <v>0.47</v>
      </c>
      <c r="AF710" s="1">
        <v>13.21</v>
      </c>
      <c r="AH710" s="8" t="s">
        <v>3226</v>
      </c>
      <c r="AI710" s="8">
        <v>4</v>
      </c>
      <c r="AJ710" s="8" t="s">
        <v>3227</v>
      </c>
      <c r="AK710" s="8">
        <v>3</v>
      </c>
      <c r="AM710" s="1" t="s">
        <v>3225</v>
      </c>
      <c r="AT710" s="8" t="s">
        <v>1607</v>
      </c>
    </row>
    <row r="711" spans="1:46">
      <c r="A711" s="1" t="s">
        <v>3228</v>
      </c>
      <c r="C711" s="1" t="s">
        <v>3228</v>
      </c>
      <c r="D711" s="1" t="s">
        <v>3229</v>
      </c>
      <c r="E711" s="1" t="s">
        <v>1394</v>
      </c>
      <c r="F711" s="1" t="s">
        <v>3230</v>
      </c>
      <c r="G711" s="1" t="s">
        <v>456</v>
      </c>
      <c r="H711" s="2" t="s">
        <v>3231</v>
      </c>
      <c r="I711" s="1">
        <v>26</v>
      </c>
      <c r="J711" s="1">
        <v>0.2</v>
      </c>
      <c r="K711" s="1">
        <v>4</v>
      </c>
      <c r="L711" s="1" t="s">
        <v>52</v>
      </c>
      <c r="M711" s="1">
        <v>3.7029999999999998</v>
      </c>
      <c r="N711" s="1">
        <v>124.6</v>
      </c>
      <c r="O711" s="1">
        <v>71.409333329999995</v>
      </c>
      <c r="P711" s="1">
        <v>-157.47283329999999</v>
      </c>
      <c r="Q711" s="1">
        <v>4.18445</v>
      </c>
      <c r="R711" s="1">
        <v>28.269200000000001</v>
      </c>
      <c r="S711" s="1">
        <v>348.44512200000003</v>
      </c>
      <c r="W711" s="3">
        <v>0.44479999999999997</v>
      </c>
      <c r="X711" s="1" t="s">
        <v>3232</v>
      </c>
      <c r="Y711" s="1">
        <v>0.72699999999999998</v>
      </c>
      <c r="Z711" s="1">
        <v>0.26900000000000002</v>
      </c>
      <c r="AA711" s="1">
        <v>0.51200000000000001</v>
      </c>
      <c r="AB711" s="1">
        <v>4.5</v>
      </c>
      <c r="AC711" s="1">
        <v>0</v>
      </c>
      <c r="AD711" s="1">
        <v>0.01</v>
      </c>
      <c r="AE711" s="1">
        <v>0.16</v>
      </c>
      <c r="AF711" s="1">
        <v>0.01</v>
      </c>
      <c r="AH711" s="8" t="s">
        <v>3233</v>
      </c>
      <c r="AI711" s="8">
        <v>24</v>
      </c>
      <c r="AJ711" s="8" t="s">
        <v>3234</v>
      </c>
      <c r="AK711" s="8">
        <v>3</v>
      </c>
      <c r="AM711" s="1" t="s">
        <v>3232</v>
      </c>
      <c r="AT711" s="8" t="s">
        <v>1607</v>
      </c>
    </row>
    <row r="712" spans="1:46">
      <c r="A712" s="1" t="s">
        <v>3235</v>
      </c>
      <c r="C712" s="1" t="s">
        <v>3235</v>
      </c>
      <c r="D712" s="1" t="s">
        <v>3236</v>
      </c>
      <c r="E712" s="1" t="s">
        <v>1394</v>
      </c>
      <c r="F712" s="1" t="s">
        <v>3230</v>
      </c>
      <c r="G712" s="1" t="s">
        <v>456</v>
      </c>
      <c r="H712" s="2" t="s">
        <v>3231</v>
      </c>
      <c r="I712" s="1">
        <v>26</v>
      </c>
      <c r="J712" s="1">
        <v>0.2</v>
      </c>
      <c r="K712" s="1">
        <v>20</v>
      </c>
      <c r="L712" s="1" t="s">
        <v>65</v>
      </c>
      <c r="M712" s="1">
        <v>20.68</v>
      </c>
      <c r="N712" s="1">
        <v>124.6</v>
      </c>
      <c r="O712" s="1">
        <v>71.409333329999995</v>
      </c>
      <c r="P712" s="1">
        <v>-157.47283329999999</v>
      </c>
      <c r="Q712" s="1">
        <v>5.4068500000000004</v>
      </c>
      <c r="R712" s="1">
        <v>31.01765</v>
      </c>
      <c r="S712" s="1">
        <v>333.98835630000002</v>
      </c>
      <c r="W712" s="3">
        <v>0.77410000000000001</v>
      </c>
      <c r="X712" s="1" t="s">
        <v>3237</v>
      </c>
      <c r="Y712" s="1">
        <v>1.5569999999999999</v>
      </c>
      <c r="Z712" s="1">
        <v>0.42599999999999999</v>
      </c>
      <c r="AA712" s="1">
        <v>0.59199999999999997</v>
      </c>
      <c r="AB712" s="1">
        <v>3.4</v>
      </c>
      <c r="AC712" s="1">
        <v>0</v>
      </c>
      <c r="AD712" s="1">
        <v>0.01</v>
      </c>
      <c r="AE712" s="1">
        <v>0.16</v>
      </c>
      <c r="AF712" s="1">
        <v>0.01</v>
      </c>
      <c r="AH712" s="8" t="s">
        <v>3238</v>
      </c>
      <c r="AI712" s="8">
        <v>20</v>
      </c>
      <c r="AJ712" s="8" t="s">
        <v>3239</v>
      </c>
      <c r="AK712" s="8">
        <v>3</v>
      </c>
      <c r="AM712" s="1" t="s">
        <v>3237</v>
      </c>
      <c r="AT712" s="8" t="s">
        <v>1607</v>
      </c>
    </row>
    <row r="713" spans="1:46">
      <c r="A713" s="1" t="s">
        <v>3240</v>
      </c>
      <c r="C713" s="1" t="s">
        <v>3240</v>
      </c>
      <c r="D713" s="1" t="s">
        <v>3241</v>
      </c>
      <c r="E713" s="1" t="s">
        <v>1394</v>
      </c>
      <c r="F713" s="1" t="s">
        <v>3230</v>
      </c>
      <c r="G713" s="1" t="s">
        <v>456</v>
      </c>
      <c r="H713" s="2" t="s">
        <v>3231</v>
      </c>
      <c r="I713" s="1">
        <v>26</v>
      </c>
      <c r="J713" s="1">
        <v>0.2</v>
      </c>
      <c r="K713" s="1">
        <v>30</v>
      </c>
      <c r="L713" s="1" t="s">
        <v>65</v>
      </c>
      <c r="M713" s="1">
        <v>30.541</v>
      </c>
      <c r="N713" s="1">
        <v>124.6</v>
      </c>
      <c r="O713" s="1">
        <v>71.409333329999995</v>
      </c>
      <c r="P713" s="1">
        <v>-157.47283329999999</v>
      </c>
      <c r="Q713" s="1">
        <v>3.7794500000000002</v>
      </c>
      <c r="R713" s="1">
        <v>32.019649999999999</v>
      </c>
      <c r="S713" s="1">
        <v>298.88927640000003</v>
      </c>
      <c r="W713" s="3">
        <v>0.26619999999999999</v>
      </c>
      <c r="X713" s="1" t="s">
        <v>3242</v>
      </c>
      <c r="Y713" s="1">
        <v>0.377</v>
      </c>
      <c r="Z713" s="1">
        <v>0.187</v>
      </c>
      <c r="AA713" s="1">
        <v>1.129</v>
      </c>
      <c r="AB713" s="1">
        <v>10.4</v>
      </c>
      <c r="AC713" s="1">
        <v>1.8</v>
      </c>
      <c r="AD713" s="1">
        <v>0.13</v>
      </c>
      <c r="AE713" s="1">
        <v>2.4900000000000002</v>
      </c>
      <c r="AF713" s="1">
        <v>1.93</v>
      </c>
      <c r="AH713" s="8" t="s">
        <v>3243</v>
      </c>
      <c r="AI713" s="8">
        <v>18</v>
      </c>
      <c r="AJ713" s="8" t="s">
        <v>3244</v>
      </c>
      <c r="AK713" s="8">
        <v>3</v>
      </c>
      <c r="AM713" s="1" t="s">
        <v>3242</v>
      </c>
      <c r="AT713" s="8" t="s">
        <v>1607</v>
      </c>
    </row>
    <row r="714" spans="1:46">
      <c r="A714" s="1" t="s">
        <v>3245</v>
      </c>
      <c r="C714" s="1" t="s">
        <v>3245</v>
      </c>
      <c r="D714" s="1" t="s">
        <v>3246</v>
      </c>
      <c r="E714" s="1" t="s">
        <v>1394</v>
      </c>
      <c r="F714" s="1" t="s">
        <v>3230</v>
      </c>
      <c r="G714" s="1" t="s">
        <v>456</v>
      </c>
      <c r="H714" s="2" t="s">
        <v>3231</v>
      </c>
      <c r="I714" s="1">
        <v>26</v>
      </c>
      <c r="J714" s="1">
        <v>0.2</v>
      </c>
      <c r="K714" s="1">
        <v>40</v>
      </c>
      <c r="L714" s="1" t="s">
        <v>65</v>
      </c>
      <c r="M714" s="1">
        <v>39.906999999999996</v>
      </c>
      <c r="N714" s="1">
        <v>124.6</v>
      </c>
      <c r="O714" s="1">
        <v>71.409333329999995</v>
      </c>
      <c r="P714" s="1">
        <v>-157.47283329999999</v>
      </c>
      <c r="Q714" s="1">
        <v>2.90035</v>
      </c>
      <c r="R714" s="1">
        <v>32.140450000000001</v>
      </c>
      <c r="S714" s="1">
        <v>295.23154049999999</v>
      </c>
      <c r="W714" s="3">
        <v>0.2127</v>
      </c>
      <c r="X714" s="1" t="s">
        <v>3247</v>
      </c>
      <c r="Y714" s="1">
        <v>0.155</v>
      </c>
      <c r="Z714" s="1">
        <v>0.14399999999999999</v>
      </c>
      <c r="AA714" s="1">
        <v>1.258</v>
      </c>
      <c r="AB714" s="1">
        <v>11.8</v>
      </c>
      <c r="AC714" s="1">
        <v>2.6</v>
      </c>
      <c r="AD714" s="1">
        <v>0.16</v>
      </c>
      <c r="AE714" s="1">
        <v>2.77</v>
      </c>
      <c r="AF714" s="1">
        <v>2.76</v>
      </c>
      <c r="AH714" s="8" t="s">
        <v>3248</v>
      </c>
      <c r="AI714" s="8">
        <v>16</v>
      </c>
      <c r="AJ714" s="8" t="s">
        <v>3249</v>
      </c>
      <c r="AK714" s="8">
        <v>3</v>
      </c>
      <c r="AM714" s="1" t="s">
        <v>3247</v>
      </c>
      <c r="AT714" s="8" t="s">
        <v>1607</v>
      </c>
    </row>
    <row r="715" spans="1:46">
      <c r="A715" s="1" t="s">
        <v>3250</v>
      </c>
      <c r="C715" s="1" t="s">
        <v>3250</v>
      </c>
      <c r="D715" s="1" t="s">
        <v>3251</v>
      </c>
      <c r="E715" s="1" t="s">
        <v>1394</v>
      </c>
      <c r="F715" s="1" t="s">
        <v>3230</v>
      </c>
      <c r="G715" s="1" t="s">
        <v>456</v>
      </c>
      <c r="H715" s="2" t="s">
        <v>3231</v>
      </c>
      <c r="I715" s="1">
        <v>26</v>
      </c>
      <c r="J715" s="1">
        <v>0.2</v>
      </c>
      <c r="K715" s="1">
        <v>75</v>
      </c>
      <c r="L715" s="1" t="s">
        <v>65</v>
      </c>
      <c r="M715" s="1">
        <v>76.927999999999997</v>
      </c>
      <c r="N715" s="1">
        <v>124.6</v>
      </c>
      <c r="O715" s="1">
        <v>71.409333329999995</v>
      </c>
      <c r="P715" s="1">
        <v>-157.47283329999999</v>
      </c>
      <c r="Q715" s="1">
        <v>0.64759999999999995</v>
      </c>
      <c r="R715" s="1">
        <v>32.506450000000001</v>
      </c>
      <c r="S715" s="1">
        <v>290.95301669999998</v>
      </c>
      <c r="W715" s="3">
        <v>0.20680000000000001</v>
      </c>
      <c r="X715" s="1" t="s">
        <v>3252</v>
      </c>
      <c r="AA715" s="1">
        <v>1.516</v>
      </c>
      <c r="AB715" s="1">
        <v>17.7</v>
      </c>
      <c r="AC715" s="1">
        <v>6.5</v>
      </c>
      <c r="AD715" s="1">
        <v>0.17</v>
      </c>
      <c r="AE715" s="1">
        <v>2.66</v>
      </c>
      <c r="AF715" s="1">
        <v>6.67</v>
      </c>
      <c r="AH715" s="8" t="s">
        <v>3253</v>
      </c>
      <c r="AI715" s="8">
        <v>12</v>
      </c>
      <c r="AJ715" s="8" t="s">
        <v>3254</v>
      </c>
      <c r="AK715" s="8">
        <v>3</v>
      </c>
      <c r="AM715" s="1" t="s">
        <v>3252</v>
      </c>
      <c r="AT715" s="8" t="s">
        <v>1607</v>
      </c>
    </row>
    <row r="716" spans="1:46">
      <c r="A716" s="1" t="s">
        <v>3255</v>
      </c>
      <c r="C716" s="1" t="s">
        <v>3255</v>
      </c>
      <c r="D716" s="1" t="s">
        <v>3256</v>
      </c>
      <c r="E716" s="1" t="s">
        <v>1394</v>
      </c>
      <c r="F716" s="1" t="s">
        <v>3230</v>
      </c>
      <c r="G716" s="1" t="s">
        <v>456</v>
      </c>
      <c r="H716" s="2" t="s">
        <v>3231</v>
      </c>
      <c r="I716" s="1">
        <v>26</v>
      </c>
      <c r="J716" s="1">
        <v>0.2</v>
      </c>
      <c r="K716" s="1">
        <v>118</v>
      </c>
      <c r="L716" s="1" t="s">
        <v>78</v>
      </c>
      <c r="M716" s="1">
        <v>118.17700000000001</v>
      </c>
      <c r="N716" s="1">
        <v>124.6</v>
      </c>
      <c r="O716" s="1">
        <v>71.409333329999995</v>
      </c>
      <c r="P716" s="1">
        <v>-157.47283329999999</v>
      </c>
      <c r="Q716" s="1">
        <v>-0.75370000000000004</v>
      </c>
      <c r="R716" s="1">
        <v>32.842100000000002</v>
      </c>
      <c r="S716" s="1">
        <v>288.66637350000002</v>
      </c>
      <c r="W716" s="3">
        <v>0.2041</v>
      </c>
      <c r="X716" s="1" t="s">
        <v>3257</v>
      </c>
      <c r="AA716" s="1">
        <v>1.786</v>
      </c>
      <c r="AB716" s="1">
        <v>26.5</v>
      </c>
      <c r="AC716" s="1">
        <v>12.3</v>
      </c>
      <c r="AD716" s="1">
        <v>7.0000000000000007E-2</v>
      </c>
      <c r="AE716" s="1">
        <v>0.89</v>
      </c>
      <c r="AF716" s="1">
        <v>12.37</v>
      </c>
      <c r="AH716" s="8" t="s">
        <v>3258</v>
      </c>
      <c r="AI716" s="8">
        <v>4</v>
      </c>
      <c r="AJ716" s="8" t="s">
        <v>3259</v>
      </c>
      <c r="AK716" s="8">
        <v>2.8</v>
      </c>
      <c r="AM716" s="1" t="s">
        <v>3257</v>
      </c>
      <c r="AT716" s="8" t="s">
        <v>1607</v>
      </c>
    </row>
    <row r="717" spans="1:46">
      <c r="A717" s="1" t="s">
        <v>3260</v>
      </c>
      <c r="C717" s="1" t="s">
        <v>3260</v>
      </c>
      <c r="D717" s="1" t="s">
        <v>3261</v>
      </c>
      <c r="E717" s="1" t="s">
        <v>1394</v>
      </c>
      <c r="F717" s="1" t="s">
        <v>1791</v>
      </c>
      <c r="G717" s="1" t="s">
        <v>456</v>
      </c>
      <c r="I717" s="1">
        <v>25</v>
      </c>
      <c r="J717" s="1">
        <v>0.2</v>
      </c>
      <c r="K717" s="1" t="s">
        <v>78</v>
      </c>
      <c r="L717" s="1" t="s">
        <v>78</v>
      </c>
      <c r="O717" s="1">
        <v>71.455666669999999</v>
      </c>
      <c r="P717" s="1">
        <v>-157.57433330000001</v>
      </c>
      <c r="AH717" s="7" t="s">
        <v>3261</v>
      </c>
      <c r="AI717" s="8" t="s">
        <v>2866</v>
      </c>
      <c r="AJ717" s="8" t="s">
        <v>2867</v>
      </c>
      <c r="AK717" s="8"/>
      <c r="AM717" s="1" t="s">
        <v>3262</v>
      </c>
      <c r="AT717" s="8" t="s">
        <v>1607</v>
      </c>
    </row>
    <row r="718" spans="1:46">
      <c r="A718" s="1" t="s">
        <v>3263</v>
      </c>
      <c r="C718" s="1" t="s">
        <v>3263</v>
      </c>
      <c r="D718" s="1" t="s">
        <v>3264</v>
      </c>
      <c r="E718" s="1" t="s">
        <v>1394</v>
      </c>
      <c r="F718" s="1" t="s">
        <v>3265</v>
      </c>
      <c r="G718" s="1" t="s">
        <v>456</v>
      </c>
      <c r="H718" s="2" t="s">
        <v>3266</v>
      </c>
      <c r="I718" s="1">
        <v>24</v>
      </c>
      <c r="J718" s="1">
        <v>0.2</v>
      </c>
      <c r="K718" s="1">
        <v>4</v>
      </c>
      <c r="L718" s="1" t="s">
        <v>52</v>
      </c>
      <c r="M718" s="1">
        <v>4.1950000000000003</v>
      </c>
      <c r="N718" s="1">
        <v>83.8</v>
      </c>
      <c r="O718" s="1">
        <v>71.497</v>
      </c>
      <c r="P718" s="1">
        <v>-157.6476667</v>
      </c>
      <c r="Q718" s="1">
        <v>4.5111999999999997</v>
      </c>
      <c r="R718" s="1">
        <v>27.888750000000002</v>
      </c>
      <c r="S718" s="1">
        <v>343.05007319999999</v>
      </c>
      <c r="W718" s="3">
        <v>0.51600000000000001</v>
      </c>
      <c r="X718" s="1" t="s">
        <v>3267</v>
      </c>
      <c r="Y718" s="1">
        <v>0.65700000000000003</v>
      </c>
      <c r="Z718" s="1">
        <v>0.29899999999999999</v>
      </c>
      <c r="AA718" s="1">
        <v>0.501</v>
      </c>
      <c r="AB718" s="1">
        <v>6.1</v>
      </c>
      <c r="AC718" s="1">
        <v>0</v>
      </c>
      <c r="AD718" s="1">
        <v>0.01</v>
      </c>
      <c r="AE718" s="1">
        <v>0.28000000000000003</v>
      </c>
      <c r="AF718" s="1">
        <v>0.01</v>
      </c>
      <c r="AH718" s="8" t="s">
        <v>3268</v>
      </c>
      <c r="AI718" s="8">
        <v>16</v>
      </c>
      <c r="AJ718" s="8" t="s">
        <v>3269</v>
      </c>
      <c r="AK718" s="8">
        <v>2.2000000000000002</v>
      </c>
      <c r="AM718" s="1" t="s">
        <v>3267</v>
      </c>
      <c r="AT718" s="8" t="s">
        <v>1607</v>
      </c>
    </row>
    <row r="719" spans="1:46">
      <c r="A719" s="1" t="s">
        <v>3270</v>
      </c>
      <c r="C719" s="1" t="s">
        <v>3270</v>
      </c>
      <c r="D719" s="1" t="s">
        <v>3271</v>
      </c>
      <c r="E719" s="1" t="s">
        <v>1394</v>
      </c>
      <c r="F719" s="1" t="s">
        <v>3265</v>
      </c>
      <c r="G719" s="1" t="s">
        <v>456</v>
      </c>
      <c r="H719" s="2" t="s">
        <v>3266</v>
      </c>
      <c r="I719" s="1">
        <v>24</v>
      </c>
      <c r="J719" s="1">
        <v>0.2</v>
      </c>
      <c r="K719" s="1">
        <v>11</v>
      </c>
      <c r="L719" s="1" t="s">
        <v>65</v>
      </c>
      <c r="M719" s="1">
        <v>9.5380000000000003</v>
      </c>
      <c r="N719" s="1">
        <v>83.8</v>
      </c>
      <c r="O719" s="1">
        <v>71.497</v>
      </c>
      <c r="P719" s="1">
        <v>-157.6476667</v>
      </c>
      <c r="Q719" s="1">
        <v>4.5002000000000004</v>
      </c>
      <c r="R719" s="1">
        <v>27.899650000000001</v>
      </c>
      <c r="S719" s="1">
        <v>342.84016650000001</v>
      </c>
      <c r="W719" s="3">
        <v>0.4466</v>
      </c>
      <c r="X719" s="1" t="s">
        <v>3272</v>
      </c>
      <c r="Y719" s="1">
        <v>0.68300000000000005</v>
      </c>
      <c r="Z719" s="1">
        <v>0.26700000000000002</v>
      </c>
      <c r="AA719" s="1">
        <v>0.5</v>
      </c>
      <c r="AB719" s="1">
        <v>5.6</v>
      </c>
      <c r="AC719" s="1">
        <v>0</v>
      </c>
      <c r="AD719" s="1">
        <v>0.01</v>
      </c>
      <c r="AE719" s="1">
        <v>0.25</v>
      </c>
      <c r="AF719" s="1">
        <v>0.01</v>
      </c>
      <c r="AH719" s="8" t="s">
        <v>3273</v>
      </c>
      <c r="AI719" s="8">
        <v>14</v>
      </c>
      <c r="AJ719" s="8" t="s">
        <v>3274</v>
      </c>
      <c r="AK719" s="8">
        <v>2.2000000000000002</v>
      </c>
      <c r="AM719" s="1" t="s">
        <v>3272</v>
      </c>
      <c r="AT719" s="8" t="s">
        <v>1607</v>
      </c>
    </row>
    <row r="720" spans="1:46">
      <c r="A720" s="1" t="s">
        <v>3275</v>
      </c>
      <c r="C720" s="1" t="s">
        <v>3275</v>
      </c>
      <c r="D720" s="1" t="s">
        <v>3276</v>
      </c>
      <c r="E720" s="1" t="s">
        <v>1394</v>
      </c>
      <c r="F720" s="1" t="s">
        <v>3265</v>
      </c>
      <c r="G720" s="1" t="s">
        <v>456</v>
      </c>
      <c r="H720" s="2" t="s">
        <v>3266</v>
      </c>
      <c r="I720" s="1">
        <v>24</v>
      </c>
      <c r="J720" s="1">
        <v>0.2</v>
      </c>
      <c r="K720" s="1">
        <v>20</v>
      </c>
      <c r="L720" s="1" t="s">
        <v>65</v>
      </c>
      <c r="M720" s="1">
        <v>20.798999999999999</v>
      </c>
      <c r="N720" s="1">
        <v>83.8</v>
      </c>
      <c r="O720" s="1">
        <v>71.497</v>
      </c>
      <c r="P720" s="1">
        <v>-157.6476667</v>
      </c>
      <c r="Q720" s="1">
        <v>5.7498500000000003</v>
      </c>
      <c r="R720" s="1">
        <v>30.957100000000001</v>
      </c>
      <c r="S720" s="1">
        <v>327.5705706</v>
      </c>
      <c r="W720" s="3">
        <v>0.71140000000000003</v>
      </c>
      <c r="X720" s="1" t="s">
        <v>3277</v>
      </c>
      <c r="Y720" s="1">
        <v>1.4039999999999999</v>
      </c>
      <c r="Z720" s="1">
        <v>0.44900000000000001</v>
      </c>
      <c r="AA720" s="1">
        <v>0.54400000000000004</v>
      </c>
      <c r="AB720" s="1">
        <v>3.3</v>
      </c>
      <c r="AC720" s="1">
        <v>0</v>
      </c>
      <c r="AD720" s="1">
        <v>0.01</v>
      </c>
      <c r="AE720" s="1">
        <v>0.28999999999999998</v>
      </c>
      <c r="AF720" s="1">
        <v>0.01</v>
      </c>
      <c r="AH720" s="8" t="s">
        <v>3278</v>
      </c>
      <c r="AI720" s="8">
        <v>12</v>
      </c>
      <c r="AJ720" s="8" t="s">
        <v>3279</v>
      </c>
      <c r="AK720" s="8">
        <v>2.2000000000000002</v>
      </c>
      <c r="AM720" s="1" t="s">
        <v>3277</v>
      </c>
      <c r="AT720" s="8" t="s">
        <v>1607</v>
      </c>
    </row>
    <row r="721" spans="1:46">
      <c r="A721" s="1" t="s">
        <v>3280</v>
      </c>
      <c r="C721" s="1" t="s">
        <v>3280</v>
      </c>
      <c r="D721" s="1" t="s">
        <v>3281</v>
      </c>
      <c r="E721" s="1" t="s">
        <v>1394</v>
      </c>
      <c r="F721" s="1" t="s">
        <v>3265</v>
      </c>
      <c r="G721" s="1" t="s">
        <v>456</v>
      </c>
      <c r="H721" s="2" t="s">
        <v>3266</v>
      </c>
      <c r="I721" s="1">
        <v>24</v>
      </c>
      <c r="J721" s="1">
        <v>0.2</v>
      </c>
      <c r="K721" s="1">
        <v>31</v>
      </c>
      <c r="L721" s="1" t="s">
        <v>65</v>
      </c>
      <c r="M721" s="1">
        <v>31.792999999999999</v>
      </c>
      <c r="N721" s="1">
        <v>83.8</v>
      </c>
      <c r="O721" s="1">
        <v>71.497</v>
      </c>
      <c r="P721" s="1">
        <v>-157.6476667</v>
      </c>
      <c r="Q721" s="1">
        <v>2.1612</v>
      </c>
      <c r="R721" s="1">
        <v>31.440200000000001</v>
      </c>
      <c r="S721" s="1">
        <v>365.78252220000002</v>
      </c>
      <c r="W721" s="3">
        <v>0.2883</v>
      </c>
      <c r="X721" s="1" t="s">
        <v>380</v>
      </c>
      <c r="Y721" s="1">
        <v>0.34899999999999998</v>
      </c>
      <c r="Z721" s="1">
        <v>0.185</v>
      </c>
      <c r="AA721" s="1">
        <v>0.66800000000000004</v>
      </c>
      <c r="AB721" s="1">
        <v>4.2</v>
      </c>
      <c r="AC721" s="1">
        <v>0.1</v>
      </c>
      <c r="AD721" s="1">
        <v>0.01</v>
      </c>
      <c r="AE721" s="1">
        <v>0.3</v>
      </c>
      <c r="AF721" s="1">
        <v>0.11</v>
      </c>
      <c r="AH721" s="8" t="s">
        <v>3282</v>
      </c>
      <c r="AI721" s="8">
        <v>10</v>
      </c>
      <c r="AJ721" s="8" t="s">
        <v>3283</v>
      </c>
      <c r="AK721" s="8">
        <v>2.5</v>
      </c>
      <c r="AM721" s="1" t="s">
        <v>380</v>
      </c>
      <c r="AT721" s="8" t="s">
        <v>1607</v>
      </c>
    </row>
    <row r="722" spans="1:46">
      <c r="A722" s="1" t="s">
        <v>3284</v>
      </c>
      <c r="C722" s="1" t="s">
        <v>3284</v>
      </c>
      <c r="D722" s="1" t="s">
        <v>3285</v>
      </c>
      <c r="E722" s="1" t="s">
        <v>1394</v>
      </c>
      <c r="F722" s="1" t="s">
        <v>3265</v>
      </c>
      <c r="G722" s="1" t="s">
        <v>456</v>
      </c>
      <c r="H722" s="2" t="s">
        <v>3266</v>
      </c>
      <c r="I722" s="1">
        <v>24</v>
      </c>
      <c r="J722" s="1">
        <v>0.2</v>
      </c>
      <c r="K722" s="1">
        <v>40</v>
      </c>
      <c r="L722" s="1" t="s">
        <v>65</v>
      </c>
      <c r="M722" s="1">
        <v>41.369</v>
      </c>
      <c r="N722" s="1">
        <v>83.8</v>
      </c>
      <c r="O722" s="1">
        <v>71.497</v>
      </c>
      <c r="P722" s="1">
        <v>-157.6476667</v>
      </c>
      <c r="Q722" s="1">
        <v>2.4555500000000001</v>
      </c>
      <c r="R722" s="1">
        <v>31.922000000000001</v>
      </c>
      <c r="S722" s="1">
        <v>320.62578509999997</v>
      </c>
      <c r="W722" s="3">
        <v>0.23810000000000001</v>
      </c>
      <c r="X722" s="1" t="s">
        <v>3286</v>
      </c>
      <c r="Y722" s="1">
        <v>0.38500000000000001</v>
      </c>
      <c r="Z722" s="1">
        <v>0.254</v>
      </c>
      <c r="AA722" s="1">
        <v>1.1579999999999999</v>
      </c>
      <c r="AB722" s="1">
        <v>11.6</v>
      </c>
      <c r="AC722" s="1">
        <v>2.4</v>
      </c>
      <c r="AD722" s="1">
        <v>0.13</v>
      </c>
      <c r="AE722" s="1">
        <v>2.2400000000000002</v>
      </c>
      <c r="AF722" s="1">
        <v>2.5299999999999998</v>
      </c>
      <c r="AH722" s="8" t="s">
        <v>3287</v>
      </c>
      <c r="AI722" s="8">
        <v>8</v>
      </c>
      <c r="AJ722" s="8" t="s">
        <v>3288</v>
      </c>
      <c r="AK722" s="8">
        <v>2.5</v>
      </c>
      <c r="AM722" s="1" t="s">
        <v>3286</v>
      </c>
      <c r="AT722" s="8" t="s">
        <v>1607</v>
      </c>
    </row>
    <row r="723" spans="1:46">
      <c r="A723" s="1" t="s">
        <v>3289</v>
      </c>
      <c r="C723" s="1" t="s">
        <v>3289</v>
      </c>
      <c r="D723" s="1" t="s">
        <v>3290</v>
      </c>
      <c r="E723" s="1" t="s">
        <v>1394</v>
      </c>
      <c r="F723" s="1" t="s">
        <v>3265</v>
      </c>
      <c r="G723" s="1" t="s">
        <v>456</v>
      </c>
      <c r="H723" s="2" t="s">
        <v>3266</v>
      </c>
      <c r="I723" s="1">
        <v>24</v>
      </c>
      <c r="J723" s="1">
        <v>0.2</v>
      </c>
      <c r="K723" s="1">
        <v>50</v>
      </c>
      <c r="L723" s="1" t="s">
        <v>65</v>
      </c>
      <c r="M723" s="1">
        <v>52.146000000000001</v>
      </c>
      <c r="N723" s="1">
        <v>83.8</v>
      </c>
      <c r="O723" s="1">
        <v>71.497</v>
      </c>
      <c r="P723" s="1">
        <v>-157.6476667</v>
      </c>
      <c r="Q723" s="1">
        <v>0.36870000000000003</v>
      </c>
      <c r="R723" s="1">
        <v>31.947949999999999</v>
      </c>
      <c r="S723" s="1">
        <v>319.52712450000001</v>
      </c>
      <c r="W723" s="3">
        <v>0.21429999999999999</v>
      </c>
      <c r="X723" s="1" t="s">
        <v>390</v>
      </c>
      <c r="Y723" s="1">
        <v>0.123</v>
      </c>
      <c r="Z723" s="1">
        <v>0.152</v>
      </c>
      <c r="AA723" s="1">
        <v>1.3</v>
      </c>
      <c r="AB723" s="1">
        <v>12</v>
      </c>
      <c r="AC723" s="1">
        <v>2.9</v>
      </c>
      <c r="AD723" s="1">
        <v>0.2</v>
      </c>
      <c r="AE723" s="1">
        <v>2.42</v>
      </c>
      <c r="AF723" s="1">
        <v>3.1</v>
      </c>
      <c r="AH723" s="8" t="s">
        <v>3291</v>
      </c>
      <c r="AI723" s="8">
        <v>6</v>
      </c>
      <c r="AJ723" s="8" t="s">
        <v>3292</v>
      </c>
      <c r="AK723" s="8">
        <v>2.5</v>
      </c>
      <c r="AM723" s="1" t="s">
        <v>390</v>
      </c>
      <c r="AT723" s="8" t="s">
        <v>1607</v>
      </c>
    </row>
    <row r="724" spans="1:46">
      <c r="A724" s="1" t="s">
        <v>3293</v>
      </c>
      <c r="C724" s="1" t="s">
        <v>3293</v>
      </c>
      <c r="D724" s="1" t="s">
        <v>3294</v>
      </c>
      <c r="E724" s="1" t="s">
        <v>1394</v>
      </c>
      <c r="F724" s="1" t="s">
        <v>3265</v>
      </c>
      <c r="G724" s="1" t="s">
        <v>456</v>
      </c>
      <c r="H724" s="2" t="s">
        <v>3266</v>
      </c>
      <c r="I724" s="1">
        <v>24</v>
      </c>
      <c r="J724" s="1">
        <v>0.2</v>
      </c>
      <c r="K724" s="1">
        <v>78</v>
      </c>
      <c r="L724" s="1" t="s">
        <v>78</v>
      </c>
      <c r="M724" s="1">
        <v>78.674000000000007</v>
      </c>
      <c r="N724" s="1">
        <v>83.8</v>
      </c>
      <c r="O724" s="1">
        <v>71.497</v>
      </c>
      <c r="P724" s="1">
        <v>-157.6476667</v>
      </c>
      <c r="Q724" s="1">
        <v>0.94884999999999997</v>
      </c>
      <c r="R724" s="1">
        <v>32.323500000000003</v>
      </c>
      <c r="S724" s="1">
        <v>275.41545480000002</v>
      </c>
      <c r="W724" s="3">
        <v>0.25650000000000001</v>
      </c>
      <c r="X724" s="1" t="s">
        <v>3295</v>
      </c>
      <c r="AA724" s="1">
        <v>1.5940000000000001</v>
      </c>
      <c r="AB724" s="1">
        <v>21.4</v>
      </c>
      <c r="AC724" s="1">
        <v>5.3</v>
      </c>
      <c r="AD724" s="1">
        <v>0.19</v>
      </c>
      <c r="AE724" s="1">
        <v>3.68</v>
      </c>
      <c r="AF724" s="1">
        <v>5.49</v>
      </c>
      <c r="AH724" s="8" t="s">
        <v>3296</v>
      </c>
      <c r="AI724" s="8">
        <v>4</v>
      </c>
      <c r="AJ724" s="8" t="s">
        <v>3297</v>
      </c>
      <c r="AK724" s="8">
        <v>2.5</v>
      </c>
      <c r="AM724" s="1" t="s">
        <v>3295</v>
      </c>
      <c r="AT724" s="8" t="s">
        <v>1607</v>
      </c>
    </row>
    <row r="725" spans="1:46">
      <c r="A725" s="1" t="s">
        <v>3298</v>
      </c>
      <c r="C725" s="1" t="s">
        <v>3298</v>
      </c>
      <c r="D725" s="1" t="s">
        <v>3299</v>
      </c>
      <c r="E725" s="1" t="s">
        <v>1394</v>
      </c>
      <c r="F725" s="1" t="s">
        <v>3300</v>
      </c>
      <c r="G725" s="1" t="s">
        <v>456</v>
      </c>
      <c r="H725" s="2" t="s">
        <v>3301</v>
      </c>
      <c r="I725" s="1">
        <v>23</v>
      </c>
      <c r="J725" s="1">
        <v>0.2</v>
      </c>
      <c r="K725" s="1">
        <v>5</v>
      </c>
      <c r="L725" s="1" t="s">
        <v>52</v>
      </c>
      <c r="M725" s="1">
        <v>3.9220000000000002</v>
      </c>
      <c r="N725" s="1">
        <v>71.900000000000006</v>
      </c>
      <c r="O725" s="1">
        <v>71.536500000000004</v>
      </c>
      <c r="P725" s="1">
        <v>-157.7331667</v>
      </c>
      <c r="Q725" s="1">
        <v>4.3963999999999999</v>
      </c>
      <c r="R725" s="1">
        <v>27.555900000000001</v>
      </c>
      <c r="S725" s="1">
        <v>344.72486070000002</v>
      </c>
      <c r="W725" s="3">
        <v>0.47310000000000002</v>
      </c>
      <c r="X725" s="1" t="s">
        <v>3302</v>
      </c>
      <c r="Y725" s="1">
        <v>0.68300000000000005</v>
      </c>
      <c r="Z725" s="1">
        <v>0.29499999999999998</v>
      </c>
      <c r="AA725" s="1">
        <v>0.439</v>
      </c>
      <c r="AB725" s="1">
        <v>4.5999999999999996</v>
      </c>
      <c r="AC725" s="1">
        <v>0</v>
      </c>
      <c r="AD725" s="1">
        <v>0</v>
      </c>
      <c r="AE725" s="1">
        <v>0.28999999999999998</v>
      </c>
      <c r="AF725" s="1">
        <v>0</v>
      </c>
      <c r="AH725" s="8" t="s">
        <v>3303</v>
      </c>
      <c r="AI725" s="8">
        <v>16</v>
      </c>
      <c r="AJ725" s="8" t="s">
        <v>3304</v>
      </c>
      <c r="AK725" s="8">
        <v>1.8</v>
      </c>
      <c r="AM725" s="1" t="s">
        <v>3302</v>
      </c>
      <c r="AT725" s="8" t="s">
        <v>1607</v>
      </c>
    </row>
    <row r="726" spans="1:46">
      <c r="A726" s="1" t="s">
        <v>3305</v>
      </c>
      <c r="C726" s="1" t="s">
        <v>3305</v>
      </c>
      <c r="D726" s="1" t="s">
        <v>3306</v>
      </c>
      <c r="E726" s="1" t="s">
        <v>1394</v>
      </c>
      <c r="F726" s="1" t="s">
        <v>3300</v>
      </c>
      <c r="G726" s="1" t="s">
        <v>456</v>
      </c>
      <c r="H726" s="2" t="s">
        <v>3301</v>
      </c>
      <c r="I726" s="1">
        <v>23</v>
      </c>
      <c r="J726" s="1">
        <v>0.2</v>
      </c>
      <c r="K726" s="1">
        <v>10</v>
      </c>
      <c r="L726" s="1" t="s">
        <v>65</v>
      </c>
      <c r="M726" s="1">
        <v>11.867000000000001</v>
      </c>
      <c r="N726" s="1">
        <v>71.900000000000006</v>
      </c>
      <c r="O726" s="1">
        <v>71.536500000000004</v>
      </c>
      <c r="P726" s="1">
        <v>-157.7331667</v>
      </c>
      <c r="Q726" s="1">
        <v>4.3885500000000004</v>
      </c>
      <c r="R726" s="1">
        <v>27.582599999999999</v>
      </c>
      <c r="S726" s="1">
        <v>344.33631000000003</v>
      </c>
      <c r="W726" s="3">
        <v>0.54430000000000001</v>
      </c>
      <c r="X726" s="1" t="s">
        <v>3307</v>
      </c>
      <c r="Y726" s="1">
        <v>0.77800000000000002</v>
      </c>
      <c r="Z726" s="1">
        <v>0.33400000000000002</v>
      </c>
      <c r="AA726" s="1">
        <v>0.436</v>
      </c>
      <c r="AB726" s="1">
        <v>4.8</v>
      </c>
      <c r="AC726" s="1">
        <v>0</v>
      </c>
      <c r="AD726" s="1">
        <v>0.01</v>
      </c>
      <c r="AE726" s="1">
        <v>0.26</v>
      </c>
      <c r="AF726" s="1">
        <v>0.01</v>
      </c>
      <c r="AH726" s="8" t="s">
        <v>3308</v>
      </c>
      <c r="AI726" s="8">
        <v>14</v>
      </c>
      <c r="AJ726" s="8" t="s">
        <v>3309</v>
      </c>
      <c r="AK726" s="8">
        <v>2.1</v>
      </c>
      <c r="AM726" s="1" t="s">
        <v>3307</v>
      </c>
      <c r="AT726" s="8" t="s">
        <v>1607</v>
      </c>
    </row>
    <row r="727" spans="1:46">
      <c r="A727" s="1" t="s">
        <v>3310</v>
      </c>
      <c r="C727" s="1" t="s">
        <v>3310</v>
      </c>
      <c r="D727" s="1" t="s">
        <v>3311</v>
      </c>
      <c r="E727" s="1" t="s">
        <v>1394</v>
      </c>
      <c r="F727" s="1" t="s">
        <v>3300</v>
      </c>
      <c r="G727" s="1" t="s">
        <v>456</v>
      </c>
      <c r="H727" s="2" t="s">
        <v>3301</v>
      </c>
      <c r="I727" s="1">
        <v>23</v>
      </c>
      <c r="J727" s="1">
        <v>0.2</v>
      </c>
      <c r="K727" s="1">
        <v>20</v>
      </c>
      <c r="L727" s="1" t="s">
        <v>65</v>
      </c>
      <c r="M727" s="1">
        <v>23.218</v>
      </c>
      <c r="N727" s="1">
        <v>71.900000000000006</v>
      </c>
      <c r="O727" s="1">
        <v>71.536500000000004</v>
      </c>
      <c r="P727" s="1">
        <v>-157.7331667</v>
      </c>
      <c r="Q727" s="1">
        <v>3.4241000000000001</v>
      </c>
      <c r="R727" s="1">
        <v>31.026949999999999</v>
      </c>
      <c r="S727" s="1">
        <v>359.03424510000002</v>
      </c>
      <c r="W727" s="3">
        <v>0.50560000000000005</v>
      </c>
      <c r="X727" s="1" t="s">
        <v>2240</v>
      </c>
      <c r="Y727" s="1">
        <v>0.94299999999999995</v>
      </c>
      <c r="Z727" s="1">
        <v>0.35599999999999998</v>
      </c>
      <c r="AA727" s="1">
        <v>0.59499999999999997</v>
      </c>
      <c r="AB727" s="1">
        <v>3.8</v>
      </c>
      <c r="AC727" s="1">
        <v>0</v>
      </c>
      <c r="AD727" s="1">
        <v>0.01</v>
      </c>
      <c r="AE727" s="1">
        <v>0.43</v>
      </c>
      <c r="AF727" s="1">
        <v>0.01</v>
      </c>
      <c r="AH727" s="8" t="s">
        <v>3312</v>
      </c>
      <c r="AI727" s="8">
        <v>12</v>
      </c>
      <c r="AJ727" s="8" t="s">
        <v>3313</v>
      </c>
      <c r="AK727" s="8">
        <v>2.1</v>
      </c>
      <c r="AM727" s="1" t="s">
        <v>2240</v>
      </c>
      <c r="AT727" s="8" t="s">
        <v>1607</v>
      </c>
    </row>
    <row r="728" spans="1:46">
      <c r="A728" s="1" t="s">
        <v>3314</v>
      </c>
      <c r="C728" s="1" t="s">
        <v>3314</v>
      </c>
      <c r="D728" s="1" t="s">
        <v>3315</v>
      </c>
      <c r="E728" s="1" t="s">
        <v>1394</v>
      </c>
      <c r="F728" s="1" t="s">
        <v>3300</v>
      </c>
      <c r="G728" s="1" t="s">
        <v>456</v>
      </c>
      <c r="H728" s="2" t="s">
        <v>3301</v>
      </c>
      <c r="I728" s="1">
        <v>23</v>
      </c>
      <c r="J728" s="1">
        <v>0.2</v>
      </c>
      <c r="K728" s="1">
        <v>30</v>
      </c>
      <c r="L728" s="1" t="s">
        <v>65</v>
      </c>
      <c r="M728" s="1">
        <v>30.047000000000001</v>
      </c>
      <c r="N728" s="1">
        <v>71.900000000000006</v>
      </c>
      <c r="O728" s="1">
        <v>71.536500000000004</v>
      </c>
      <c r="P728" s="1">
        <v>-157.7331667</v>
      </c>
      <c r="Q728" s="1">
        <v>1.4215</v>
      </c>
      <c r="R728" s="1">
        <v>31.558499999999999</v>
      </c>
      <c r="S728" s="1">
        <v>372.86129069999998</v>
      </c>
      <c r="W728" s="3">
        <v>0.29260000000000003</v>
      </c>
      <c r="X728" s="1" t="s">
        <v>2249</v>
      </c>
      <c r="Y728" s="1">
        <v>0.254</v>
      </c>
      <c r="Z728" s="1">
        <v>0.13700000000000001</v>
      </c>
      <c r="AA728" s="1">
        <v>0.74099999999999999</v>
      </c>
      <c r="AB728" s="1">
        <v>4.4000000000000004</v>
      </c>
      <c r="AC728" s="1">
        <v>0.3</v>
      </c>
      <c r="AD728" s="1">
        <v>7.0000000000000007E-2</v>
      </c>
      <c r="AE728" s="1">
        <v>0.28000000000000003</v>
      </c>
      <c r="AF728" s="1">
        <v>0.37</v>
      </c>
      <c r="AH728" s="8" t="s">
        <v>3316</v>
      </c>
      <c r="AI728" s="8">
        <v>10</v>
      </c>
      <c r="AJ728" s="8" t="s">
        <v>3317</v>
      </c>
      <c r="AK728" s="8">
        <v>1.7</v>
      </c>
      <c r="AM728" s="1" t="s">
        <v>2249</v>
      </c>
      <c r="AT728" s="8" t="s">
        <v>1607</v>
      </c>
    </row>
    <row r="729" spans="1:46">
      <c r="A729" s="1" t="s">
        <v>3318</v>
      </c>
      <c r="C729" s="1" t="s">
        <v>3318</v>
      </c>
      <c r="D729" s="1" t="s">
        <v>3319</v>
      </c>
      <c r="E729" s="1" t="s">
        <v>1394</v>
      </c>
      <c r="F729" s="1" t="s">
        <v>3300</v>
      </c>
      <c r="G729" s="1" t="s">
        <v>456</v>
      </c>
      <c r="H729" s="2" t="s">
        <v>3301</v>
      </c>
      <c r="I729" s="1">
        <v>23</v>
      </c>
      <c r="J729" s="1">
        <v>0.2</v>
      </c>
      <c r="K729" s="1">
        <v>40</v>
      </c>
      <c r="L729" s="1" t="s">
        <v>65</v>
      </c>
      <c r="M729" s="1">
        <v>42.061</v>
      </c>
      <c r="N729" s="1">
        <v>71.900000000000006</v>
      </c>
      <c r="O729" s="1">
        <v>71.536500000000004</v>
      </c>
      <c r="P729" s="1">
        <v>-157.7331667</v>
      </c>
      <c r="Q729" s="1">
        <v>1.72095</v>
      </c>
      <c r="R729" s="1">
        <v>31.885449999999999</v>
      </c>
      <c r="S729" s="1">
        <v>338.41872749999999</v>
      </c>
      <c r="W729" s="3">
        <v>0.21360000000000001</v>
      </c>
      <c r="X729" s="1" t="s">
        <v>2258</v>
      </c>
      <c r="Y729" s="1">
        <v>0.154</v>
      </c>
      <c r="Z729" s="1">
        <v>8.5000000000000006E-2</v>
      </c>
      <c r="AA729" s="1">
        <v>1.052</v>
      </c>
      <c r="AB729" s="1">
        <v>6.9</v>
      </c>
      <c r="AC729" s="1">
        <v>2</v>
      </c>
      <c r="AD729" s="1">
        <v>0.11</v>
      </c>
      <c r="AE729" s="1">
        <v>1.1299999999999999</v>
      </c>
      <c r="AF729" s="1">
        <v>2.11</v>
      </c>
      <c r="AH729" s="8" t="s">
        <v>3320</v>
      </c>
      <c r="AI729" s="8">
        <v>8</v>
      </c>
      <c r="AJ729" s="8" t="s">
        <v>3321</v>
      </c>
      <c r="AK729" s="8">
        <v>1.6</v>
      </c>
      <c r="AM729" s="1" t="s">
        <v>2258</v>
      </c>
      <c r="AT729" s="8" t="s">
        <v>1607</v>
      </c>
    </row>
    <row r="730" spans="1:46">
      <c r="A730" s="1" t="s">
        <v>3322</v>
      </c>
      <c r="C730" s="1" t="s">
        <v>3322</v>
      </c>
      <c r="D730" s="1" t="s">
        <v>3323</v>
      </c>
      <c r="E730" s="1" t="s">
        <v>1394</v>
      </c>
      <c r="F730" s="1" t="s">
        <v>3300</v>
      </c>
      <c r="G730" s="1" t="s">
        <v>456</v>
      </c>
      <c r="H730" s="2" t="s">
        <v>3301</v>
      </c>
      <c r="I730" s="1">
        <v>23</v>
      </c>
      <c r="J730" s="1">
        <v>0.2</v>
      </c>
      <c r="K730" s="1">
        <v>50</v>
      </c>
      <c r="L730" s="1" t="s">
        <v>65</v>
      </c>
      <c r="M730" s="1">
        <v>51.686999999999998</v>
      </c>
      <c r="N730" s="1">
        <v>71.900000000000006</v>
      </c>
      <c r="O730" s="1">
        <v>71.536500000000004</v>
      </c>
      <c r="P730" s="1">
        <v>-157.7331667</v>
      </c>
      <c r="Q730" s="1">
        <v>1.8367</v>
      </c>
      <c r="R730" s="1">
        <v>32.093350000000001</v>
      </c>
      <c r="S730" s="1">
        <v>295.71387929999997</v>
      </c>
      <c r="W730" s="3">
        <v>0.21540000000000001</v>
      </c>
      <c r="X730" s="1" t="s">
        <v>2267</v>
      </c>
      <c r="Y730" s="1">
        <v>0.13300000000000001</v>
      </c>
      <c r="Z730" s="1">
        <v>0.19500000000000001</v>
      </c>
      <c r="AA730" s="1">
        <v>1.331</v>
      </c>
      <c r="AB730" s="1">
        <v>13</v>
      </c>
      <c r="AC730" s="1">
        <v>2.7</v>
      </c>
      <c r="AD730" s="1">
        <v>0.16</v>
      </c>
      <c r="AE730" s="1">
        <v>3.54</v>
      </c>
      <c r="AF730" s="1">
        <v>2.86</v>
      </c>
      <c r="AH730" s="8" t="s">
        <v>3324</v>
      </c>
      <c r="AI730" s="8">
        <v>6</v>
      </c>
      <c r="AJ730" s="8" t="s">
        <v>3325</v>
      </c>
      <c r="AK730" s="8">
        <v>2</v>
      </c>
      <c r="AM730" s="1" t="s">
        <v>2267</v>
      </c>
      <c r="AT730" s="8" t="s">
        <v>1607</v>
      </c>
    </row>
    <row r="731" spans="1:46">
      <c r="A731" s="1" t="s">
        <v>3326</v>
      </c>
      <c r="C731" s="1" t="s">
        <v>3326</v>
      </c>
      <c r="D731" s="1" t="s">
        <v>3327</v>
      </c>
      <c r="E731" s="1" t="s">
        <v>1394</v>
      </c>
      <c r="F731" s="1" t="s">
        <v>3300</v>
      </c>
      <c r="G731" s="1" t="s">
        <v>456</v>
      </c>
      <c r="H731" s="2" t="s">
        <v>3301</v>
      </c>
      <c r="I731" s="1">
        <v>23</v>
      </c>
      <c r="J731" s="1">
        <v>0.2</v>
      </c>
      <c r="K731" s="1">
        <v>67</v>
      </c>
      <c r="L731" s="1" t="s">
        <v>78</v>
      </c>
      <c r="M731" s="1">
        <v>66.182000000000002</v>
      </c>
      <c r="N731" s="1">
        <v>71.900000000000006</v>
      </c>
      <c r="O731" s="1">
        <v>71.536500000000004</v>
      </c>
      <c r="P731" s="1">
        <v>-157.7331667</v>
      </c>
      <c r="Q731" s="1">
        <v>0.37369999999999998</v>
      </c>
      <c r="R731" s="1">
        <v>32.129899999999999</v>
      </c>
      <c r="S731" s="1">
        <v>282.10567259999999</v>
      </c>
      <c r="W731" s="3">
        <v>0.2651</v>
      </c>
      <c r="X731" s="1" t="s">
        <v>2286</v>
      </c>
      <c r="AA731" s="1">
        <v>1.579</v>
      </c>
      <c r="AB731" s="1">
        <v>19.3</v>
      </c>
      <c r="AC731" s="1">
        <v>5.3</v>
      </c>
      <c r="AD731" s="1">
        <v>0.22</v>
      </c>
      <c r="AE731" s="1">
        <v>3.22</v>
      </c>
      <c r="AF731" s="1">
        <v>5.52</v>
      </c>
      <c r="AH731" s="8" t="s">
        <v>3328</v>
      </c>
      <c r="AI731" s="8">
        <v>4</v>
      </c>
      <c r="AJ731" s="8" t="s">
        <v>3329</v>
      </c>
      <c r="AK731" s="8">
        <v>2</v>
      </c>
      <c r="AM731" s="1" t="s">
        <v>2286</v>
      </c>
      <c r="AT731" s="8" t="s">
        <v>1607</v>
      </c>
    </row>
    <row r="732" spans="1:46">
      <c r="A732" s="1" t="s">
        <v>3330</v>
      </c>
      <c r="C732" s="1" t="s">
        <v>3330</v>
      </c>
      <c r="D732" s="1" t="s">
        <v>3331</v>
      </c>
      <c r="E732" s="1" t="s">
        <v>1394</v>
      </c>
      <c r="F732" s="1" t="s">
        <v>3332</v>
      </c>
      <c r="G732" s="1" t="s">
        <v>456</v>
      </c>
      <c r="H732" s="2" t="s">
        <v>3333</v>
      </c>
      <c r="I732" s="1">
        <v>22</v>
      </c>
      <c r="J732" s="1">
        <v>0.2</v>
      </c>
      <c r="K732" s="1">
        <v>6</v>
      </c>
      <c r="L732" s="1" t="s">
        <v>65</v>
      </c>
      <c r="M732" s="1">
        <v>7.2069999999999999</v>
      </c>
      <c r="N732" s="1">
        <v>64.599999999999994</v>
      </c>
      <c r="O732" s="1">
        <v>71.578666670000004</v>
      </c>
      <c r="P732" s="1">
        <v>-157.8113333</v>
      </c>
      <c r="Q732" s="1">
        <v>4.7330500000000004</v>
      </c>
      <c r="R732" s="1">
        <v>28.08935</v>
      </c>
      <c r="S732" s="1">
        <v>340.37934539999998</v>
      </c>
      <c r="W732" s="3">
        <v>0.58309999999999995</v>
      </c>
      <c r="X732" s="1" t="s">
        <v>428</v>
      </c>
      <c r="Y732" s="1">
        <v>0.97599999999999998</v>
      </c>
      <c r="Z732" s="1">
        <v>0.38400000000000001</v>
      </c>
      <c r="AA732" s="1">
        <v>0.45900000000000002</v>
      </c>
      <c r="AB732" s="1">
        <v>4.8</v>
      </c>
      <c r="AC732" s="1">
        <v>0</v>
      </c>
      <c r="AD732" s="1">
        <v>0</v>
      </c>
      <c r="AE732" s="1">
        <v>0.27</v>
      </c>
      <c r="AF732" s="1">
        <v>0</v>
      </c>
      <c r="AH732" s="8" t="s">
        <v>3334</v>
      </c>
      <c r="AI732" s="8">
        <v>16</v>
      </c>
      <c r="AJ732" s="8" t="s">
        <v>3335</v>
      </c>
      <c r="AK732" s="8">
        <v>2.5</v>
      </c>
      <c r="AM732" s="1" t="s">
        <v>428</v>
      </c>
      <c r="AT732" s="8" t="s">
        <v>1607</v>
      </c>
    </row>
    <row r="733" spans="1:46">
      <c r="A733" s="1" t="s">
        <v>3336</v>
      </c>
      <c r="C733" s="1" t="s">
        <v>3336</v>
      </c>
      <c r="D733" s="1" t="s">
        <v>3337</v>
      </c>
      <c r="E733" s="1" t="s">
        <v>1394</v>
      </c>
      <c r="F733" s="1" t="s">
        <v>3332</v>
      </c>
      <c r="G733" s="1" t="s">
        <v>456</v>
      </c>
      <c r="H733" s="2" t="s">
        <v>3333</v>
      </c>
      <c r="I733" s="1">
        <v>22</v>
      </c>
      <c r="J733" s="1">
        <v>0.2</v>
      </c>
      <c r="K733" s="1">
        <v>10</v>
      </c>
      <c r="L733" s="1" t="s">
        <v>65</v>
      </c>
      <c r="M733" s="1">
        <v>9.5440000000000005</v>
      </c>
      <c r="N733" s="1">
        <v>64.599999999999994</v>
      </c>
      <c r="O733" s="1">
        <v>71.578666670000004</v>
      </c>
      <c r="P733" s="1">
        <v>-157.8113333</v>
      </c>
      <c r="Q733" s="1">
        <v>4.7087500000000002</v>
      </c>
      <c r="R733" s="1">
        <v>28.080850000000002</v>
      </c>
      <c r="S733" s="1">
        <v>340.51332839999998</v>
      </c>
      <c r="W733" s="3">
        <v>0.54579999999999995</v>
      </c>
      <c r="X733" s="1" t="s">
        <v>3338</v>
      </c>
      <c r="Y733" s="1">
        <v>0.97499999999999998</v>
      </c>
      <c r="Z733" s="1">
        <v>0.40300000000000002</v>
      </c>
      <c r="AA733" s="1">
        <v>0.46</v>
      </c>
      <c r="AB733" s="1">
        <v>4.8</v>
      </c>
      <c r="AC733" s="1">
        <v>0</v>
      </c>
      <c r="AD733" s="1">
        <v>0</v>
      </c>
      <c r="AE733" s="1">
        <v>0.27</v>
      </c>
      <c r="AF733" s="1">
        <v>0</v>
      </c>
      <c r="AH733" s="8" t="s">
        <v>3339</v>
      </c>
      <c r="AI733" s="8">
        <v>14</v>
      </c>
      <c r="AJ733" s="8" t="s">
        <v>3340</v>
      </c>
      <c r="AK733" s="8">
        <v>2</v>
      </c>
      <c r="AM733" s="1" t="s">
        <v>3338</v>
      </c>
      <c r="AT733" s="8" t="s">
        <v>1607</v>
      </c>
    </row>
    <row r="734" spans="1:46">
      <c r="A734" s="1" t="s">
        <v>3341</v>
      </c>
      <c r="C734" s="1" t="s">
        <v>3341</v>
      </c>
      <c r="D734" s="1" t="s">
        <v>3342</v>
      </c>
      <c r="E734" s="1" t="s">
        <v>1394</v>
      </c>
      <c r="F734" s="1" t="s">
        <v>3332</v>
      </c>
      <c r="G734" s="1" t="s">
        <v>456</v>
      </c>
      <c r="H734" s="2" t="s">
        <v>3333</v>
      </c>
      <c r="I734" s="1">
        <v>22</v>
      </c>
      <c r="J734" s="1">
        <v>0.2</v>
      </c>
      <c r="K734" s="1">
        <v>19</v>
      </c>
      <c r="L734" s="1" t="s">
        <v>65</v>
      </c>
      <c r="M734" s="1">
        <v>19.260000000000002</v>
      </c>
      <c r="N734" s="1">
        <v>64.599999999999994</v>
      </c>
      <c r="O734" s="1">
        <v>71.578666670000004</v>
      </c>
      <c r="P734" s="1">
        <v>-157.8113333</v>
      </c>
      <c r="Q734" s="1">
        <v>6.2369500000000002</v>
      </c>
      <c r="R734" s="1">
        <v>30.964300000000001</v>
      </c>
      <c r="S734" s="1">
        <v>319.29042120000003</v>
      </c>
      <c r="W734" s="3">
        <v>0.78200000000000003</v>
      </c>
      <c r="X734" s="1" t="s">
        <v>3343</v>
      </c>
      <c r="Y734" s="1">
        <v>1.617</v>
      </c>
      <c r="Z734" s="1">
        <v>0.57699999999999996</v>
      </c>
      <c r="AA734" s="1">
        <v>0.54600000000000004</v>
      </c>
      <c r="AB734" s="1">
        <v>3.7</v>
      </c>
      <c r="AC734" s="1">
        <v>0</v>
      </c>
      <c r="AD734" s="1">
        <v>0</v>
      </c>
      <c r="AE734" s="1">
        <v>0.25</v>
      </c>
      <c r="AF734" s="1">
        <v>0</v>
      </c>
      <c r="AH734" s="8" t="s">
        <v>3344</v>
      </c>
      <c r="AI734" s="8">
        <v>12</v>
      </c>
      <c r="AJ734" s="8" t="s">
        <v>3345</v>
      </c>
      <c r="AK734" s="8">
        <v>2.4</v>
      </c>
      <c r="AM734" s="1" t="s">
        <v>3343</v>
      </c>
      <c r="AT734" s="8" t="s">
        <v>1607</v>
      </c>
    </row>
    <row r="735" spans="1:46">
      <c r="A735" s="1" t="s">
        <v>3346</v>
      </c>
      <c r="C735" s="1" t="s">
        <v>3346</v>
      </c>
      <c r="D735" s="1" t="s">
        <v>3347</v>
      </c>
      <c r="E735" s="1" t="s">
        <v>1394</v>
      </c>
      <c r="F735" s="1" t="s">
        <v>3332</v>
      </c>
      <c r="G735" s="1" t="s">
        <v>456</v>
      </c>
      <c r="H735" s="2" t="s">
        <v>3333</v>
      </c>
      <c r="I735" s="1">
        <v>22</v>
      </c>
      <c r="J735" s="1">
        <v>0.2</v>
      </c>
      <c r="K735" s="1">
        <v>30</v>
      </c>
      <c r="L735" s="1" t="s">
        <v>65</v>
      </c>
      <c r="M735" s="1">
        <v>30.260999999999999</v>
      </c>
      <c r="N735" s="1">
        <v>64.599999999999994</v>
      </c>
      <c r="O735" s="1">
        <v>71.578666670000004</v>
      </c>
      <c r="P735" s="1">
        <v>-157.8113333</v>
      </c>
      <c r="Q735" s="1">
        <v>1.39575</v>
      </c>
      <c r="R735" s="1">
        <v>31.384250000000002</v>
      </c>
      <c r="S735" s="1">
        <v>383.04846479999998</v>
      </c>
      <c r="W735" s="3">
        <v>0.31440000000000001</v>
      </c>
      <c r="X735" s="1" t="s">
        <v>3348</v>
      </c>
      <c r="Y735" s="1">
        <v>0.29699999999999999</v>
      </c>
      <c r="Z735" s="1">
        <v>0.23400000000000001</v>
      </c>
      <c r="AA735" s="1">
        <v>0.69799999999999995</v>
      </c>
      <c r="AB735" s="1">
        <v>4.5999999999999996</v>
      </c>
      <c r="AC735" s="1">
        <v>0.1</v>
      </c>
      <c r="AD735" s="1">
        <v>0.05</v>
      </c>
      <c r="AE735" s="1">
        <v>0.2</v>
      </c>
      <c r="AF735" s="1">
        <v>0.15</v>
      </c>
      <c r="AH735" s="8" t="s">
        <v>3349</v>
      </c>
      <c r="AI735" s="8">
        <v>10</v>
      </c>
      <c r="AJ735" s="8" t="s">
        <v>3350</v>
      </c>
      <c r="AK735" s="8">
        <v>2.1</v>
      </c>
      <c r="AM735" s="1" t="s">
        <v>3348</v>
      </c>
      <c r="AT735" s="8" t="s">
        <v>1607</v>
      </c>
    </row>
    <row r="736" spans="1:46">
      <c r="A736" s="1" t="s">
        <v>3351</v>
      </c>
      <c r="C736" s="1" t="s">
        <v>3351</v>
      </c>
      <c r="D736" s="1" t="s">
        <v>3352</v>
      </c>
      <c r="E736" s="1" t="s">
        <v>1394</v>
      </c>
      <c r="F736" s="1" t="s">
        <v>3332</v>
      </c>
      <c r="G736" s="1" t="s">
        <v>456</v>
      </c>
      <c r="H736" s="2" t="s">
        <v>3333</v>
      </c>
      <c r="I736" s="1">
        <v>22</v>
      </c>
      <c r="J736" s="1">
        <v>0.2</v>
      </c>
      <c r="K736" s="1">
        <v>40</v>
      </c>
      <c r="L736" s="1" t="s">
        <v>65</v>
      </c>
      <c r="M736" s="1">
        <v>39.896999999999998</v>
      </c>
      <c r="N736" s="1">
        <v>64.599999999999994</v>
      </c>
      <c r="O736" s="1">
        <v>71.578666670000004</v>
      </c>
      <c r="P736" s="1">
        <v>-157.8113333</v>
      </c>
      <c r="Q736" s="1">
        <v>0.93264999999999998</v>
      </c>
      <c r="R736" s="1">
        <v>31.859549999999999</v>
      </c>
      <c r="S736" s="1">
        <v>343.2063867</v>
      </c>
      <c r="W736" s="3">
        <v>0.218</v>
      </c>
      <c r="X736" s="1" t="s">
        <v>3353</v>
      </c>
      <c r="Y736" s="1">
        <v>0.13500000000000001</v>
      </c>
      <c r="Z736" s="1">
        <v>7.0000000000000007E-2</v>
      </c>
      <c r="AA736" s="1">
        <v>1.0469999999999999</v>
      </c>
      <c r="AB736" s="1">
        <v>5.8</v>
      </c>
      <c r="AC736" s="1">
        <v>1.9</v>
      </c>
      <c r="AD736" s="1">
        <v>0.17</v>
      </c>
      <c r="AE736" s="1">
        <v>1.31</v>
      </c>
      <c r="AF736" s="1">
        <v>2.0699999999999998</v>
      </c>
      <c r="AH736" s="8" t="s">
        <v>3354</v>
      </c>
      <c r="AI736" s="8">
        <v>8</v>
      </c>
      <c r="AJ736" s="8" t="s">
        <v>3355</v>
      </c>
      <c r="AK736" s="8">
        <v>2.6</v>
      </c>
      <c r="AM736" s="1" t="s">
        <v>3353</v>
      </c>
      <c r="AT736" s="8" t="s">
        <v>1607</v>
      </c>
    </row>
    <row r="737" spans="1:46">
      <c r="A737" s="1" t="s">
        <v>3356</v>
      </c>
      <c r="C737" s="1" t="s">
        <v>3356</v>
      </c>
      <c r="D737" s="1" t="s">
        <v>3357</v>
      </c>
      <c r="E737" s="1" t="s">
        <v>1394</v>
      </c>
      <c r="F737" s="1" t="s">
        <v>3332</v>
      </c>
      <c r="G737" s="1" t="s">
        <v>456</v>
      </c>
      <c r="H737" s="2" t="s">
        <v>3333</v>
      </c>
      <c r="I737" s="1">
        <v>22</v>
      </c>
      <c r="J737" s="1">
        <v>0.2</v>
      </c>
      <c r="K737" s="1">
        <v>50</v>
      </c>
      <c r="L737" s="1" t="s">
        <v>65</v>
      </c>
      <c r="M737" s="1">
        <v>50.890999999999998</v>
      </c>
      <c r="N737" s="1">
        <v>64.599999999999994</v>
      </c>
      <c r="O737" s="1">
        <v>71.578666670000004</v>
      </c>
      <c r="P737" s="1">
        <v>-157.8113333</v>
      </c>
      <c r="Q737" s="1">
        <v>0.73165000000000002</v>
      </c>
      <c r="R737" s="1">
        <v>31.9832</v>
      </c>
      <c r="S737" s="1">
        <v>326.76667259999999</v>
      </c>
      <c r="W737" s="3">
        <v>0.2077</v>
      </c>
      <c r="X737" s="1" t="s">
        <v>3358</v>
      </c>
      <c r="Y737" s="1">
        <v>0.108</v>
      </c>
      <c r="Z737" s="1">
        <v>0.18</v>
      </c>
      <c r="AA737" s="1">
        <v>1.238</v>
      </c>
      <c r="AB737" s="1">
        <v>9.1</v>
      </c>
      <c r="AC737" s="1">
        <v>2.4</v>
      </c>
      <c r="AD737" s="1">
        <v>0.19</v>
      </c>
      <c r="AE737" s="1">
        <v>2.27</v>
      </c>
      <c r="AF737" s="1">
        <v>2.59</v>
      </c>
      <c r="AH737" s="8" t="s">
        <v>3359</v>
      </c>
      <c r="AI737" s="8">
        <v>6</v>
      </c>
      <c r="AJ737" s="8" t="s">
        <v>3360</v>
      </c>
      <c r="AK737" s="8">
        <v>2</v>
      </c>
      <c r="AM737" s="1" t="s">
        <v>3358</v>
      </c>
      <c r="AT737" s="8" t="s">
        <v>1607</v>
      </c>
    </row>
    <row r="738" spans="1:46">
      <c r="A738" s="1" t="s">
        <v>3361</v>
      </c>
      <c r="C738" s="1" t="s">
        <v>3361</v>
      </c>
      <c r="D738" s="1" t="s">
        <v>3362</v>
      </c>
      <c r="E738" s="1" t="s">
        <v>1394</v>
      </c>
      <c r="F738" s="1" t="s">
        <v>3332</v>
      </c>
      <c r="G738" s="1" t="s">
        <v>456</v>
      </c>
      <c r="H738" s="2" t="s">
        <v>3333</v>
      </c>
      <c r="I738" s="1">
        <v>22</v>
      </c>
      <c r="J738" s="1">
        <v>0.2</v>
      </c>
      <c r="K738" s="1">
        <v>62</v>
      </c>
      <c r="L738" s="1" t="s">
        <v>78</v>
      </c>
      <c r="M738" s="1">
        <v>62.374000000000002</v>
      </c>
      <c r="N738" s="1">
        <v>64.599999999999994</v>
      </c>
      <c r="O738" s="1">
        <v>71.578666670000004</v>
      </c>
      <c r="P738" s="1">
        <v>-157.8113333</v>
      </c>
      <c r="Q738" s="1">
        <v>0.35799999999999998</v>
      </c>
      <c r="R738" s="1">
        <v>32.0413</v>
      </c>
      <c r="S738" s="1">
        <v>301.15358909999998</v>
      </c>
      <c r="W738" s="3">
        <v>0.25059999999999999</v>
      </c>
      <c r="X738" s="1" t="s">
        <v>3363</v>
      </c>
      <c r="Y738" s="1">
        <v>0.156</v>
      </c>
      <c r="Z738" s="1">
        <v>0.252</v>
      </c>
      <c r="AA738" s="1">
        <v>1.4179999999999999</v>
      </c>
      <c r="AB738" s="1">
        <v>14.4</v>
      </c>
      <c r="AC738" s="1">
        <v>3.9</v>
      </c>
      <c r="AD738" s="1">
        <v>0.21</v>
      </c>
      <c r="AE738" s="1">
        <v>2.68</v>
      </c>
      <c r="AF738" s="1">
        <v>4.1100000000000003</v>
      </c>
      <c r="AH738" s="8" t="s">
        <v>3364</v>
      </c>
      <c r="AI738" s="8">
        <v>4</v>
      </c>
      <c r="AJ738" s="8" t="s">
        <v>3365</v>
      </c>
      <c r="AK738" s="8">
        <v>2.4</v>
      </c>
      <c r="AM738" s="1" t="s">
        <v>3363</v>
      </c>
      <c r="AT738" s="8" t="s">
        <v>1607</v>
      </c>
    </row>
    <row r="739" spans="1:46">
      <c r="A739" s="1" t="s">
        <v>1153</v>
      </c>
      <c r="B739" s="1">
        <v>167</v>
      </c>
      <c r="C739" s="1" t="s">
        <v>1153</v>
      </c>
      <c r="D739" s="1" t="s">
        <v>1154</v>
      </c>
      <c r="E739" s="1" t="s">
        <v>47</v>
      </c>
      <c r="F739" s="1" t="s">
        <v>1155</v>
      </c>
      <c r="G739" s="1" t="s">
        <v>456</v>
      </c>
      <c r="H739" s="2" t="s">
        <v>1156</v>
      </c>
      <c r="I739" s="1">
        <v>89</v>
      </c>
      <c r="J739" s="1">
        <v>0.2</v>
      </c>
      <c r="K739" s="1" t="s">
        <v>52</v>
      </c>
      <c r="L739" s="1" t="s">
        <v>52</v>
      </c>
      <c r="M739" s="1">
        <v>4.0199999999999996</v>
      </c>
      <c r="N739" s="1">
        <v>23</v>
      </c>
      <c r="O739" s="1">
        <v>67.603960000000001</v>
      </c>
      <c r="P739" s="1">
        <v>-164.43068</v>
      </c>
      <c r="Q739" s="1">
        <v>3.3935</v>
      </c>
      <c r="R739" s="1">
        <v>30.401</v>
      </c>
      <c r="S739" s="1">
        <v>375.19600000000003</v>
      </c>
      <c r="T739" s="1">
        <v>143.91999999999999</v>
      </c>
      <c r="U739" s="1">
        <v>25.72</v>
      </c>
      <c r="V739" s="1">
        <v>1559.99999999999</v>
      </c>
      <c r="W739" s="3">
        <v>0.4738</v>
      </c>
      <c r="X739" s="1" t="s">
        <v>1157</v>
      </c>
      <c r="Y739" s="1">
        <v>0.5</v>
      </c>
      <c r="Z739" s="1">
        <v>0.01</v>
      </c>
      <c r="AA739" s="1">
        <v>0.51200000000000001</v>
      </c>
      <c r="AB739" s="1">
        <v>3.7</v>
      </c>
      <c r="AC739" s="1">
        <v>0.1</v>
      </c>
      <c r="AD739" s="1">
        <v>0</v>
      </c>
      <c r="AE739" s="1">
        <v>0.02</v>
      </c>
      <c r="AF739" s="1">
        <v>0.1</v>
      </c>
      <c r="AH739" s="1" t="s">
        <v>1158</v>
      </c>
      <c r="AI739" s="1">
        <v>3</v>
      </c>
      <c r="AJ739" s="1" t="s">
        <v>1157</v>
      </c>
      <c r="AK739" s="1">
        <v>2</v>
      </c>
      <c r="AL739" s="1">
        <v>89.794799999999995</v>
      </c>
      <c r="AM739" s="1" t="s">
        <v>1157</v>
      </c>
      <c r="AN739" s="1">
        <v>5.59564541213064</v>
      </c>
      <c r="AO739" s="1">
        <v>0.84462572258575697</v>
      </c>
    </row>
    <row r="740" spans="1:46">
      <c r="A740" s="1" t="s">
        <v>1159</v>
      </c>
      <c r="B740" s="1">
        <v>168</v>
      </c>
      <c r="C740" s="1" t="s">
        <v>1159</v>
      </c>
      <c r="D740" s="1" t="s">
        <v>1160</v>
      </c>
      <c r="E740" s="1" t="s">
        <v>47</v>
      </c>
      <c r="F740" s="1" t="s">
        <v>1155</v>
      </c>
      <c r="G740" s="1" t="s">
        <v>456</v>
      </c>
      <c r="H740" s="2" t="s">
        <v>1156</v>
      </c>
      <c r="I740" s="1">
        <v>89</v>
      </c>
      <c r="J740" s="1">
        <v>0.2</v>
      </c>
      <c r="K740" s="1" t="s">
        <v>65</v>
      </c>
      <c r="L740" s="1" t="s">
        <v>65</v>
      </c>
      <c r="M740" s="1">
        <v>9.61</v>
      </c>
      <c r="N740" s="1">
        <v>23</v>
      </c>
      <c r="O740" s="1">
        <v>67.603960000000001</v>
      </c>
      <c r="P740" s="1">
        <v>-164.43065999999999</v>
      </c>
      <c r="Q740" s="1">
        <v>2.7429999999999999</v>
      </c>
      <c r="R740" s="1">
        <v>30.945499999999999</v>
      </c>
      <c r="S740" s="1">
        <v>388.75299999999999</v>
      </c>
      <c r="W740" s="3">
        <v>0.76390000000000002</v>
      </c>
      <c r="X740" s="1" t="s">
        <v>1161</v>
      </c>
      <c r="Y740" s="1">
        <v>0.75</v>
      </c>
      <c r="Z740" s="1">
        <v>0.02</v>
      </c>
      <c r="AA740" s="1">
        <v>0.54200000000000004</v>
      </c>
      <c r="AB740" s="1">
        <v>4.2</v>
      </c>
      <c r="AC740" s="1">
        <v>0</v>
      </c>
      <c r="AD740" s="1">
        <v>0</v>
      </c>
      <c r="AE740" s="1">
        <v>0.04</v>
      </c>
      <c r="AF740" s="1">
        <v>0</v>
      </c>
      <c r="AH740" s="1" t="s">
        <v>1162</v>
      </c>
      <c r="AI740" s="1">
        <v>2</v>
      </c>
      <c r="AJ740" s="1" t="s">
        <v>1161</v>
      </c>
      <c r="AK740" s="1">
        <v>2</v>
      </c>
      <c r="AL740" s="1">
        <v>88.837999999999994</v>
      </c>
      <c r="AM740" s="1" t="s">
        <v>1161</v>
      </c>
    </row>
    <row r="741" spans="1:46">
      <c r="A741" s="1" t="s">
        <v>1163</v>
      </c>
      <c r="B741" s="1">
        <v>169</v>
      </c>
      <c r="C741" s="1" t="s">
        <v>1163</v>
      </c>
      <c r="D741" s="1" t="s">
        <v>1164</v>
      </c>
      <c r="E741" s="1" t="s">
        <v>47</v>
      </c>
      <c r="F741" s="1" t="s">
        <v>1155</v>
      </c>
      <c r="G741" s="1" t="s">
        <v>456</v>
      </c>
      <c r="H741" s="2" t="s">
        <v>1156</v>
      </c>
      <c r="I741" s="1">
        <v>89</v>
      </c>
      <c r="J741" s="1">
        <v>0.2</v>
      </c>
      <c r="K741" s="1" t="s">
        <v>150</v>
      </c>
      <c r="L741" s="1" t="s">
        <v>78</v>
      </c>
      <c r="M741" s="1">
        <v>19.78</v>
      </c>
      <c r="N741" s="1">
        <v>23</v>
      </c>
      <c r="O741" s="1">
        <v>67.603980000000007</v>
      </c>
      <c r="P741" s="1">
        <v>-164.43064000000001</v>
      </c>
      <c r="Q741" s="1">
        <v>0.58499999999999996</v>
      </c>
      <c r="R741" s="1">
        <v>30.936</v>
      </c>
      <c r="S741" s="1">
        <v>407.90199999999999</v>
      </c>
      <c r="T741" s="1">
        <v>179.78</v>
      </c>
      <c r="U741" s="1">
        <v>27.9</v>
      </c>
      <c r="V741" s="1">
        <v>2860</v>
      </c>
      <c r="W741" s="3">
        <v>0.72919999999999996</v>
      </c>
      <c r="X741" s="1" t="s">
        <v>1165</v>
      </c>
      <c r="Y741" s="1">
        <v>0.73</v>
      </c>
      <c r="Z741" s="1">
        <v>0.38</v>
      </c>
      <c r="AA741" s="1">
        <v>0.54400000000000004</v>
      </c>
      <c r="AB741" s="1">
        <v>4.2</v>
      </c>
      <c r="AC741" s="1">
        <v>0</v>
      </c>
      <c r="AD741" s="1">
        <v>0</v>
      </c>
      <c r="AE741" s="1">
        <v>0.09</v>
      </c>
      <c r="AF741" s="1">
        <v>0</v>
      </c>
      <c r="AH741" s="1" t="s">
        <v>1166</v>
      </c>
      <c r="AI741" s="1">
        <v>1</v>
      </c>
      <c r="AJ741" s="1" t="s">
        <v>1165</v>
      </c>
      <c r="AK741" s="1">
        <v>2</v>
      </c>
      <c r="AL741" s="1">
        <v>83.465500000000006</v>
      </c>
      <c r="AM741" s="1" t="s">
        <v>1165</v>
      </c>
      <c r="AN741" s="1">
        <v>6.4437275985663103</v>
      </c>
      <c r="AO741" s="1">
        <v>0.97263812808548</v>
      </c>
    </row>
    <row r="742" spans="1:46">
      <c r="A742" s="1" t="s">
        <v>1167</v>
      </c>
      <c r="B742" s="1">
        <v>170</v>
      </c>
      <c r="C742" s="1" t="s">
        <v>1167</v>
      </c>
      <c r="D742" s="1" t="s">
        <v>1168</v>
      </c>
      <c r="E742" s="1" t="s">
        <v>47</v>
      </c>
      <c r="F742" s="1" t="s">
        <v>411</v>
      </c>
      <c r="G742" s="1" t="s">
        <v>456</v>
      </c>
      <c r="H742" s="2" t="s">
        <v>1169</v>
      </c>
      <c r="I742" s="1">
        <v>90</v>
      </c>
      <c r="J742" s="1">
        <v>0.2</v>
      </c>
      <c r="K742" s="1" t="s">
        <v>52</v>
      </c>
      <c r="L742" s="1" t="s">
        <v>52</v>
      </c>
      <c r="M742" s="1">
        <v>3.85</v>
      </c>
      <c r="N742" s="1">
        <v>35</v>
      </c>
      <c r="O742" s="1">
        <v>67.538979999999995</v>
      </c>
      <c r="P742" s="1">
        <v>-164.87797</v>
      </c>
      <c r="Q742" s="1">
        <v>5.3049999999999997</v>
      </c>
      <c r="R742" s="1">
        <v>31.404499999999999</v>
      </c>
      <c r="S742" s="1">
        <v>319.34100000000001</v>
      </c>
      <c r="T742" s="1">
        <v>122.34</v>
      </c>
      <c r="U742" s="1">
        <v>20.36</v>
      </c>
      <c r="V742" s="1">
        <v>2360</v>
      </c>
      <c r="W742" s="3">
        <v>0.38169999999999998</v>
      </c>
      <c r="X742" s="1" t="s">
        <v>1170</v>
      </c>
      <c r="Y742" s="1">
        <v>0.4</v>
      </c>
      <c r="Z742" s="1">
        <v>0.21</v>
      </c>
      <c r="AA742" s="1">
        <v>0.47299999999999998</v>
      </c>
      <c r="AB742" s="1">
        <v>2.6</v>
      </c>
      <c r="AC742" s="1">
        <v>0.1</v>
      </c>
      <c r="AD742" s="1">
        <v>0</v>
      </c>
      <c r="AE742" s="1">
        <v>0.16</v>
      </c>
      <c r="AF742" s="1">
        <v>0.1</v>
      </c>
      <c r="AH742" s="1" t="s">
        <v>1171</v>
      </c>
      <c r="AI742" s="1">
        <v>4</v>
      </c>
      <c r="AJ742" s="1" t="s">
        <v>1170</v>
      </c>
      <c r="AK742" s="1">
        <v>2</v>
      </c>
      <c r="AL742" s="1">
        <v>89.694000000000003</v>
      </c>
      <c r="AM742" s="1" t="s">
        <v>1170</v>
      </c>
      <c r="AN742" s="1">
        <v>6.0088408644400797</v>
      </c>
      <c r="AO742" s="1">
        <v>0.90699484746265302</v>
      </c>
    </row>
    <row r="743" spans="1:46">
      <c r="A743" s="1" t="s">
        <v>1172</v>
      </c>
      <c r="B743" s="1">
        <v>171</v>
      </c>
      <c r="C743" s="1" t="s">
        <v>1172</v>
      </c>
      <c r="D743" s="1" t="s">
        <v>1173</v>
      </c>
      <c r="E743" s="1" t="s">
        <v>47</v>
      </c>
      <c r="F743" s="1" t="s">
        <v>411</v>
      </c>
      <c r="G743" s="1" t="s">
        <v>456</v>
      </c>
      <c r="H743" s="2" t="s">
        <v>1169</v>
      </c>
      <c r="I743" s="1">
        <v>90</v>
      </c>
      <c r="J743" s="1">
        <v>0.2</v>
      </c>
      <c r="K743" s="1" t="s">
        <v>65</v>
      </c>
      <c r="L743" s="1" t="s">
        <v>65</v>
      </c>
      <c r="M743" s="1">
        <v>20</v>
      </c>
      <c r="N743" s="1">
        <v>35</v>
      </c>
      <c r="O743" s="1">
        <v>67.539140000000003</v>
      </c>
      <c r="P743" s="1">
        <v>-164.87916000000001</v>
      </c>
      <c r="Q743" s="1">
        <v>3.5615000000000001</v>
      </c>
      <c r="R743" s="1">
        <v>31.792000000000002</v>
      </c>
      <c r="S743" s="1">
        <v>343.63400000000001</v>
      </c>
      <c r="W743" s="3">
        <v>0.87929999999999997</v>
      </c>
      <c r="X743" s="1" t="s">
        <v>1174</v>
      </c>
      <c r="Y743" s="1">
        <v>1.17</v>
      </c>
      <c r="Z743" s="1">
        <v>0.15</v>
      </c>
      <c r="AA743" s="1">
        <v>0.54300000000000004</v>
      </c>
      <c r="AB743" s="1">
        <v>2.1</v>
      </c>
      <c r="AC743" s="1">
        <v>0</v>
      </c>
      <c r="AD743" s="1">
        <v>0</v>
      </c>
      <c r="AE743" s="1">
        <v>0.15</v>
      </c>
      <c r="AF743" s="1">
        <v>0</v>
      </c>
      <c r="AH743" s="1" t="s">
        <v>1175</v>
      </c>
      <c r="AI743" s="1">
        <v>2</v>
      </c>
      <c r="AJ743" s="1" t="s">
        <v>1174</v>
      </c>
      <c r="AK743" s="1">
        <v>2</v>
      </c>
      <c r="AL743" s="1">
        <v>88.004499999999993</v>
      </c>
      <c r="AM743" s="1" t="s">
        <v>1174</v>
      </c>
    </row>
    <row r="744" spans="1:46">
      <c r="A744" s="1" t="s">
        <v>1176</v>
      </c>
      <c r="B744" s="1">
        <v>172</v>
      </c>
      <c r="C744" s="1" t="s">
        <v>1176</v>
      </c>
      <c r="D744" s="1" t="s">
        <v>1177</v>
      </c>
      <c r="E744" s="1" t="s">
        <v>47</v>
      </c>
      <c r="F744" s="1" t="s">
        <v>411</v>
      </c>
      <c r="G744" s="1" t="s">
        <v>456</v>
      </c>
      <c r="H744" s="2" t="s">
        <v>1169</v>
      </c>
      <c r="I744" s="1">
        <v>90</v>
      </c>
      <c r="J744" s="1">
        <v>0.2</v>
      </c>
      <c r="K744" s="1" t="s">
        <v>150</v>
      </c>
      <c r="L744" s="1" t="s">
        <v>78</v>
      </c>
      <c r="M744" s="1">
        <v>31.57</v>
      </c>
      <c r="N744" s="1">
        <v>35</v>
      </c>
      <c r="O744" s="1">
        <v>67.539140000000003</v>
      </c>
      <c r="P744" s="1">
        <v>-164.87916000000001</v>
      </c>
      <c r="Q744" s="1">
        <v>3.6244999999999998</v>
      </c>
      <c r="R744" s="1">
        <v>31.795000000000002</v>
      </c>
      <c r="S744" s="1">
        <v>342.78199999999998</v>
      </c>
      <c r="T744" s="1">
        <v>158.06</v>
      </c>
      <c r="U744" s="1">
        <v>26.42</v>
      </c>
      <c r="V744" s="1">
        <v>1780</v>
      </c>
      <c r="W744" s="3">
        <v>1.4563999999999999</v>
      </c>
      <c r="X744" s="1" t="s">
        <v>1178</v>
      </c>
      <c r="Y744" s="1">
        <v>1.32</v>
      </c>
      <c r="Z744" s="1">
        <v>0.15</v>
      </c>
      <c r="AA744" s="1">
        <v>0.56200000000000006</v>
      </c>
      <c r="AB744" s="1">
        <v>1.7</v>
      </c>
      <c r="AC744" s="1">
        <v>0</v>
      </c>
      <c r="AD744" s="1">
        <v>0</v>
      </c>
      <c r="AE744" s="1">
        <v>0.06</v>
      </c>
      <c r="AF744" s="1">
        <v>0</v>
      </c>
      <c r="AH744" s="1" t="s">
        <v>1179</v>
      </c>
      <c r="AI744" s="1">
        <v>1</v>
      </c>
      <c r="AJ744" s="1" t="s">
        <v>1178</v>
      </c>
      <c r="AK744" s="1">
        <v>2</v>
      </c>
      <c r="AL744" s="1">
        <v>85.790199999999999</v>
      </c>
      <c r="AM744" s="1" t="s">
        <v>1178</v>
      </c>
      <c r="AN744" s="1">
        <v>5.9825889477668399</v>
      </c>
      <c r="AO744" s="1">
        <v>0.90303229400254204</v>
      </c>
    </row>
    <row r="745" spans="1:46">
      <c r="A745" s="1" t="s">
        <v>1180</v>
      </c>
      <c r="B745" s="1">
        <v>173</v>
      </c>
      <c r="C745" s="1" t="s">
        <v>1180</v>
      </c>
      <c r="D745" s="1" t="s">
        <v>1181</v>
      </c>
      <c r="E745" s="1" t="s">
        <v>47</v>
      </c>
      <c r="F745" s="1" t="s">
        <v>1182</v>
      </c>
      <c r="G745" s="1" t="s">
        <v>456</v>
      </c>
      <c r="H745" s="2" t="s">
        <v>1183</v>
      </c>
      <c r="I745" s="1">
        <v>91</v>
      </c>
      <c r="J745" s="1">
        <v>0.2</v>
      </c>
      <c r="K745" s="1" t="s">
        <v>52</v>
      </c>
      <c r="L745" s="1" t="s">
        <v>52</v>
      </c>
      <c r="M745" s="1">
        <v>3.61</v>
      </c>
      <c r="N745" s="1">
        <v>37</v>
      </c>
      <c r="O745" s="1">
        <v>67.475399999999993</v>
      </c>
      <c r="P745" s="1">
        <v>-165.33776</v>
      </c>
      <c r="Q745" s="1">
        <v>5.7954999999999997</v>
      </c>
      <c r="R745" s="1">
        <v>31.992999999999999</v>
      </c>
      <c r="S745" s="1">
        <v>301.62799999999999</v>
      </c>
      <c r="T745" s="1">
        <v>136.47999999999999</v>
      </c>
      <c r="U745" s="1">
        <v>23.02</v>
      </c>
      <c r="V745" s="1">
        <v>2100</v>
      </c>
      <c r="W745" s="3">
        <v>0.32790000000000002</v>
      </c>
      <c r="X745" s="1" t="s">
        <v>1184</v>
      </c>
      <c r="Y745" s="1">
        <v>0.48</v>
      </c>
      <c r="Z745" s="1">
        <v>0.08</v>
      </c>
      <c r="AA745" s="1">
        <v>0.29899999999999999</v>
      </c>
      <c r="AB745" s="1">
        <v>0.6</v>
      </c>
      <c r="AC745" s="1">
        <v>0</v>
      </c>
      <c r="AD745" s="1">
        <v>0</v>
      </c>
      <c r="AE745" s="1">
        <v>7.0000000000000007E-2</v>
      </c>
      <c r="AF745" s="1">
        <v>0</v>
      </c>
      <c r="AH745" s="1" t="s">
        <v>1185</v>
      </c>
      <c r="AI745" s="1">
        <v>4</v>
      </c>
      <c r="AJ745" s="1" t="s">
        <v>1184</v>
      </c>
      <c r="AK745" s="1">
        <v>1.4</v>
      </c>
      <c r="AL745" s="1">
        <v>94.036699999999996</v>
      </c>
      <c r="AM745" s="1" t="s">
        <v>1184</v>
      </c>
      <c r="AN745" s="1">
        <v>5.92875760208514</v>
      </c>
      <c r="AO745" s="1">
        <v>0.89490680786190802</v>
      </c>
    </row>
    <row r="746" spans="1:46">
      <c r="A746" s="1" t="s">
        <v>1186</v>
      </c>
      <c r="B746" s="1">
        <v>174</v>
      </c>
      <c r="C746" s="1" t="s">
        <v>1186</v>
      </c>
      <c r="D746" s="1" t="s">
        <v>1187</v>
      </c>
      <c r="E746" s="1" t="s">
        <v>47</v>
      </c>
      <c r="F746" s="1" t="s">
        <v>1182</v>
      </c>
      <c r="G746" s="1" t="s">
        <v>456</v>
      </c>
      <c r="H746" s="2" t="s">
        <v>1183</v>
      </c>
      <c r="I746" s="1">
        <v>91</v>
      </c>
      <c r="J746" s="1">
        <v>0.2</v>
      </c>
      <c r="K746" s="1" t="s">
        <v>65</v>
      </c>
      <c r="L746" s="1" t="s">
        <v>65</v>
      </c>
      <c r="M746" s="1">
        <v>20.29</v>
      </c>
      <c r="N746" s="1">
        <v>37</v>
      </c>
      <c r="O746" s="1">
        <v>67.475399999999993</v>
      </c>
      <c r="P746" s="1">
        <v>-165.33778000000001</v>
      </c>
      <c r="Q746" s="1">
        <v>2.7559999999999998</v>
      </c>
      <c r="R746" s="1">
        <v>32.263500000000001</v>
      </c>
      <c r="S746" s="1">
        <v>342.71199999999999</v>
      </c>
      <c r="W746" s="3">
        <v>0.74109999999999998</v>
      </c>
      <c r="X746" s="1" t="s">
        <v>1188</v>
      </c>
      <c r="Y746" s="1">
        <v>0.95</v>
      </c>
      <c r="Z746" s="1">
        <v>0.21</v>
      </c>
      <c r="AA746" s="1">
        <v>0.72899999999999998</v>
      </c>
      <c r="AB746" s="1">
        <v>2.9</v>
      </c>
      <c r="AC746" s="1">
        <v>0.8</v>
      </c>
      <c r="AD746" s="1">
        <v>0.04</v>
      </c>
      <c r="AE746" s="1">
        <v>1.9</v>
      </c>
      <c r="AF746" s="1">
        <v>0.84</v>
      </c>
      <c r="AH746" s="1" t="s">
        <v>1189</v>
      </c>
      <c r="AI746" s="1">
        <v>2</v>
      </c>
      <c r="AJ746" s="1" t="s">
        <v>1188</v>
      </c>
      <c r="AK746" s="1">
        <v>1.4</v>
      </c>
      <c r="AL746" s="1">
        <v>84.766800000000003</v>
      </c>
      <c r="AM746" s="1" t="s">
        <v>1188</v>
      </c>
    </row>
    <row r="747" spans="1:46">
      <c r="A747" s="1" t="s">
        <v>1190</v>
      </c>
      <c r="B747" s="1">
        <v>175</v>
      </c>
      <c r="C747" s="1" t="s">
        <v>1190</v>
      </c>
      <c r="D747" s="1" t="s">
        <v>1191</v>
      </c>
      <c r="E747" s="1" t="s">
        <v>47</v>
      </c>
      <c r="F747" s="1" t="s">
        <v>1182</v>
      </c>
      <c r="G747" s="1" t="s">
        <v>456</v>
      </c>
      <c r="H747" s="2" t="s">
        <v>1183</v>
      </c>
      <c r="I747" s="1">
        <v>91</v>
      </c>
      <c r="J747" s="1">
        <v>0.2</v>
      </c>
      <c r="K747" s="1" t="s">
        <v>150</v>
      </c>
      <c r="L747" s="1" t="s">
        <v>78</v>
      </c>
      <c r="M747" s="1">
        <v>33.340000000000003</v>
      </c>
      <c r="N747" s="1">
        <v>37</v>
      </c>
      <c r="O747" s="1">
        <v>67.475399999999993</v>
      </c>
      <c r="P747" s="1">
        <v>-165.33779999999999</v>
      </c>
      <c r="Q747" s="1">
        <v>1.988</v>
      </c>
      <c r="R747" s="1">
        <v>32.366</v>
      </c>
      <c r="S747" s="1">
        <v>348.76499999999999</v>
      </c>
      <c r="T747" s="1">
        <v>226.12</v>
      </c>
      <c r="U747" s="1">
        <v>39.659999999999997</v>
      </c>
      <c r="V747" s="1">
        <v>4599.99999999999</v>
      </c>
      <c r="W747" s="3">
        <v>0.80159999999999998</v>
      </c>
      <c r="X747" s="1" t="s">
        <v>1192</v>
      </c>
      <c r="Y747" s="1">
        <v>0.67</v>
      </c>
      <c r="Z747" s="1">
        <v>1.07</v>
      </c>
      <c r="AA747" s="1">
        <v>0.87</v>
      </c>
      <c r="AB747" s="1">
        <v>3.3</v>
      </c>
      <c r="AC747" s="1">
        <v>1.2</v>
      </c>
      <c r="AD747" s="1">
        <v>0.06</v>
      </c>
      <c r="AE747" s="1">
        <v>2.75</v>
      </c>
      <c r="AF747" s="1">
        <v>1.26</v>
      </c>
      <c r="AH747" s="1" t="s">
        <v>1193</v>
      </c>
      <c r="AI747" s="1">
        <v>1</v>
      </c>
      <c r="AJ747" s="1" t="s">
        <v>1192</v>
      </c>
      <c r="AK747" s="1">
        <v>1.4</v>
      </c>
      <c r="AL747" s="1">
        <v>71.097700000000003</v>
      </c>
      <c r="AM747" s="1" t="s">
        <v>1192</v>
      </c>
      <c r="AN747" s="1">
        <v>5.7014624306606203</v>
      </c>
      <c r="AO747" s="1">
        <v>0.86059810274122495</v>
      </c>
    </row>
    <row r="748" spans="1:46">
      <c r="A748" s="1" t="s">
        <v>1194</v>
      </c>
      <c r="B748" s="1">
        <v>176</v>
      </c>
      <c r="C748" s="1" t="s">
        <v>1194</v>
      </c>
      <c r="D748" s="1" t="s">
        <v>1195</v>
      </c>
      <c r="E748" s="1" t="s">
        <v>47</v>
      </c>
      <c r="F748" s="1" t="s">
        <v>1196</v>
      </c>
      <c r="G748" s="1" t="s">
        <v>456</v>
      </c>
      <c r="H748" s="2" t="s">
        <v>1197</v>
      </c>
      <c r="I748" s="1">
        <v>93</v>
      </c>
      <c r="J748" s="1">
        <v>0.2</v>
      </c>
      <c r="K748" s="1" t="s">
        <v>52</v>
      </c>
      <c r="L748" s="1" t="s">
        <v>52</v>
      </c>
      <c r="M748" s="1">
        <v>4.04</v>
      </c>
      <c r="N748" s="1">
        <v>41</v>
      </c>
      <c r="O748" s="1">
        <v>67.347980000000007</v>
      </c>
      <c r="P748" s="1">
        <v>-166.23894000000001</v>
      </c>
      <c r="Q748" s="1">
        <v>4.9119999999999999</v>
      </c>
      <c r="R748" s="1">
        <v>32.088000000000001</v>
      </c>
      <c r="S748" s="1">
        <v>314.62900000000002</v>
      </c>
      <c r="T748" s="1">
        <v>181.24</v>
      </c>
      <c r="U748" s="1">
        <v>34.08</v>
      </c>
      <c r="V748" s="1">
        <v>1920</v>
      </c>
      <c r="W748" s="3">
        <v>0.51029999999999998</v>
      </c>
      <c r="X748" s="1" t="s">
        <v>1198</v>
      </c>
      <c r="Y748" s="1">
        <v>1.06</v>
      </c>
      <c r="Z748" s="1">
        <v>7.0000000000000007E-2</v>
      </c>
      <c r="AA748" s="1">
        <v>0.434</v>
      </c>
      <c r="AB748" s="1">
        <v>1.1000000000000001</v>
      </c>
      <c r="AC748" s="1">
        <v>0.1</v>
      </c>
      <c r="AD748" s="1">
        <v>0.01</v>
      </c>
      <c r="AE748" s="1">
        <v>0.22</v>
      </c>
      <c r="AF748" s="1">
        <v>0.11</v>
      </c>
      <c r="AH748" s="1" t="s">
        <v>1199</v>
      </c>
      <c r="AI748" s="1">
        <v>5</v>
      </c>
      <c r="AJ748" s="1" t="s">
        <v>1198</v>
      </c>
      <c r="AK748" s="1">
        <v>2</v>
      </c>
      <c r="AL748" s="1">
        <v>90.878399999999999</v>
      </c>
      <c r="AM748" s="1" t="s">
        <v>1198</v>
      </c>
      <c r="AN748" s="1">
        <v>5.3180751173708902</v>
      </c>
      <c r="AO748" s="1">
        <v>0.80272831960315405</v>
      </c>
    </row>
    <row r="749" spans="1:46">
      <c r="A749" s="1" t="s">
        <v>1200</v>
      </c>
      <c r="B749" s="1">
        <v>177</v>
      </c>
      <c r="C749" s="1" t="s">
        <v>1200</v>
      </c>
      <c r="D749" s="1" t="s">
        <v>1201</v>
      </c>
      <c r="E749" s="1" t="s">
        <v>47</v>
      </c>
      <c r="F749" s="1" t="s">
        <v>1196</v>
      </c>
      <c r="G749" s="1" t="s">
        <v>456</v>
      </c>
      <c r="H749" s="2" t="s">
        <v>1197</v>
      </c>
      <c r="I749" s="1">
        <v>93</v>
      </c>
      <c r="J749" s="1">
        <v>0.2</v>
      </c>
      <c r="K749" s="1" t="s">
        <v>65</v>
      </c>
      <c r="L749" s="1" t="s">
        <v>65</v>
      </c>
      <c r="M749" s="1">
        <v>20.41</v>
      </c>
      <c r="N749" s="1">
        <v>41</v>
      </c>
      <c r="O749" s="1">
        <v>67.347970000000004</v>
      </c>
      <c r="P749" s="1">
        <v>-166.23894000000001</v>
      </c>
      <c r="Q749" s="1">
        <v>4.7430000000000003</v>
      </c>
      <c r="R749" s="1">
        <v>32.087499999999999</v>
      </c>
      <c r="S749" s="1">
        <v>316.87700000000001</v>
      </c>
      <c r="W749" s="3">
        <v>0.75670000000000004</v>
      </c>
      <c r="X749" s="1" t="s">
        <v>1202</v>
      </c>
      <c r="Y749" s="1">
        <v>0.87</v>
      </c>
      <c r="Z749" s="1">
        <v>0.25</v>
      </c>
      <c r="AA749" s="1">
        <v>0.52600000000000002</v>
      </c>
      <c r="AB749" s="1">
        <v>1.6</v>
      </c>
      <c r="AC749" s="1">
        <v>0.2</v>
      </c>
      <c r="AD749" s="1">
        <v>0.02</v>
      </c>
      <c r="AE749" s="1">
        <v>0.68</v>
      </c>
      <c r="AF749" s="1">
        <v>0.22</v>
      </c>
      <c r="AH749" s="1" t="s">
        <v>1203</v>
      </c>
      <c r="AI749" s="1">
        <v>3</v>
      </c>
      <c r="AJ749" s="1" t="s">
        <v>1202</v>
      </c>
      <c r="AK749" s="1">
        <v>2</v>
      </c>
      <c r="AL749" s="1">
        <v>90.849100000000007</v>
      </c>
      <c r="AM749" s="1" t="s">
        <v>1202</v>
      </c>
    </row>
    <row r="750" spans="1:46">
      <c r="A750" s="1" t="s">
        <v>1204</v>
      </c>
      <c r="B750" s="1">
        <v>178</v>
      </c>
      <c r="C750" s="1" t="s">
        <v>1204</v>
      </c>
      <c r="D750" s="1" t="s">
        <v>1205</v>
      </c>
      <c r="E750" s="1" t="s">
        <v>47</v>
      </c>
      <c r="F750" s="1" t="s">
        <v>1196</v>
      </c>
      <c r="G750" s="1" t="s">
        <v>456</v>
      </c>
      <c r="H750" s="2" t="s">
        <v>1197</v>
      </c>
      <c r="I750" s="1">
        <v>93</v>
      </c>
      <c r="J750" s="1">
        <v>0.2</v>
      </c>
      <c r="K750" s="1" t="s">
        <v>150</v>
      </c>
      <c r="L750" s="1" t="s">
        <v>78</v>
      </c>
      <c r="M750" s="1">
        <v>35.93</v>
      </c>
      <c r="N750" s="1">
        <v>41</v>
      </c>
      <c r="O750" s="1">
        <v>67.34796</v>
      </c>
      <c r="P750" s="1">
        <v>-166.23894000000001</v>
      </c>
      <c r="Q750" s="1">
        <v>2.1795</v>
      </c>
      <c r="R750" s="1">
        <v>32.131999999999998</v>
      </c>
      <c r="S750" s="1">
        <v>340.59</v>
      </c>
      <c r="T750" s="1">
        <v>219.04</v>
      </c>
      <c r="U750" s="1">
        <v>33.92</v>
      </c>
      <c r="V750" s="1">
        <v>5860.00000000001</v>
      </c>
      <c r="W750" s="3">
        <v>0.8387</v>
      </c>
      <c r="X750" s="1" t="s">
        <v>1206</v>
      </c>
      <c r="Y750" s="1">
        <v>0.79</v>
      </c>
      <c r="Z750" s="1">
        <v>1.53</v>
      </c>
      <c r="AA750" s="1">
        <v>0.85799999999999998</v>
      </c>
      <c r="AB750" s="1">
        <v>3.7</v>
      </c>
      <c r="AC750" s="1">
        <v>0.5</v>
      </c>
      <c r="AD750" s="1">
        <v>0.05</v>
      </c>
      <c r="AE750" s="1">
        <v>2.37</v>
      </c>
      <c r="AF750" s="1">
        <v>0.55000000000000004</v>
      </c>
      <c r="AH750" s="1" t="s">
        <v>1207</v>
      </c>
      <c r="AI750" s="1">
        <v>1</v>
      </c>
      <c r="AJ750" s="1" t="s">
        <v>1206</v>
      </c>
      <c r="AK750" s="1">
        <v>2</v>
      </c>
      <c r="AL750" s="1">
        <v>61.824599999999997</v>
      </c>
      <c r="AM750" s="1" t="s">
        <v>1206</v>
      </c>
      <c r="AN750" s="1">
        <v>6.4575471698113196</v>
      </c>
      <c r="AO750" s="1">
        <v>0.97472410110359597</v>
      </c>
    </row>
    <row r="751" spans="1:46">
      <c r="A751" s="1" t="s">
        <v>1208</v>
      </c>
      <c r="B751" s="1">
        <v>179</v>
      </c>
      <c r="C751" s="1" t="s">
        <v>1208</v>
      </c>
      <c r="D751" s="1" t="s">
        <v>1209</v>
      </c>
      <c r="E751" s="1" t="s">
        <v>47</v>
      </c>
      <c r="F751" s="1" t="s">
        <v>1210</v>
      </c>
      <c r="G751" s="1" t="s">
        <v>456</v>
      </c>
      <c r="H751" s="2" t="s">
        <v>1211</v>
      </c>
      <c r="I751" s="1">
        <v>95</v>
      </c>
      <c r="J751" s="1">
        <v>0.2</v>
      </c>
      <c r="K751" s="1" t="s">
        <v>52</v>
      </c>
      <c r="L751" s="1" t="s">
        <v>52</v>
      </c>
      <c r="M751" s="1">
        <v>3.58</v>
      </c>
      <c r="N751" s="1">
        <v>43</v>
      </c>
      <c r="O751" s="1">
        <v>67.219899999999996</v>
      </c>
      <c r="P751" s="1">
        <v>-167.14944</v>
      </c>
      <c r="Q751" s="1">
        <v>2.8050000000000002</v>
      </c>
      <c r="R751" s="1">
        <v>32.343000000000004</v>
      </c>
      <c r="S751" s="1">
        <v>336.27800000000002</v>
      </c>
      <c r="T751" s="1">
        <v>217.86</v>
      </c>
      <c r="U751" s="1">
        <v>36.36</v>
      </c>
      <c r="V751" s="1">
        <v>3560.00000000001</v>
      </c>
      <c r="W751" s="3">
        <v>9.8900000000000002E-2</v>
      </c>
      <c r="X751" s="1" t="s">
        <v>1212</v>
      </c>
      <c r="Y751" s="1">
        <v>0.41</v>
      </c>
      <c r="Z751" s="1">
        <v>0.57999999999999996</v>
      </c>
      <c r="AA751" s="1">
        <v>0.82</v>
      </c>
      <c r="AB751" s="1">
        <v>2.5</v>
      </c>
      <c r="AC751" s="1">
        <v>1.1000000000000001</v>
      </c>
      <c r="AD751" s="1">
        <v>0.06</v>
      </c>
      <c r="AE751" s="1">
        <v>2.17</v>
      </c>
      <c r="AF751" s="1">
        <v>1.1599999999999999</v>
      </c>
      <c r="AH751" s="1" t="s">
        <v>1213</v>
      </c>
      <c r="AI751" s="1">
        <v>5</v>
      </c>
      <c r="AJ751" s="1" t="s">
        <v>1212</v>
      </c>
      <c r="AK751" s="1">
        <v>2</v>
      </c>
      <c r="AL751" s="1">
        <v>76.289900000000003</v>
      </c>
      <c r="AM751" s="1" t="s">
        <v>1212</v>
      </c>
      <c r="AN751" s="1">
        <v>5.9917491749174898</v>
      </c>
      <c r="AO751" s="1">
        <v>0.90441496979886704</v>
      </c>
    </row>
    <row r="752" spans="1:46">
      <c r="A752" s="1" t="s">
        <v>1214</v>
      </c>
      <c r="B752" s="1">
        <v>180</v>
      </c>
      <c r="C752" s="1" t="s">
        <v>1214</v>
      </c>
      <c r="D752" s="1" t="s">
        <v>1215</v>
      </c>
      <c r="E752" s="1" t="s">
        <v>47</v>
      </c>
      <c r="F752" s="1" t="s">
        <v>1210</v>
      </c>
      <c r="G752" s="1" t="s">
        <v>456</v>
      </c>
      <c r="H752" s="2" t="s">
        <v>1211</v>
      </c>
      <c r="I752" s="1">
        <v>95</v>
      </c>
      <c r="J752" s="1">
        <v>0.2</v>
      </c>
      <c r="K752" s="1" t="s">
        <v>65</v>
      </c>
      <c r="L752" s="1" t="s">
        <v>65</v>
      </c>
      <c r="M752" s="1">
        <v>30.27</v>
      </c>
      <c r="N752" s="1">
        <v>43</v>
      </c>
      <c r="O752" s="1">
        <v>67.219890000000007</v>
      </c>
      <c r="P752" s="1">
        <v>-167.14944</v>
      </c>
      <c r="Q752" s="1">
        <v>2.661</v>
      </c>
      <c r="R752" s="1">
        <v>32.354500000000002</v>
      </c>
      <c r="S752" s="1">
        <v>334.06</v>
      </c>
      <c r="W752" s="3">
        <v>0.42059999999999997</v>
      </c>
      <c r="X752" s="1" t="s">
        <v>1216</v>
      </c>
      <c r="Y752" s="1">
        <v>0.68</v>
      </c>
      <c r="Z752" s="1">
        <v>0.97</v>
      </c>
      <c r="AA752" s="1">
        <v>0.78</v>
      </c>
      <c r="AB752" s="1">
        <v>3.7</v>
      </c>
      <c r="AC752" s="1">
        <v>1.3</v>
      </c>
      <c r="AD752" s="1">
        <v>0.05</v>
      </c>
      <c r="AE752" s="1">
        <v>2.13</v>
      </c>
      <c r="AF752" s="1">
        <v>1.35</v>
      </c>
      <c r="AH752" s="1" t="s">
        <v>1217</v>
      </c>
      <c r="AI752" s="1">
        <v>2</v>
      </c>
      <c r="AJ752" s="1" t="s">
        <v>1216</v>
      </c>
      <c r="AK752" s="1">
        <v>2</v>
      </c>
      <c r="AL752" s="1">
        <v>76.568299999999994</v>
      </c>
      <c r="AM752" s="1" t="s">
        <v>1216</v>
      </c>
    </row>
    <row r="753" spans="1:46">
      <c r="A753" s="1" t="s">
        <v>1218</v>
      </c>
      <c r="B753" s="1">
        <v>181</v>
      </c>
      <c r="C753" s="1" t="s">
        <v>1218</v>
      </c>
      <c r="D753" s="1" t="s">
        <v>1219</v>
      </c>
      <c r="E753" s="1" t="s">
        <v>47</v>
      </c>
      <c r="F753" s="1" t="s">
        <v>1210</v>
      </c>
      <c r="G753" s="1" t="s">
        <v>456</v>
      </c>
      <c r="H753" s="2" t="s">
        <v>1211</v>
      </c>
      <c r="I753" s="1">
        <v>95</v>
      </c>
      <c r="J753" s="1">
        <v>0.2</v>
      </c>
      <c r="K753" s="1" t="s">
        <v>150</v>
      </c>
      <c r="L753" s="1" t="s">
        <v>78</v>
      </c>
      <c r="M753" s="1">
        <v>39.31</v>
      </c>
      <c r="N753" s="1">
        <v>43</v>
      </c>
      <c r="O753" s="1">
        <v>67.219899999999996</v>
      </c>
      <c r="P753" s="1">
        <v>-167.14944</v>
      </c>
      <c r="Q753" s="1">
        <v>2.7370000000000001</v>
      </c>
      <c r="R753" s="1">
        <v>32.454999999999998</v>
      </c>
      <c r="S753" s="1">
        <v>314.11700000000002</v>
      </c>
      <c r="T753" s="1">
        <v>267.76</v>
      </c>
      <c r="U753" s="1">
        <v>44.9</v>
      </c>
      <c r="V753" s="1">
        <v>5120</v>
      </c>
      <c r="W753" s="3">
        <v>0.67469999999999997</v>
      </c>
      <c r="X753" s="1" t="s">
        <v>1220</v>
      </c>
      <c r="Y753" s="1">
        <v>1.43</v>
      </c>
      <c r="Z753" s="1">
        <v>1.32</v>
      </c>
      <c r="AA753" s="1">
        <v>1.002</v>
      </c>
      <c r="AB753" s="1">
        <v>4.2</v>
      </c>
      <c r="AC753" s="1">
        <v>3.2</v>
      </c>
      <c r="AD753" s="1">
        <v>0.11</v>
      </c>
      <c r="AE753" s="1">
        <v>3.43</v>
      </c>
      <c r="AF753" s="1">
        <v>3.31</v>
      </c>
      <c r="AH753" s="1" t="s">
        <v>1221</v>
      </c>
      <c r="AI753" s="1">
        <v>1</v>
      </c>
      <c r="AJ753" s="1" t="s">
        <v>1220</v>
      </c>
      <c r="AK753" s="1">
        <v>2</v>
      </c>
      <c r="AL753" s="1">
        <v>61.688099999999999</v>
      </c>
      <c r="AM753" s="1" t="s">
        <v>1220</v>
      </c>
      <c r="AN753" s="1">
        <v>5.9634743875278398</v>
      </c>
      <c r="AO753" s="1">
        <v>0.90014707736269295</v>
      </c>
    </row>
    <row r="754" spans="1:46">
      <c r="A754" s="1" t="s">
        <v>1222</v>
      </c>
      <c r="B754" s="1">
        <v>182</v>
      </c>
      <c r="C754" s="1" t="s">
        <v>1222</v>
      </c>
      <c r="D754" s="1" t="s">
        <v>1223</v>
      </c>
      <c r="E754" s="1" t="s">
        <v>47</v>
      </c>
      <c r="F754" s="1" t="s">
        <v>1224</v>
      </c>
      <c r="G754" s="1" t="s">
        <v>456</v>
      </c>
      <c r="H754" s="2" t="s">
        <v>1225</v>
      </c>
      <c r="I754" s="1">
        <v>97</v>
      </c>
      <c r="J754" s="1">
        <v>0.2</v>
      </c>
      <c r="K754" s="1" t="s">
        <v>52</v>
      </c>
      <c r="L754" s="1" t="s">
        <v>52</v>
      </c>
      <c r="M754" s="1">
        <v>3.87</v>
      </c>
      <c r="N754" s="1">
        <v>37</v>
      </c>
      <c r="O754" s="1">
        <v>67.091419999999999</v>
      </c>
      <c r="P754" s="1">
        <v>-168.04751999999999</v>
      </c>
      <c r="Q754" s="1">
        <v>2.9935</v>
      </c>
      <c r="R754" s="1">
        <v>32.298000000000002</v>
      </c>
      <c r="S754" s="1">
        <v>345.20600000000002</v>
      </c>
      <c r="T754" s="1">
        <v>184.66</v>
      </c>
      <c r="U754" s="1">
        <v>32.340000000000003</v>
      </c>
      <c r="V754" s="1">
        <v>6720</v>
      </c>
      <c r="W754" s="3">
        <v>0.35899999999999999</v>
      </c>
      <c r="X754" s="1" t="s">
        <v>1226</v>
      </c>
      <c r="Y754" s="1">
        <v>0.22</v>
      </c>
      <c r="Z754" s="1">
        <v>0.87</v>
      </c>
      <c r="AA754" s="1">
        <v>0.73599999999999999</v>
      </c>
      <c r="AB754" s="1">
        <v>2.7</v>
      </c>
      <c r="AC754" s="1">
        <v>1.5</v>
      </c>
      <c r="AD754" s="1">
        <v>0.04</v>
      </c>
      <c r="AE754" s="1">
        <v>1.61</v>
      </c>
      <c r="AF754" s="1">
        <v>1.54</v>
      </c>
      <c r="AH754" s="1" t="s">
        <v>1227</v>
      </c>
      <c r="AI754" s="1">
        <v>4</v>
      </c>
      <c r="AJ754" s="1" t="s">
        <v>1226</v>
      </c>
      <c r="AK754" s="1">
        <v>2</v>
      </c>
      <c r="AL754" s="1">
        <v>79.593699999999998</v>
      </c>
      <c r="AM754" s="1" t="s">
        <v>1226</v>
      </c>
      <c r="AN754" s="1">
        <v>5.7099567099567103</v>
      </c>
      <c r="AO754" s="1">
        <v>0.86188025810667301</v>
      </c>
    </row>
    <row r="755" spans="1:46">
      <c r="A755" s="1" t="s">
        <v>1228</v>
      </c>
      <c r="B755" s="1">
        <v>183</v>
      </c>
      <c r="C755" s="1" t="s">
        <v>1228</v>
      </c>
      <c r="D755" s="1" t="s">
        <v>1229</v>
      </c>
      <c r="E755" s="1" t="s">
        <v>47</v>
      </c>
      <c r="F755" s="1" t="s">
        <v>1224</v>
      </c>
      <c r="G755" s="1" t="s">
        <v>456</v>
      </c>
      <c r="H755" s="2" t="s">
        <v>1225</v>
      </c>
      <c r="I755" s="1">
        <v>97</v>
      </c>
      <c r="J755" s="1">
        <v>0.2</v>
      </c>
      <c r="K755" s="1" t="s">
        <v>150</v>
      </c>
      <c r="L755" s="1" t="s">
        <v>78</v>
      </c>
      <c r="M755" s="1">
        <v>33.43</v>
      </c>
      <c r="N755" s="1">
        <v>37</v>
      </c>
      <c r="O755" s="1">
        <v>67.091419999999999</v>
      </c>
      <c r="P755" s="1">
        <v>-168.04754</v>
      </c>
      <c r="Q755" s="1">
        <v>2.7349999999999999</v>
      </c>
      <c r="R755" s="1">
        <v>32.310499999999998</v>
      </c>
      <c r="S755" s="1">
        <v>345.685</v>
      </c>
      <c r="T755" s="1">
        <v>214.34</v>
      </c>
      <c r="U755" s="1">
        <v>34.54</v>
      </c>
      <c r="V755" s="1">
        <v>7800</v>
      </c>
      <c r="W755" s="3">
        <v>0.43669999999999998</v>
      </c>
      <c r="X755" s="1" t="s">
        <v>1230</v>
      </c>
      <c r="Y755" s="1">
        <v>0.46</v>
      </c>
      <c r="Z755" s="1">
        <v>1.57</v>
      </c>
      <c r="AA755" s="1">
        <v>0.77200000000000002</v>
      </c>
      <c r="AB755" s="1">
        <v>2.9</v>
      </c>
      <c r="AC755" s="1">
        <v>1</v>
      </c>
      <c r="AD755" s="1">
        <v>0.04</v>
      </c>
      <c r="AE755" s="1">
        <v>1.93</v>
      </c>
      <c r="AF755" s="1">
        <v>1.04</v>
      </c>
      <c r="AH755" s="1" t="s">
        <v>1231</v>
      </c>
      <c r="AI755" s="1">
        <v>1</v>
      </c>
      <c r="AJ755" s="1" t="s">
        <v>1230</v>
      </c>
      <c r="AK755" s="1">
        <v>2</v>
      </c>
      <c r="AL755" s="1">
        <v>64.0869</v>
      </c>
      <c r="AM755" s="1" t="s">
        <v>1230</v>
      </c>
      <c r="AN755" s="1">
        <v>6.2055587724377501</v>
      </c>
      <c r="AO755" s="1">
        <v>0.93668811659437801</v>
      </c>
    </row>
    <row r="756" spans="1:46">
      <c r="A756" s="1" t="s">
        <v>1232</v>
      </c>
      <c r="B756" s="1">
        <v>48</v>
      </c>
      <c r="C756" s="1" t="s">
        <v>1232</v>
      </c>
      <c r="D756" s="1" t="s">
        <v>1233</v>
      </c>
      <c r="E756" s="1" t="s">
        <v>47</v>
      </c>
      <c r="F756" s="1" t="s">
        <v>1234</v>
      </c>
      <c r="G756" s="1" t="s">
        <v>456</v>
      </c>
      <c r="H756" s="2" t="s">
        <v>1235</v>
      </c>
      <c r="I756" s="1">
        <v>25</v>
      </c>
      <c r="J756" s="1">
        <v>0.2</v>
      </c>
      <c r="K756" s="1" t="s">
        <v>52</v>
      </c>
      <c r="L756" s="1" t="s">
        <v>52</v>
      </c>
      <c r="M756" s="1">
        <v>3.02</v>
      </c>
      <c r="N756" s="1">
        <v>36</v>
      </c>
      <c r="O756" s="1">
        <v>67.610820000000004</v>
      </c>
      <c r="P756" s="1">
        <v>-164.93350000000001</v>
      </c>
      <c r="Q756" s="1">
        <v>5.1645000000000003</v>
      </c>
      <c r="R756" s="1">
        <v>31.103000000000002</v>
      </c>
      <c r="S756" s="1">
        <v>347.82600000000002</v>
      </c>
      <c r="W756" s="3">
        <v>0.1575</v>
      </c>
      <c r="X756" s="1" t="s">
        <v>1236</v>
      </c>
      <c r="AA756" s="1">
        <v>0.50800000000000001</v>
      </c>
      <c r="AB756" s="1">
        <v>2.1</v>
      </c>
      <c r="AC756" s="1">
        <v>0.2</v>
      </c>
      <c r="AD756" s="1">
        <v>0</v>
      </c>
      <c r="AE756" s="1">
        <v>0.04</v>
      </c>
      <c r="AF756" s="1">
        <v>0.2</v>
      </c>
      <c r="AH756" s="1" t="s">
        <v>1237</v>
      </c>
      <c r="AI756" s="1">
        <v>8</v>
      </c>
      <c r="AJ756" s="1" t="s">
        <v>1238</v>
      </c>
      <c r="AK756" s="1">
        <v>1.1000000000000001</v>
      </c>
      <c r="AL756" s="1">
        <v>91.657600000000002</v>
      </c>
      <c r="AM756" s="1" t="s">
        <v>1236</v>
      </c>
      <c r="AS756" s="1" t="s">
        <v>1239</v>
      </c>
    </row>
    <row r="757" spans="1:46">
      <c r="A757" s="1" t="s">
        <v>1240</v>
      </c>
      <c r="B757" s="1">
        <v>50</v>
      </c>
      <c r="C757" s="1" t="s">
        <v>1240</v>
      </c>
      <c r="D757" s="1" t="s">
        <v>1241</v>
      </c>
      <c r="E757" s="1" t="s">
        <v>47</v>
      </c>
      <c r="F757" s="1" t="s">
        <v>1234</v>
      </c>
      <c r="G757" s="1" t="s">
        <v>456</v>
      </c>
      <c r="H757" s="2" t="s">
        <v>1235</v>
      </c>
      <c r="I757" s="1">
        <v>25</v>
      </c>
      <c r="J757" s="1">
        <v>0.2</v>
      </c>
      <c r="L757" s="1" t="s">
        <v>65</v>
      </c>
      <c r="M757" s="1">
        <v>10.16</v>
      </c>
      <c r="N757" s="1">
        <v>36</v>
      </c>
      <c r="O757" s="1">
        <v>67.610820000000004</v>
      </c>
      <c r="P757" s="1">
        <v>-164.93348</v>
      </c>
      <c r="Q757" s="1">
        <v>1.5945</v>
      </c>
      <c r="R757" s="1">
        <v>31.5945</v>
      </c>
      <c r="S757" s="1">
        <v>398.00799999999998</v>
      </c>
      <c r="W757" s="3">
        <v>0.37340000000000001</v>
      </c>
      <c r="X757" s="1" t="s">
        <v>1242</v>
      </c>
      <c r="AA757" s="1">
        <v>0.49399999999999999</v>
      </c>
      <c r="AB757" s="1">
        <v>3.3</v>
      </c>
      <c r="AC757" s="1">
        <v>0</v>
      </c>
      <c r="AD757" s="1">
        <v>0</v>
      </c>
      <c r="AE757" s="1">
        <v>0.04</v>
      </c>
      <c r="AF757" s="1">
        <v>0</v>
      </c>
      <c r="AH757" s="1" t="s">
        <v>1243</v>
      </c>
      <c r="AI757" s="1">
        <v>5</v>
      </c>
      <c r="AJ757" s="1" t="s">
        <v>1242</v>
      </c>
      <c r="AK757" s="1">
        <v>1.1000000000000001</v>
      </c>
      <c r="AL757" s="1">
        <v>91.601100000000002</v>
      </c>
      <c r="AM757" s="1" t="s">
        <v>1242</v>
      </c>
      <c r="AS757" s="1" t="s">
        <v>1244</v>
      </c>
    </row>
    <row r="758" spans="1:46">
      <c r="A758" s="1" t="s">
        <v>1245</v>
      </c>
      <c r="B758" s="1">
        <v>49</v>
      </c>
      <c r="C758" s="1" t="s">
        <v>1245</v>
      </c>
      <c r="D758" s="1" t="s">
        <v>1246</v>
      </c>
      <c r="E758" s="1" t="s">
        <v>47</v>
      </c>
      <c r="F758" s="1" t="s">
        <v>1234</v>
      </c>
      <c r="G758" s="1" t="s">
        <v>456</v>
      </c>
      <c r="H758" s="2" t="s">
        <v>1235</v>
      </c>
      <c r="I758" s="1">
        <v>25</v>
      </c>
      <c r="J758" s="1">
        <v>0.2</v>
      </c>
      <c r="L758" s="1" t="s">
        <v>65</v>
      </c>
      <c r="M758" s="1">
        <v>20.100000000000001</v>
      </c>
      <c r="N758" s="1">
        <v>36</v>
      </c>
      <c r="O758" s="1">
        <v>67.610820000000004</v>
      </c>
      <c r="P758" s="1">
        <v>-164.93348</v>
      </c>
      <c r="Q758" s="1">
        <v>0.59099999999999997</v>
      </c>
      <c r="R758" s="1">
        <v>31.666</v>
      </c>
      <c r="S758" s="1">
        <v>398.68900000000002</v>
      </c>
      <c r="W758" s="3">
        <v>1.1209</v>
      </c>
      <c r="X758" s="1" t="s">
        <v>1247</v>
      </c>
      <c r="AA758" s="1">
        <v>0.77100000000000002</v>
      </c>
      <c r="AB758" s="1">
        <v>7.6</v>
      </c>
      <c r="AC758" s="1">
        <v>1.2</v>
      </c>
      <c r="AD758" s="1">
        <v>0.05</v>
      </c>
      <c r="AE758" s="1">
        <v>0.32</v>
      </c>
      <c r="AF758" s="1">
        <v>1.25</v>
      </c>
      <c r="AH758" s="1" t="s">
        <v>1248</v>
      </c>
      <c r="AI758" s="1">
        <v>3</v>
      </c>
      <c r="AJ758" s="1" t="s">
        <v>1247</v>
      </c>
      <c r="AK758" s="1">
        <v>1.1000000000000001</v>
      </c>
      <c r="AL758" s="1">
        <v>89.042299999999997</v>
      </c>
      <c r="AM758" s="1" t="s">
        <v>1247</v>
      </c>
    </row>
    <row r="759" spans="1:46">
      <c r="A759" s="1" t="s">
        <v>1249</v>
      </c>
      <c r="B759" s="1">
        <v>51</v>
      </c>
      <c r="C759" s="1" t="s">
        <v>1249</v>
      </c>
      <c r="D759" s="1" t="s">
        <v>1250</v>
      </c>
      <c r="E759" s="1" t="s">
        <v>47</v>
      </c>
      <c r="F759" s="1" t="s">
        <v>1234</v>
      </c>
      <c r="G759" s="1" t="s">
        <v>456</v>
      </c>
      <c r="H759" s="2" t="s">
        <v>1235</v>
      </c>
      <c r="I759" s="1">
        <v>25</v>
      </c>
      <c r="J759" s="1">
        <v>0.2</v>
      </c>
      <c r="K759" s="1" t="s">
        <v>261</v>
      </c>
      <c r="L759" s="1" t="s">
        <v>78</v>
      </c>
      <c r="M759" s="1">
        <v>32.729999999999997</v>
      </c>
      <c r="N759" s="1">
        <v>36</v>
      </c>
      <c r="O759" s="1">
        <v>67.610820000000004</v>
      </c>
      <c r="P759" s="1">
        <v>-164.93348</v>
      </c>
      <c r="Q759" s="1">
        <v>-1.4245000000000001</v>
      </c>
      <c r="R759" s="1">
        <v>31.8535</v>
      </c>
      <c r="S759" s="1">
        <v>383.35300000000001</v>
      </c>
      <c r="W759" s="3">
        <v>6.1409000000000002</v>
      </c>
      <c r="X759" s="1" t="s">
        <v>1251</v>
      </c>
      <c r="AA759" s="1">
        <v>1.081</v>
      </c>
      <c r="AB759" s="1">
        <v>16.899999999999999</v>
      </c>
      <c r="AC759" s="1">
        <v>2.9</v>
      </c>
      <c r="AD759" s="1">
        <v>0.11</v>
      </c>
      <c r="AE759" s="1">
        <v>0.27</v>
      </c>
      <c r="AF759" s="1">
        <v>3.01</v>
      </c>
      <c r="AH759" s="1" t="s">
        <v>1252</v>
      </c>
      <c r="AI759" s="1">
        <v>2</v>
      </c>
      <c r="AJ759" s="1" t="s">
        <v>1253</v>
      </c>
      <c r="AK759" s="1">
        <v>1.1000000000000001</v>
      </c>
      <c r="AL759" s="1">
        <v>78.195400000000006</v>
      </c>
      <c r="AM759" s="1" t="s">
        <v>1251</v>
      </c>
    </row>
    <row r="760" spans="1:46">
      <c r="A760" s="1" t="s">
        <v>1254</v>
      </c>
      <c r="B760" s="1">
        <v>53</v>
      </c>
      <c r="C760" s="1" t="s">
        <v>1254</v>
      </c>
      <c r="D760" s="1" t="s">
        <v>1255</v>
      </c>
      <c r="E760" s="1" t="s">
        <v>47</v>
      </c>
      <c r="F760" s="1" t="s">
        <v>1256</v>
      </c>
      <c r="G760" s="1" t="s">
        <v>456</v>
      </c>
      <c r="H760" s="2" t="s">
        <v>1257</v>
      </c>
      <c r="I760" s="1">
        <v>27</v>
      </c>
      <c r="J760" s="1">
        <v>0.2</v>
      </c>
      <c r="K760" s="1" t="s">
        <v>52</v>
      </c>
      <c r="L760" s="1" t="s">
        <v>52</v>
      </c>
      <c r="M760" s="1">
        <v>2.75</v>
      </c>
      <c r="N760" s="1">
        <v>43</v>
      </c>
      <c r="O760" s="1">
        <v>67.62518</v>
      </c>
      <c r="P760" s="1">
        <v>-165.93894</v>
      </c>
      <c r="Q760" s="1">
        <v>4.194</v>
      </c>
      <c r="R760" s="1">
        <v>32.401000000000003</v>
      </c>
      <c r="S760" s="1">
        <v>346.14100000000002</v>
      </c>
      <c r="W760" s="3">
        <v>0.2089</v>
      </c>
      <c r="X760" s="1" t="s">
        <v>1258</v>
      </c>
      <c r="AA760" s="1">
        <v>0.59099999999999997</v>
      </c>
      <c r="AB760" s="1">
        <v>1.2</v>
      </c>
      <c r="AC760" s="1">
        <v>0</v>
      </c>
      <c r="AD760" s="1">
        <v>0.01</v>
      </c>
      <c r="AE760" s="1">
        <v>0.25</v>
      </c>
      <c r="AF760" s="1">
        <v>0.01</v>
      </c>
      <c r="AH760" s="1" t="s">
        <v>1259</v>
      </c>
      <c r="AI760" s="1">
        <v>5</v>
      </c>
      <c r="AJ760" s="1" t="s">
        <v>1258</v>
      </c>
      <c r="AK760" s="1">
        <v>1.1000000000000001</v>
      </c>
      <c r="AL760" s="1">
        <v>89.686499999999995</v>
      </c>
      <c r="AM760" s="1" t="s">
        <v>1258</v>
      </c>
    </row>
    <row r="761" spans="1:46">
      <c r="A761" s="1" t="s">
        <v>1260</v>
      </c>
      <c r="B761" s="1">
        <v>54</v>
      </c>
      <c r="C761" s="1" t="s">
        <v>1260</v>
      </c>
      <c r="D761" s="1" t="s">
        <v>1261</v>
      </c>
      <c r="E761" s="1" t="s">
        <v>47</v>
      </c>
      <c r="F761" s="1" t="s">
        <v>1256</v>
      </c>
      <c r="G761" s="1" t="s">
        <v>456</v>
      </c>
      <c r="H761" s="2" t="s">
        <v>1257</v>
      </c>
      <c r="I761" s="1">
        <v>27</v>
      </c>
      <c r="J761" s="1">
        <v>0.2</v>
      </c>
      <c r="K761" s="1" t="s">
        <v>1262</v>
      </c>
      <c r="L761" s="1" t="s">
        <v>65</v>
      </c>
      <c r="M761" s="1">
        <v>10</v>
      </c>
      <c r="N761" s="1">
        <v>43</v>
      </c>
      <c r="O761" s="1">
        <v>67.62518</v>
      </c>
      <c r="P761" s="1">
        <v>-165.93894</v>
      </c>
      <c r="Q761" s="1">
        <v>4.0579999999999998</v>
      </c>
      <c r="R761" s="1">
        <v>32.4</v>
      </c>
      <c r="S761" s="1">
        <v>347.00900000000001</v>
      </c>
      <c r="W761" s="3">
        <v>0.35120000000000001</v>
      </c>
      <c r="X761" s="1" t="s">
        <v>1263</v>
      </c>
      <c r="AA761" s="1">
        <v>0.67100000000000004</v>
      </c>
      <c r="AB761" s="1">
        <v>1.3</v>
      </c>
      <c r="AC761" s="1">
        <v>0.3</v>
      </c>
      <c r="AD761" s="1">
        <v>0.02</v>
      </c>
      <c r="AE761" s="1">
        <v>0.88</v>
      </c>
      <c r="AF761" s="1">
        <v>0.32</v>
      </c>
      <c r="AH761" s="1" t="s">
        <v>1264</v>
      </c>
      <c r="AI761" s="1">
        <v>4</v>
      </c>
      <c r="AJ761" s="1" t="s">
        <v>1263</v>
      </c>
      <c r="AK761" s="1">
        <v>1.1000000000000001</v>
      </c>
      <c r="AL761" s="1">
        <v>90.069400000000002</v>
      </c>
      <c r="AM761" s="1" t="s">
        <v>1263</v>
      </c>
    </row>
    <row r="762" spans="1:46">
      <c r="A762" s="1" t="s">
        <v>1265</v>
      </c>
      <c r="B762" s="1">
        <v>55</v>
      </c>
      <c r="C762" s="1" t="s">
        <v>1265</v>
      </c>
      <c r="D762" s="1" t="s">
        <v>1266</v>
      </c>
      <c r="E762" s="1" t="s">
        <v>47</v>
      </c>
      <c r="F762" s="1" t="s">
        <v>1256</v>
      </c>
      <c r="G762" s="1" t="s">
        <v>456</v>
      </c>
      <c r="H762" s="2" t="s">
        <v>1257</v>
      </c>
      <c r="I762" s="1">
        <v>27</v>
      </c>
      <c r="J762" s="1">
        <v>0.2</v>
      </c>
      <c r="L762" s="1" t="s">
        <v>65</v>
      </c>
      <c r="M762" s="1">
        <v>20.13</v>
      </c>
      <c r="N762" s="1">
        <v>43</v>
      </c>
      <c r="O762" s="1">
        <v>67.62518</v>
      </c>
      <c r="P762" s="1">
        <v>-165.93894</v>
      </c>
      <c r="Q762" s="1">
        <v>2.141</v>
      </c>
      <c r="R762" s="1">
        <v>32.454999999999998</v>
      </c>
      <c r="S762" s="1">
        <v>366.37400000000002</v>
      </c>
      <c r="W762" s="3">
        <v>0.38650000000000001</v>
      </c>
      <c r="X762" s="1" t="s">
        <v>1267</v>
      </c>
      <c r="AA762" s="1">
        <v>0.83199999999999996</v>
      </c>
      <c r="AB762" s="1">
        <v>7</v>
      </c>
      <c r="AC762" s="1">
        <v>0.6</v>
      </c>
      <c r="AD762" s="1">
        <v>0.05</v>
      </c>
      <c r="AE762" s="1">
        <v>2.33</v>
      </c>
      <c r="AF762" s="1">
        <v>0.65</v>
      </c>
      <c r="AH762" s="1" t="s">
        <v>1268</v>
      </c>
      <c r="AI762" s="1">
        <v>3</v>
      </c>
      <c r="AJ762" s="1" t="s">
        <v>1267</v>
      </c>
      <c r="AK762" s="1">
        <v>1.1000000000000001</v>
      </c>
      <c r="AL762" s="1">
        <v>79.602800000000002</v>
      </c>
      <c r="AM762" s="1" t="s">
        <v>1267</v>
      </c>
    </row>
    <row r="763" spans="1:46">
      <c r="A763" s="1" t="s">
        <v>1269</v>
      </c>
      <c r="B763" s="1">
        <v>52</v>
      </c>
      <c r="C763" s="1" t="s">
        <v>1269</v>
      </c>
      <c r="D763" s="1" t="s">
        <v>1270</v>
      </c>
      <c r="E763" s="1" t="s">
        <v>47</v>
      </c>
      <c r="F763" s="1" t="s">
        <v>1256</v>
      </c>
      <c r="G763" s="1" t="s">
        <v>456</v>
      </c>
      <c r="H763" s="2" t="s">
        <v>1257</v>
      </c>
      <c r="I763" s="1">
        <v>27</v>
      </c>
      <c r="J763" s="1">
        <v>0.2</v>
      </c>
      <c r="K763" s="1" t="s">
        <v>150</v>
      </c>
      <c r="L763" s="1" t="s">
        <v>78</v>
      </c>
      <c r="M763" s="1">
        <v>40.869999999999997</v>
      </c>
      <c r="N763" s="1">
        <v>43</v>
      </c>
      <c r="O763" s="1">
        <v>67.62518</v>
      </c>
      <c r="P763" s="1">
        <v>-165.93896000000001</v>
      </c>
      <c r="Q763" s="1">
        <v>2.1339999999999999</v>
      </c>
      <c r="R763" s="1">
        <v>32.468499999999999</v>
      </c>
      <c r="S763" s="1">
        <v>362.971</v>
      </c>
      <c r="W763" s="3">
        <v>0.48820000000000002</v>
      </c>
      <c r="X763" s="1" t="s">
        <v>1271</v>
      </c>
      <c r="AA763" s="1">
        <v>0.85499999999999998</v>
      </c>
      <c r="AB763" s="1">
        <v>3.1</v>
      </c>
      <c r="AC763" s="1">
        <v>0.7</v>
      </c>
      <c r="AD763" s="1">
        <v>0.06</v>
      </c>
      <c r="AE763" s="1">
        <v>2.5099999999999998</v>
      </c>
      <c r="AF763" s="1">
        <v>0.76</v>
      </c>
      <c r="AH763" s="1" t="s">
        <v>1272</v>
      </c>
      <c r="AI763" s="1">
        <v>1</v>
      </c>
      <c r="AJ763" s="1" t="s">
        <v>1271</v>
      </c>
      <c r="AK763" s="1">
        <v>1.1000000000000001</v>
      </c>
      <c r="AL763" s="1">
        <v>77.249899999999997</v>
      </c>
      <c r="AM763" s="1" t="s">
        <v>1271</v>
      </c>
      <c r="AS763" s="1" t="s">
        <v>1273</v>
      </c>
    </row>
    <row r="764" spans="1:46">
      <c r="A764" s="1" t="s">
        <v>3366</v>
      </c>
      <c r="C764" s="1" t="s">
        <v>3366</v>
      </c>
      <c r="D764" s="1" t="s">
        <v>3367</v>
      </c>
      <c r="E764" s="1" t="s">
        <v>1466</v>
      </c>
      <c r="F764" s="1" t="s">
        <v>3368</v>
      </c>
      <c r="G764" s="1" t="s">
        <v>456</v>
      </c>
      <c r="H764" s="2" t="s">
        <v>3369</v>
      </c>
      <c r="I764" s="1">
        <v>63</v>
      </c>
      <c r="J764" s="1">
        <v>0.2</v>
      </c>
      <c r="K764" s="1" t="s">
        <v>52</v>
      </c>
      <c r="L764" s="1" t="s">
        <v>52</v>
      </c>
      <c r="M764" s="1">
        <v>6.4489999999999998</v>
      </c>
      <c r="N764" s="1">
        <v>16</v>
      </c>
      <c r="O764" s="1">
        <v>70.037520000000001</v>
      </c>
      <c r="P764" s="1">
        <v>-162.76384999999999</v>
      </c>
      <c r="Q764" s="1">
        <v>9.2029499999999995</v>
      </c>
      <c r="R764" s="1">
        <v>29.94605</v>
      </c>
      <c r="S764" s="1">
        <v>276.89150000000001</v>
      </c>
      <c r="W764" s="3">
        <v>1.607</v>
      </c>
      <c r="X764" s="1" t="s">
        <v>3370</v>
      </c>
      <c r="Y764" s="1">
        <v>3.56</v>
      </c>
      <c r="AA764" s="1">
        <v>0.8</v>
      </c>
      <c r="AB764" s="1">
        <v>9.27</v>
      </c>
      <c r="AE764" s="1">
        <v>0.66</v>
      </c>
      <c r="AF764" s="1">
        <v>8.86</v>
      </c>
      <c r="AI764" s="1">
        <v>4</v>
      </c>
      <c r="AJ764" s="1" t="s">
        <v>3371</v>
      </c>
      <c r="AK764" s="1">
        <v>0.9</v>
      </c>
      <c r="AL764" s="1">
        <v>41.162399999999998</v>
      </c>
      <c r="AM764" s="1" t="s">
        <v>3370</v>
      </c>
      <c r="AP764" s="1" t="s">
        <v>3372</v>
      </c>
      <c r="AQ764" s="1">
        <v>-2.44</v>
      </c>
      <c r="AR764" s="1">
        <v>7.53</v>
      </c>
      <c r="AS764" s="1" t="s">
        <v>3373</v>
      </c>
      <c r="AT764" s="1">
        <v>6</v>
      </c>
    </row>
    <row r="765" spans="1:46">
      <c r="A765" s="1" t="s">
        <v>3374</v>
      </c>
      <c r="C765" s="1" t="s">
        <v>3374</v>
      </c>
      <c r="D765" s="1" t="s">
        <v>3375</v>
      </c>
      <c r="E765" s="1" t="s">
        <v>1466</v>
      </c>
      <c r="F765" s="1" t="s">
        <v>3368</v>
      </c>
      <c r="G765" s="1" t="s">
        <v>456</v>
      </c>
      <c r="H765" s="2" t="s">
        <v>3376</v>
      </c>
      <c r="I765" s="1">
        <v>63</v>
      </c>
      <c r="J765" s="1">
        <v>0.2</v>
      </c>
      <c r="K765" s="1" t="s">
        <v>78</v>
      </c>
      <c r="L765" s="1" t="s">
        <v>78</v>
      </c>
      <c r="M765" s="1">
        <v>12.32</v>
      </c>
      <c r="N765" s="1">
        <v>16</v>
      </c>
      <c r="O765" s="1">
        <v>70.037139999999994</v>
      </c>
      <c r="P765" s="1">
        <v>-162.76498000000001</v>
      </c>
      <c r="Q765" s="1">
        <v>9.1471499999999999</v>
      </c>
      <c r="R765" s="1">
        <v>30.065899999999999</v>
      </c>
      <c r="S765" s="1">
        <v>272.18200000000002</v>
      </c>
      <c r="W765" s="3">
        <v>1.2150000000000001</v>
      </c>
      <c r="X765" s="1" t="s">
        <v>3377</v>
      </c>
      <c r="Y765" s="1">
        <v>3.28</v>
      </c>
      <c r="AA765" s="1">
        <v>0.73</v>
      </c>
      <c r="AB765" s="1">
        <v>9.06</v>
      </c>
      <c r="AE765" s="1">
        <v>0.65</v>
      </c>
      <c r="AF765" s="1">
        <v>16</v>
      </c>
      <c r="AI765" s="1">
        <v>1</v>
      </c>
      <c r="AJ765" s="1" t="s">
        <v>3377</v>
      </c>
      <c r="AK765" s="1">
        <v>0.9</v>
      </c>
      <c r="AL765" s="1">
        <v>35.188699999999997</v>
      </c>
      <c r="AM765" s="1" t="s">
        <v>3377</v>
      </c>
      <c r="AP765" s="1" t="s">
        <v>3378</v>
      </c>
      <c r="AQ765" s="1">
        <v>-2.42</v>
      </c>
      <c r="AR765" s="1">
        <v>7.53</v>
      </c>
      <c r="AS765" s="1" t="s">
        <v>3379</v>
      </c>
      <c r="AT765" s="1">
        <v>12</v>
      </c>
    </row>
    <row r="766" spans="1:46">
      <c r="A766" s="1" t="s">
        <v>3380</v>
      </c>
      <c r="C766" s="1" t="s">
        <v>3380</v>
      </c>
      <c r="D766" s="1" t="s">
        <v>3381</v>
      </c>
      <c r="E766" s="1" t="s">
        <v>1466</v>
      </c>
      <c r="F766" s="1" t="s">
        <v>3382</v>
      </c>
      <c r="G766" s="1" t="s">
        <v>456</v>
      </c>
      <c r="H766" s="2" t="s">
        <v>3383</v>
      </c>
      <c r="I766" s="1">
        <v>72</v>
      </c>
      <c r="J766" s="1">
        <v>0.2</v>
      </c>
      <c r="K766" s="1" t="s">
        <v>52</v>
      </c>
      <c r="L766" s="1" t="s">
        <v>52</v>
      </c>
      <c r="M766" s="1">
        <v>4.6680000000000001</v>
      </c>
      <c r="N766" s="1">
        <v>44</v>
      </c>
      <c r="O766" s="1">
        <v>71.141159999999999</v>
      </c>
      <c r="P766" s="1">
        <v>-166.03460000000001</v>
      </c>
      <c r="Q766" s="1">
        <v>6.9730499999999997</v>
      </c>
      <c r="R766" s="1">
        <v>32.089449999999999</v>
      </c>
      <c r="S766" s="1">
        <v>298.18400000000003</v>
      </c>
      <c r="W766" s="3">
        <v>1.3759999999999999</v>
      </c>
      <c r="X766" s="1" t="s">
        <v>3384</v>
      </c>
      <c r="Y766" s="1">
        <v>1.51</v>
      </c>
      <c r="AA766" s="1">
        <v>0.42</v>
      </c>
      <c r="AB766" s="1">
        <v>1.78</v>
      </c>
      <c r="AE766" s="1">
        <v>1.3</v>
      </c>
      <c r="AF766" s="1">
        <v>1.27</v>
      </c>
      <c r="AI766" s="1">
        <v>9</v>
      </c>
      <c r="AJ766" s="1" t="s">
        <v>3384</v>
      </c>
      <c r="AK766" s="1">
        <v>1.5</v>
      </c>
      <c r="AL766" s="1">
        <v>89.049899999999994</v>
      </c>
      <c r="AM766" s="1" t="s">
        <v>3384</v>
      </c>
      <c r="AP766" s="1" t="s">
        <v>3385</v>
      </c>
      <c r="AQ766" s="1">
        <v>-1.3</v>
      </c>
      <c r="AR766" s="1">
        <v>11.85</v>
      </c>
      <c r="AT766" s="1">
        <v>5</v>
      </c>
    </row>
    <row r="767" spans="1:46">
      <c r="A767" s="1" t="s">
        <v>3386</v>
      </c>
      <c r="C767" s="1" t="s">
        <v>3386</v>
      </c>
      <c r="D767" s="1" t="s">
        <v>3387</v>
      </c>
      <c r="E767" s="1" t="s">
        <v>1466</v>
      </c>
      <c r="F767" s="1" t="s">
        <v>3382</v>
      </c>
      <c r="G767" s="1" t="s">
        <v>456</v>
      </c>
      <c r="H767" s="2" t="s">
        <v>3388</v>
      </c>
      <c r="I767" s="1">
        <v>72</v>
      </c>
      <c r="J767" s="1">
        <v>0.2</v>
      </c>
      <c r="L767" s="1" t="s">
        <v>65</v>
      </c>
      <c r="M767" s="1">
        <v>20.178000000000001</v>
      </c>
      <c r="N767" s="1">
        <v>44</v>
      </c>
      <c r="O767" s="1">
        <v>71.141419999999997</v>
      </c>
      <c r="P767" s="1">
        <v>-166.03399999999999</v>
      </c>
      <c r="Q767" s="1">
        <v>6.7450000000000001</v>
      </c>
      <c r="R767" s="1">
        <v>32.153300000000002</v>
      </c>
      <c r="S767" s="1">
        <v>292.83999999999997</v>
      </c>
      <c r="W767" s="3">
        <v>1.238</v>
      </c>
      <c r="X767" s="1" t="s">
        <v>660</v>
      </c>
      <c r="Y767" s="1">
        <v>1.57</v>
      </c>
      <c r="AA767" s="1">
        <v>0.42</v>
      </c>
      <c r="AB767" s="1">
        <v>1.78</v>
      </c>
      <c r="AE767" s="1">
        <v>0.69</v>
      </c>
      <c r="AF767" s="1">
        <v>2.08</v>
      </c>
      <c r="AI767" s="1">
        <v>5</v>
      </c>
      <c r="AJ767" s="1" t="s">
        <v>660</v>
      </c>
      <c r="AK767" s="1">
        <v>1.5</v>
      </c>
      <c r="AL767" s="1">
        <v>91.528800000000004</v>
      </c>
      <c r="AM767" s="1" t="s">
        <v>660</v>
      </c>
      <c r="AP767" s="1" t="s">
        <v>3389</v>
      </c>
      <c r="AR767" s="1">
        <v>11.85</v>
      </c>
      <c r="AT767" s="1">
        <v>20</v>
      </c>
    </row>
    <row r="768" spans="1:46">
      <c r="A768" s="1" t="s">
        <v>3390</v>
      </c>
      <c r="C768" s="1" t="s">
        <v>3390</v>
      </c>
      <c r="D768" s="1" t="s">
        <v>3387</v>
      </c>
      <c r="E768" s="1" t="s">
        <v>1466</v>
      </c>
      <c r="F768" s="1" t="s">
        <v>3382</v>
      </c>
      <c r="G768" s="1" t="s">
        <v>456</v>
      </c>
      <c r="H768" s="2" t="s">
        <v>3388</v>
      </c>
      <c r="I768" s="1">
        <v>72</v>
      </c>
      <c r="J768" s="1">
        <v>0.2</v>
      </c>
      <c r="L768" s="1" t="s">
        <v>65</v>
      </c>
      <c r="M768" s="1">
        <v>20.178000000000001</v>
      </c>
      <c r="N768" s="1">
        <v>44</v>
      </c>
      <c r="O768" s="1">
        <v>71.141419999999997</v>
      </c>
      <c r="P768" s="1">
        <v>-166.03399999999999</v>
      </c>
      <c r="Q768" s="1">
        <v>6.7450000000000001</v>
      </c>
      <c r="R768" s="1">
        <v>32.153300000000002</v>
      </c>
      <c r="S768" s="1">
        <v>292.83999999999997</v>
      </c>
      <c r="W768" s="3">
        <v>1.238</v>
      </c>
      <c r="X768" s="1" t="s">
        <v>660</v>
      </c>
      <c r="Y768" s="1">
        <v>1.57</v>
      </c>
      <c r="AA768" s="1">
        <v>0.42</v>
      </c>
      <c r="AB768" s="1">
        <v>1.78</v>
      </c>
      <c r="AE768" s="1">
        <v>0.69</v>
      </c>
      <c r="AF768" s="1">
        <v>2.08</v>
      </c>
      <c r="AI768" s="1">
        <v>5</v>
      </c>
      <c r="AJ768" s="1" t="s">
        <v>660</v>
      </c>
      <c r="AK768" s="1">
        <v>1.5</v>
      </c>
      <c r="AL768" s="1">
        <v>91.528800000000004</v>
      </c>
      <c r="AM768" s="1" t="s">
        <v>660</v>
      </c>
      <c r="AP768" s="1" t="s">
        <v>3389</v>
      </c>
      <c r="AR768" s="1">
        <v>11.85</v>
      </c>
      <c r="AT768" s="1">
        <v>20</v>
      </c>
    </row>
    <row r="769" spans="1:46">
      <c r="A769" s="1" t="s">
        <v>3391</v>
      </c>
      <c r="C769" s="1" t="s">
        <v>3391</v>
      </c>
      <c r="D769" s="1" t="s">
        <v>3392</v>
      </c>
      <c r="E769" s="1" t="s">
        <v>1466</v>
      </c>
      <c r="F769" s="1" t="s">
        <v>3382</v>
      </c>
      <c r="G769" s="1" t="s">
        <v>456</v>
      </c>
      <c r="H769" s="2" t="s">
        <v>3393</v>
      </c>
      <c r="I769" s="1">
        <v>72</v>
      </c>
      <c r="J769" s="1">
        <v>0.2</v>
      </c>
      <c r="K769" s="1" t="s">
        <v>78</v>
      </c>
      <c r="L769" s="1" t="s">
        <v>78</v>
      </c>
      <c r="M769" s="1">
        <v>39.085999999999999</v>
      </c>
      <c r="N769" s="1">
        <v>44</v>
      </c>
      <c r="O769" s="1">
        <v>71.141580000000005</v>
      </c>
      <c r="P769" s="1">
        <v>-166.03344000000001</v>
      </c>
      <c r="Q769" s="1">
        <v>3.8166000000000002</v>
      </c>
      <c r="R769" s="1">
        <v>32.5901</v>
      </c>
      <c r="S769" s="1">
        <v>252.68799999999999</v>
      </c>
      <c r="W769" s="3">
        <v>0.38600000000000001</v>
      </c>
      <c r="X769" s="1" t="s">
        <v>672</v>
      </c>
      <c r="Y769" s="1">
        <v>0.54</v>
      </c>
      <c r="AA769" s="1">
        <v>1.6</v>
      </c>
      <c r="AB769" s="1">
        <v>15.78</v>
      </c>
      <c r="AE769" s="1">
        <v>5.72</v>
      </c>
      <c r="AF769" s="1">
        <v>9.7899999999999991</v>
      </c>
      <c r="AI769" s="1">
        <v>1</v>
      </c>
      <c r="AJ769" s="1" t="s">
        <v>672</v>
      </c>
      <c r="AK769" s="1">
        <v>1.5</v>
      </c>
      <c r="AL769" s="1">
        <v>70.760800000000003</v>
      </c>
      <c r="AM769" s="1" t="s">
        <v>672</v>
      </c>
      <c r="AP769" s="1" t="s">
        <v>3394</v>
      </c>
      <c r="AQ769" s="1">
        <v>-0.9</v>
      </c>
      <c r="AR769" s="1">
        <v>11.85</v>
      </c>
      <c r="AS769" s="1" t="s">
        <v>3395</v>
      </c>
      <c r="AT769" s="1">
        <v>39</v>
      </c>
    </row>
    <row r="770" spans="1:46">
      <c r="A770" s="1" t="s">
        <v>3396</v>
      </c>
      <c r="C770" s="1" t="s">
        <v>3396</v>
      </c>
      <c r="D770" s="1" t="s">
        <v>3397</v>
      </c>
      <c r="E770" s="1" t="s">
        <v>1466</v>
      </c>
      <c r="F770" s="1" t="s">
        <v>3398</v>
      </c>
      <c r="G770" s="1" t="s">
        <v>456</v>
      </c>
      <c r="H770" s="2" t="s">
        <v>3399</v>
      </c>
      <c r="I770" s="1">
        <v>74</v>
      </c>
      <c r="J770" s="1">
        <v>0.2</v>
      </c>
      <c r="K770" s="1" t="s">
        <v>52</v>
      </c>
      <c r="L770" s="1" t="s">
        <v>52</v>
      </c>
      <c r="M770" s="1">
        <v>5.5110000000000001</v>
      </c>
      <c r="N770" s="1">
        <v>47</v>
      </c>
      <c r="O770" s="1">
        <v>71.386139999999997</v>
      </c>
      <c r="P770" s="1">
        <v>-166.82002</v>
      </c>
      <c r="Q770" s="1">
        <v>6.8137999999999996</v>
      </c>
      <c r="R770" s="1">
        <v>32.1965</v>
      </c>
      <c r="S770" s="1">
        <v>296.37400000000002</v>
      </c>
      <c r="W770" s="3">
        <v>0.995</v>
      </c>
      <c r="X770" s="1" t="s">
        <v>3400</v>
      </c>
      <c r="Y770" s="1">
        <v>1.22</v>
      </c>
      <c r="AA770" s="1">
        <v>0.34</v>
      </c>
      <c r="AB770" s="1">
        <v>1.78</v>
      </c>
      <c r="AE770" s="1">
        <v>0.25</v>
      </c>
      <c r="AF770" s="1">
        <v>0.16</v>
      </c>
      <c r="AI770" s="1">
        <v>9</v>
      </c>
      <c r="AJ770" s="1" t="s">
        <v>3400</v>
      </c>
      <c r="AK770" s="1">
        <v>2</v>
      </c>
      <c r="AL770" s="1">
        <v>91.071100000000001</v>
      </c>
      <c r="AM770" s="1" t="s">
        <v>3400</v>
      </c>
      <c r="AP770" s="1" t="s">
        <v>3401</v>
      </c>
      <c r="AQ770" s="1">
        <v>-1.1299999999999999</v>
      </c>
      <c r="AR770" s="1">
        <v>11.98</v>
      </c>
      <c r="AT770" s="1">
        <v>5</v>
      </c>
    </row>
    <row r="771" spans="1:46">
      <c r="A771" s="1" t="s">
        <v>3402</v>
      </c>
      <c r="C771" s="1" t="s">
        <v>3402</v>
      </c>
      <c r="D771" s="1" t="s">
        <v>3403</v>
      </c>
      <c r="E771" s="1" t="s">
        <v>1466</v>
      </c>
      <c r="F771" s="1" t="s">
        <v>3398</v>
      </c>
      <c r="G771" s="1" t="s">
        <v>456</v>
      </c>
      <c r="H771" s="2" t="s">
        <v>3399</v>
      </c>
      <c r="I771" s="1">
        <v>74</v>
      </c>
      <c r="J771" s="1">
        <v>0.2</v>
      </c>
      <c r="K771" s="1" t="s">
        <v>52</v>
      </c>
      <c r="L771" s="1" t="s">
        <v>52</v>
      </c>
      <c r="M771" s="1">
        <v>5.5110000000000001</v>
      </c>
      <c r="N771" s="1">
        <v>47</v>
      </c>
      <c r="O771" s="1">
        <v>71.386139999999997</v>
      </c>
      <c r="P771" s="1">
        <v>-166.82002</v>
      </c>
      <c r="Q771" s="1">
        <v>6.8137999999999996</v>
      </c>
      <c r="R771" s="1">
        <v>32.1965</v>
      </c>
      <c r="S771" s="1">
        <v>296.37400000000002</v>
      </c>
      <c r="W771" s="3">
        <v>0.995</v>
      </c>
      <c r="X771" s="1" t="s">
        <v>3400</v>
      </c>
      <c r="Y771" s="1">
        <v>1.22</v>
      </c>
      <c r="AA771" s="1">
        <v>0.34</v>
      </c>
      <c r="AB771" s="1">
        <v>1.78</v>
      </c>
      <c r="AE771" s="1">
        <v>0.25</v>
      </c>
      <c r="AF771" s="1">
        <v>0.16</v>
      </c>
      <c r="AI771" s="1">
        <v>9</v>
      </c>
      <c r="AJ771" s="1" t="s">
        <v>3400</v>
      </c>
      <c r="AK771" s="1">
        <v>2</v>
      </c>
      <c r="AL771" s="1">
        <v>91.071100000000001</v>
      </c>
      <c r="AM771" s="1" t="s">
        <v>3400</v>
      </c>
      <c r="AP771" s="1" t="s">
        <v>3401</v>
      </c>
      <c r="AQ771" s="1">
        <v>-1.1299999999999999</v>
      </c>
      <c r="AR771" s="1">
        <v>11.98</v>
      </c>
      <c r="AT771" s="1">
        <v>5</v>
      </c>
    </row>
    <row r="772" spans="1:46">
      <c r="A772" s="1" t="s">
        <v>3404</v>
      </c>
      <c r="C772" s="1" t="s">
        <v>3404</v>
      </c>
      <c r="D772" s="1" t="s">
        <v>3405</v>
      </c>
      <c r="E772" s="1" t="s">
        <v>1466</v>
      </c>
      <c r="F772" s="1" t="s">
        <v>3398</v>
      </c>
      <c r="G772" s="1" t="s">
        <v>456</v>
      </c>
      <c r="H772" s="2" t="s">
        <v>3399</v>
      </c>
      <c r="I772" s="1">
        <v>74</v>
      </c>
      <c r="J772" s="1">
        <v>0.2</v>
      </c>
      <c r="K772" s="1" t="s">
        <v>52</v>
      </c>
      <c r="L772" s="1" t="s">
        <v>52</v>
      </c>
      <c r="M772" s="1">
        <v>5.5110000000000001</v>
      </c>
      <c r="N772" s="1">
        <v>47</v>
      </c>
      <c r="O772" s="1">
        <v>71.386139999999997</v>
      </c>
      <c r="P772" s="1">
        <v>-166.82002</v>
      </c>
      <c r="Q772" s="1">
        <v>6.8137999999999996</v>
      </c>
      <c r="R772" s="1">
        <v>32.1965</v>
      </c>
      <c r="S772" s="1">
        <v>296.37400000000002</v>
      </c>
      <c r="W772" s="3">
        <v>0.995</v>
      </c>
      <c r="X772" s="1" t="s">
        <v>3400</v>
      </c>
      <c r="Y772" s="1">
        <v>1.22</v>
      </c>
      <c r="AA772" s="1">
        <v>0.34</v>
      </c>
      <c r="AB772" s="1">
        <v>1.78</v>
      </c>
      <c r="AE772" s="1">
        <v>0.25</v>
      </c>
      <c r="AF772" s="1">
        <v>0.16</v>
      </c>
      <c r="AI772" s="1">
        <v>9</v>
      </c>
      <c r="AJ772" s="1" t="s">
        <v>3400</v>
      </c>
      <c r="AK772" s="1">
        <v>2</v>
      </c>
      <c r="AL772" s="1">
        <v>91.071100000000001</v>
      </c>
      <c r="AM772" s="1" t="s">
        <v>3400</v>
      </c>
      <c r="AP772" s="1" t="s">
        <v>3401</v>
      </c>
      <c r="AQ772" s="1">
        <v>-1.1299999999999999</v>
      </c>
      <c r="AR772" s="1">
        <v>11.98</v>
      </c>
      <c r="AT772" s="1">
        <v>5</v>
      </c>
    </row>
    <row r="773" spans="1:46">
      <c r="A773" s="1" t="s">
        <v>3406</v>
      </c>
      <c r="C773" s="1" t="s">
        <v>3406</v>
      </c>
      <c r="D773" s="1" t="s">
        <v>3407</v>
      </c>
      <c r="E773" s="1" t="s">
        <v>1466</v>
      </c>
      <c r="F773" s="1" t="s">
        <v>3398</v>
      </c>
      <c r="G773" s="1" t="s">
        <v>456</v>
      </c>
      <c r="H773" s="2" t="s">
        <v>3408</v>
      </c>
      <c r="I773" s="1">
        <v>74</v>
      </c>
      <c r="J773" s="1">
        <v>0.2</v>
      </c>
      <c r="L773" s="1" t="s">
        <v>65</v>
      </c>
      <c r="M773" s="1">
        <v>19.234000000000002</v>
      </c>
      <c r="N773" s="1">
        <v>47</v>
      </c>
      <c r="O773" s="1">
        <v>71.386300000000006</v>
      </c>
      <c r="P773" s="1">
        <v>-166.81966</v>
      </c>
      <c r="Q773" s="1">
        <v>6.8157500000000004</v>
      </c>
      <c r="R773" s="1">
        <v>32.194299999999998</v>
      </c>
      <c r="S773" s="1">
        <v>296.86649999999997</v>
      </c>
      <c r="W773" s="3">
        <v>0.78600000000000003</v>
      </c>
      <c r="X773" s="1" t="s">
        <v>696</v>
      </c>
      <c r="Y773" s="1">
        <v>1.3</v>
      </c>
      <c r="AA773" s="1">
        <v>0.34</v>
      </c>
      <c r="AB773" s="1">
        <v>1.78</v>
      </c>
      <c r="AE773" s="1">
        <v>0.24</v>
      </c>
      <c r="AF773" s="1">
        <v>0.15</v>
      </c>
      <c r="AI773" s="1">
        <v>5</v>
      </c>
      <c r="AJ773" s="1" t="s">
        <v>696</v>
      </c>
      <c r="AK773" s="1">
        <v>2</v>
      </c>
      <c r="AL773" s="1">
        <v>91.118700000000004</v>
      </c>
      <c r="AM773" s="1" t="s">
        <v>696</v>
      </c>
      <c r="AP773" s="1" t="s">
        <v>3409</v>
      </c>
      <c r="AR773" s="1">
        <v>11.98</v>
      </c>
      <c r="AT773" s="1">
        <v>20</v>
      </c>
    </row>
    <row r="774" spans="1:46">
      <c r="A774" s="1" t="s">
        <v>3410</v>
      </c>
      <c r="C774" s="1" t="s">
        <v>3410</v>
      </c>
      <c r="D774" s="1" t="s">
        <v>3407</v>
      </c>
      <c r="E774" s="1" t="s">
        <v>1466</v>
      </c>
      <c r="F774" s="1" t="s">
        <v>3398</v>
      </c>
      <c r="G774" s="1" t="s">
        <v>456</v>
      </c>
      <c r="H774" s="2" t="s">
        <v>3408</v>
      </c>
      <c r="I774" s="1">
        <v>74</v>
      </c>
      <c r="J774" s="1">
        <v>0.2</v>
      </c>
      <c r="L774" s="1" t="s">
        <v>65</v>
      </c>
      <c r="M774" s="1">
        <v>19.234000000000002</v>
      </c>
      <c r="N774" s="1">
        <v>47</v>
      </c>
      <c r="O774" s="1">
        <v>71.386300000000006</v>
      </c>
      <c r="P774" s="1">
        <v>-166.81966</v>
      </c>
      <c r="Q774" s="1">
        <v>6.8157500000000004</v>
      </c>
      <c r="R774" s="1">
        <v>32.194299999999998</v>
      </c>
      <c r="S774" s="1">
        <v>296.86649999999997</v>
      </c>
      <c r="W774" s="3">
        <v>0.78600000000000003</v>
      </c>
      <c r="X774" s="1" t="s">
        <v>696</v>
      </c>
      <c r="Y774" s="1">
        <v>1.3</v>
      </c>
      <c r="AA774" s="1">
        <v>0.34</v>
      </c>
      <c r="AB774" s="1">
        <v>1.78</v>
      </c>
      <c r="AE774" s="1">
        <v>0.24</v>
      </c>
      <c r="AF774" s="1">
        <v>0.15</v>
      </c>
      <c r="AI774" s="1">
        <v>5</v>
      </c>
      <c r="AJ774" s="1" t="s">
        <v>696</v>
      </c>
      <c r="AK774" s="1">
        <v>2</v>
      </c>
      <c r="AL774" s="1">
        <v>91.118700000000004</v>
      </c>
      <c r="AM774" s="1" t="s">
        <v>696</v>
      </c>
      <c r="AP774" s="1" t="s">
        <v>3409</v>
      </c>
      <c r="AR774" s="1">
        <v>11.98</v>
      </c>
      <c r="AT774" s="1">
        <v>20</v>
      </c>
    </row>
    <row r="775" spans="1:46">
      <c r="A775" s="1" t="s">
        <v>3411</v>
      </c>
      <c r="C775" s="1" t="s">
        <v>3411</v>
      </c>
      <c r="D775" s="1" t="s">
        <v>3412</v>
      </c>
      <c r="E775" s="1" t="s">
        <v>1466</v>
      </c>
      <c r="F775" s="1" t="s">
        <v>3398</v>
      </c>
      <c r="G775" s="1" t="s">
        <v>456</v>
      </c>
      <c r="H775" s="2" t="s">
        <v>3413</v>
      </c>
      <c r="I775" s="1">
        <v>74</v>
      </c>
      <c r="J775" s="1">
        <v>0.2</v>
      </c>
      <c r="L775" s="1" t="s">
        <v>65</v>
      </c>
      <c r="M775" s="1">
        <v>29.311</v>
      </c>
      <c r="N775" s="1">
        <v>47</v>
      </c>
      <c r="O775" s="1">
        <v>71.386380000000003</v>
      </c>
      <c r="P775" s="1">
        <v>-166.81952000000001</v>
      </c>
      <c r="Q775" s="1">
        <v>4.3103999999999996</v>
      </c>
      <c r="R775" s="1">
        <v>32.628950000000003</v>
      </c>
      <c r="S775" s="1">
        <v>282.96300000000002</v>
      </c>
      <c r="W775" s="3">
        <v>0.68799999999999994</v>
      </c>
      <c r="X775" s="1" t="s">
        <v>3414</v>
      </c>
      <c r="Y775" s="1">
        <v>2.17</v>
      </c>
      <c r="AA775" s="1">
        <v>1.37</v>
      </c>
      <c r="AB775" s="1">
        <v>8.2100000000000009</v>
      </c>
      <c r="AE775" s="1">
        <v>1.95</v>
      </c>
      <c r="AF775" s="1">
        <v>2.3199999999999998</v>
      </c>
      <c r="AI775" s="1">
        <v>3</v>
      </c>
      <c r="AJ775" s="1" t="s">
        <v>3414</v>
      </c>
      <c r="AK775" s="1">
        <v>2</v>
      </c>
      <c r="AL775" s="1">
        <v>90.533100000000005</v>
      </c>
      <c r="AM775" s="1" t="s">
        <v>3414</v>
      </c>
      <c r="AP775" s="1" t="s">
        <v>3415</v>
      </c>
      <c r="AR775" s="1">
        <v>11.98</v>
      </c>
      <c r="AT775" s="1">
        <v>30</v>
      </c>
    </row>
    <row r="776" spans="1:46">
      <c r="A776" s="1" t="s">
        <v>3416</v>
      </c>
      <c r="C776" s="1" t="s">
        <v>3416</v>
      </c>
      <c r="D776" s="1" t="s">
        <v>3417</v>
      </c>
      <c r="E776" s="1" t="s">
        <v>1466</v>
      </c>
      <c r="F776" s="1" t="s">
        <v>3398</v>
      </c>
      <c r="G776" s="1" t="s">
        <v>456</v>
      </c>
      <c r="H776" s="2" t="s">
        <v>3413</v>
      </c>
      <c r="I776" s="1">
        <v>74</v>
      </c>
      <c r="J776" s="1">
        <v>0.2</v>
      </c>
      <c r="L776" s="1" t="s">
        <v>65</v>
      </c>
      <c r="M776" s="1">
        <v>29.311</v>
      </c>
      <c r="N776" s="1">
        <v>47</v>
      </c>
      <c r="O776" s="1">
        <v>71.386380000000003</v>
      </c>
      <c r="P776" s="1">
        <v>-166.81952000000001</v>
      </c>
      <c r="Q776" s="1">
        <v>4.3103999999999996</v>
      </c>
      <c r="R776" s="1">
        <v>32.628950000000003</v>
      </c>
      <c r="S776" s="1">
        <v>282.96300000000002</v>
      </c>
      <c r="W776" s="3">
        <v>0.68799999999999994</v>
      </c>
      <c r="X776" s="1" t="s">
        <v>3414</v>
      </c>
      <c r="Y776" s="1">
        <v>2.17</v>
      </c>
      <c r="AA776" s="1">
        <v>1.37</v>
      </c>
      <c r="AB776" s="1">
        <v>8.2100000000000009</v>
      </c>
      <c r="AE776" s="1">
        <v>1.95</v>
      </c>
      <c r="AF776" s="1">
        <v>2.3199999999999998</v>
      </c>
      <c r="AI776" s="1">
        <v>3</v>
      </c>
      <c r="AJ776" s="1" t="s">
        <v>3414</v>
      </c>
      <c r="AK776" s="1">
        <v>2</v>
      </c>
      <c r="AL776" s="1">
        <v>90.533100000000005</v>
      </c>
      <c r="AM776" s="1" t="s">
        <v>3414</v>
      </c>
      <c r="AP776" s="1" t="s">
        <v>3415</v>
      </c>
      <c r="AR776" s="1">
        <v>11.98</v>
      </c>
      <c r="AT776" s="1">
        <v>30</v>
      </c>
    </row>
    <row r="777" spans="1:46">
      <c r="A777" s="1" t="s">
        <v>3418</v>
      </c>
      <c r="C777" s="1" t="s">
        <v>3418</v>
      </c>
      <c r="D777" s="1" t="s">
        <v>3419</v>
      </c>
      <c r="E777" s="1" t="s">
        <v>1466</v>
      </c>
      <c r="F777" s="1" t="s">
        <v>3398</v>
      </c>
      <c r="G777" s="1" t="s">
        <v>456</v>
      </c>
      <c r="H777" s="2" t="s">
        <v>3420</v>
      </c>
      <c r="I777" s="1">
        <v>74</v>
      </c>
      <c r="J777" s="1">
        <v>0.2</v>
      </c>
      <c r="K777" s="1" t="s">
        <v>78</v>
      </c>
      <c r="L777" s="1" t="s">
        <v>78</v>
      </c>
      <c r="M777" s="1">
        <v>44.051000000000002</v>
      </c>
      <c r="N777" s="1">
        <v>47</v>
      </c>
      <c r="O777" s="1">
        <v>71.386420000000001</v>
      </c>
      <c r="P777" s="1">
        <v>-166.81979000000001</v>
      </c>
      <c r="Q777" s="1">
        <v>4.0441000000000003</v>
      </c>
      <c r="R777" s="1">
        <v>32.661250000000003</v>
      </c>
      <c r="S777" s="1">
        <v>260.60849999999999</v>
      </c>
      <c r="W777" s="3">
        <v>0.45700000000000002</v>
      </c>
      <c r="X777" s="1" t="s">
        <v>705</v>
      </c>
      <c r="Y777" s="1">
        <v>0.7</v>
      </c>
      <c r="AA777" s="1">
        <v>1.57</v>
      </c>
      <c r="AB777" s="1">
        <v>14.24</v>
      </c>
      <c r="AE777" s="1">
        <v>4.04</v>
      </c>
      <c r="AF777" s="1">
        <v>3.76</v>
      </c>
      <c r="AI777" s="1">
        <v>1</v>
      </c>
      <c r="AJ777" s="1" t="s">
        <v>705</v>
      </c>
      <c r="AK777" s="1">
        <v>2</v>
      </c>
      <c r="AL777" s="1">
        <v>41.8446</v>
      </c>
      <c r="AM777" s="1" t="s">
        <v>705</v>
      </c>
      <c r="AP777" s="1" t="s">
        <v>3421</v>
      </c>
      <c r="AQ777" s="1">
        <v>-0.9</v>
      </c>
      <c r="AR777" s="1">
        <v>11.98</v>
      </c>
      <c r="AS777" s="1" t="s">
        <v>3422</v>
      </c>
      <c r="AT777" s="1">
        <v>44</v>
      </c>
    </row>
    <row r="778" spans="1:46">
      <c r="A778" s="1" t="s">
        <v>3423</v>
      </c>
      <c r="C778" s="1" t="s">
        <v>3423</v>
      </c>
      <c r="D778" s="1" t="s">
        <v>3424</v>
      </c>
      <c r="E778" s="1" t="s">
        <v>1466</v>
      </c>
      <c r="F778" s="1" t="s">
        <v>3398</v>
      </c>
      <c r="G778" s="1" t="s">
        <v>456</v>
      </c>
      <c r="H778" s="2" t="s">
        <v>3420</v>
      </c>
      <c r="I778" s="1">
        <v>74</v>
      </c>
      <c r="J778" s="1">
        <v>0.2</v>
      </c>
      <c r="K778" s="1" t="s">
        <v>78</v>
      </c>
      <c r="L778" s="1" t="s">
        <v>78</v>
      </c>
      <c r="M778" s="1">
        <v>44.051000000000002</v>
      </c>
      <c r="N778" s="1">
        <v>47</v>
      </c>
      <c r="O778" s="1">
        <v>71.386420000000001</v>
      </c>
      <c r="P778" s="1">
        <v>-166.81979000000001</v>
      </c>
      <c r="Q778" s="1">
        <v>4.0441000000000003</v>
      </c>
      <c r="R778" s="1">
        <v>32.661250000000003</v>
      </c>
      <c r="S778" s="1">
        <v>260.60849999999999</v>
      </c>
      <c r="W778" s="3">
        <v>0.45700000000000002</v>
      </c>
      <c r="X778" s="1" t="s">
        <v>705</v>
      </c>
      <c r="Y778" s="1">
        <v>0.7</v>
      </c>
      <c r="AA778" s="1">
        <v>1.57</v>
      </c>
      <c r="AB778" s="1">
        <v>14.24</v>
      </c>
      <c r="AE778" s="1">
        <v>4.04</v>
      </c>
      <c r="AF778" s="1">
        <v>3.76</v>
      </c>
      <c r="AI778" s="1">
        <v>1</v>
      </c>
      <c r="AJ778" s="1" t="s">
        <v>705</v>
      </c>
      <c r="AK778" s="1">
        <v>2</v>
      </c>
      <c r="AL778" s="1">
        <v>41.8446</v>
      </c>
      <c r="AM778" s="1" t="s">
        <v>705</v>
      </c>
      <c r="AP778" s="1" t="s">
        <v>3421</v>
      </c>
      <c r="AQ778" s="1">
        <v>-0.9</v>
      </c>
      <c r="AR778" s="1">
        <v>11.98</v>
      </c>
      <c r="AS778" s="1" t="s">
        <v>3422</v>
      </c>
      <c r="AT778" s="1">
        <v>44</v>
      </c>
    </row>
    <row r="779" spans="1:46">
      <c r="A779" s="1" t="s">
        <v>3425</v>
      </c>
      <c r="C779" s="1" t="s">
        <v>3425</v>
      </c>
      <c r="D779" s="1" t="s">
        <v>3426</v>
      </c>
      <c r="E779" s="1" t="s">
        <v>1466</v>
      </c>
      <c r="F779" s="1" t="s">
        <v>3398</v>
      </c>
      <c r="G779" s="1" t="s">
        <v>456</v>
      </c>
      <c r="H779" s="2" t="s">
        <v>3420</v>
      </c>
      <c r="I779" s="1">
        <v>74</v>
      </c>
      <c r="J779" s="1">
        <v>0.2</v>
      </c>
      <c r="K779" s="1" t="s">
        <v>78</v>
      </c>
      <c r="L779" s="1" t="s">
        <v>78</v>
      </c>
      <c r="M779" s="1">
        <v>44.051000000000002</v>
      </c>
      <c r="N779" s="1">
        <v>47</v>
      </c>
      <c r="O779" s="1">
        <v>71.386420000000001</v>
      </c>
      <c r="P779" s="1">
        <v>-166.81979000000001</v>
      </c>
      <c r="Q779" s="1">
        <v>4.0441000000000003</v>
      </c>
      <c r="R779" s="1">
        <v>32.661250000000003</v>
      </c>
      <c r="S779" s="1">
        <v>260.60849999999999</v>
      </c>
      <c r="W779" s="3">
        <v>0.45700000000000002</v>
      </c>
      <c r="X779" s="1" t="s">
        <v>705</v>
      </c>
      <c r="Y779" s="1">
        <v>0.7</v>
      </c>
      <c r="AA779" s="1">
        <v>1.57</v>
      </c>
      <c r="AB779" s="1">
        <v>14.24</v>
      </c>
      <c r="AE779" s="1">
        <v>4.04</v>
      </c>
      <c r="AF779" s="1">
        <v>3.76</v>
      </c>
      <c r="AI779" s="1">
        <v>1</v>
      </c>
      <c r="AJ779" s="1" t="s">
        <v>705</v>
      </c>
      <c r="AK779" s="1">
        <v>2</v>
      </c>
      <c r="AL779" s="1">
        <v>41.8446</v>
      </c>
      <c r="AM779" s="1" t="s">
        <v>705</v>
      </c>
      <c r="AP779" s="1" t="s">
        <v>3421</v>
      </c>
      <c r="AQ779" s="1">
        <v>-0.9</v>
      </c>
      <c r="AR779" s="1">
        <v>11.98</v>
      </c>
      <c r="AS779" s="1" t="s">
        <v>3422</v>
      </c>
      <c r="AT779" s="1">
        <v>44</v>
      </c>
    </row>
    <row r="780" spans="1:46">
      <c r="A780" s="1" t="s">
        <v>3427</v>
      </c>
      <c r="C780" s="1" t="s">
        <v>3427</v>
      </c>
      <c r="D780" s="1" t="s">
        <v>3428</v>
      </c>
      <c r="E780" s="1" t="s">
        <v>1466</v>
      </c>
      <c r="F780" s="1" t="s">
        <v>3429</v>
      </c>
      <c r="G780" s="1" t="s">
        <v>456</v>
      </c>
      <c r="H780" s="2" t="s">
        <v>3430</v>
      </c>
      <c r="I780" s="1">
        <v>65</v>
      </c>
      <c r="J780" s="1">
        <v>0.2</v>
      </c>
      <c r="K780" s="1" t="s">
        <v>52</v>
      </c>
      <c r="L780" s="1" t="s">
        <v>52</v>
      </c>
      <c r="M780" s="1">
        <v>4.9420000000000002</v>
      </c>
      <c r="N780" s="1">
        <v>32</v>
      </c>
      <c r="O780" s="1">
        <v>70.266739999999999</v>
      </c>
      <c r="P780" s="1">
        <v>-163.40745000000001</v>
      </c>
      <c r="Q780" s="1">
        <v>8.0048999999999992</v>
      </c>
      <c r="R780" s="1">
        <v>31.068899999999999</v>
      </c>
      <c r="S780" s="1">
        <v>292.47149999999999</v>
      </c>
      <c r="W780" s="3">
        <v>1.3779999999999999</v>
      </c>
      <c r="X780" s="1" t="s">
        <v>3431</v>
      </c>
      <c r="Y780" s="1">
        <v>1.67</v>
      </c>
      <c r="AA780" s="1">
        <v>0.49</v>
      </c>
      <c r="AB780" s="1">
        <v>5.22</v>
      </c>
      <c r="AE780" s="1">
        <v>0.87</v>
      </c>
      <c r="AF780" s="1">
        <v>4.21</v>
      </c>
      <c r="AI780" s="1">
        <v>7</v>
      </c>
      <c r="AJ780" s="1" t="s">
        <v>3431</v>
      </c>
      <c r="AK780" s="1">
        <v>3</v>
      </c>
      <c r="AL780" s="1">
        <v>84.122900000000001</v>
      </c>
      <c r="AM780" s="1" t="s">
        <v>3431</v>
      </c>
      <c r="AP780" s="1" t="s">
        <v>3432</v>
      </c>
      <c r="AQ780" s="1">
        <v>-1.92</v>
      </c>
      <c r="AS780" s="1" t="s">
        <v>3433</v>
      </c>
      <c r="AT780" s="1">
        <v>5</v>
      </c>
    </row>
    <row r="781" spans="1:46">
      <c r="A781" s="1" t="s">
        <v>3434</v>
      </c>
      <c r="C781" s="1" t="s">
        <v>3434</v>
      </c>
      <c r="D781" s="1" t="s">
        <v>3435</v>
      </c>
      <c r="E781" s="1" t="s">
        <v>1466</v>
      </c>
      <c r="F781" s="1" t="s">
        <v>3429</v>
      </c>
      <c r="G781" s="1" t="s">
        <v>456</v>
      </c>
      <c r="H781" s="2" t="s">
        <v>3436</v>
      </c>
      <c r="I781" s="1">
        <v>65</v>
      </c>
      <c r="J781" s="1">
        <v>0.2</v>
      </c>
      <c r="L781" s="1" t="s">
        <v>65</v>
      </c>
      <c r="M781" s="1">
        <v>10.223000000000001</v>
      </c>
      <c r="N781" s="1">
        <v>32</v>
      </c>
      <c r="O781" s="1">
        <v>70.266739999999999</v>
      </c>
      <c r="P781" s="1">
        <v>-163.40752000000001</v>
      </c>
      <c r="Q781" s="1">
        <v>6.9247500000000004</v>
      </c>
      <c r="R781" s="1">
        <v>31.433399999999999</v>
      </c>
      <c r="S781" s="1">
        <v>298.84100000000001</v>
      </c>
      <c r="W781" s="3">
        <v>2.5659999999999998</v>
      </c>
      <c r="X781" s="1" t="s">
        <v>3437</v>
      </c>
      <c r="Y781" s="1">
        <v>3.64</v>
      </c>
      <c r="AA781" s="1">
        <v>0.56999999999999995</v>
      </c>
      <c r="AB781" s="1">
        <v>7.46</v>
      </c>
      <c r="AE781" s="1">
        <v>0.23</v>
      </c>
      <c r="AF781" s="1">
        <v>1.72</v>
      </c>
      <c r="AI781" s="1">
        <v>5</v>
      </c>
      <c r="AJ781" s="1" t="s">
        <v>3437</v>
      </c>
      <c r="AK781" s="1">
        <v>3</v>
      </c>
      <c r="AL781" s="1">
        <v>78.847200000000001</v>
      </c>
      <c r="AM781" s="1" t="s">
        <v>3437</v>
      </c>
      <c r="AP781" s="1" t="s">
        <v>3438</v>
      </c>
      <c r="AT781" s="1">
        <v>10</v>
      </c>
    </row>
    <row r="782" spans="1:46">
      <c r="A782" s="1" t="s">
        <v>3439</v>
      </c>
      <c r="C782" s="1" t="s">
        <v>3439</v>
      </c>
      <c r="D782" s="1" t="s">
        <v>3440</v>
      </c>
      <c r="E782" s="1" t="s">
        <v>1466</v>
      </c>
      <c r="F782" s="1" t="s">
        <v>3429</v>
      </c>
      <c r="G782" s="1" t="s">
        <v>456</v>
      </c>
      <c r="H782" s="2" t="s">
        <v>3441</v>
      </c>
      <c r="I782" s="1">
        <v>65</v>
      </c>
      <c r="J782" s="1">
        <v>0.2</v>
      </c>
      <c r="K782" s="1" t="s">
        <v>1488</v>
      </c>
      <c r="L782" s="1" t="s">
        <v>65</v>
      </c>
      <c r="M782" s="1">
        <v>19.838000000000001</v>
      </c>
      <c r="N782" s="1">
        <v>32</v>
      </c>
      <c r="O782" s="1">
        <v>70.266679999999994</v>
      </c>
      <c r="P782" s="1">
        <v>-163.40745999999999</v>
      </c>
      <c r="Q782" s="1">
        <v>6.1424500000000002</v>
      </c>
      <c r="R782" s="1">
        <v>31.71715</v>
      </c>
      <c r="S782" s="1">
        <v>261.46249999999998</v>
      </c>
      <c r="W782" s="3">
        <v>0.48799999999999999</v>
      </c>
      <c r="X782" s="1" t="s">
        <v>3442</v>
      </c>
      <c r="Y782" s="1">
        <v>0.98</v>
      </c>
      <c r="AA782" s="1">
        <v>0.91</v>
      </c>
      <c r="AB782" s="1">
        <v>15.03</v>
      </c>
      <c r="AE782" s="1">
        <v>1.42</v>
      </c>
      <c r="AF782" s="1">
        <v>3.22</v>
      </c>
      <c r="AI782" s="1">
        <v>3</v>
      </c>
      <c r="AJ782" s="1" t="s">
        <v>3442</v>
      </c>
      <c r="AK782" s="1">
        <v>3</v>
      </c>
      <c r="AL782" s="1">
        <v>79.945800000000006</v>
      </c>
      <c r="AM782" s="1" t="s">
        <v>3442</v>
      </c>
      <c r="AP782" s="1" t="s">
        <v>3443</v>
      </c>
      <c r="AS782" s="1" t="s">
        <v>3444</v>
      </c>
      <c r="AT782" s="1">
        <v>20</v>
      </c>
    </row>
    <row r="783" spans="1:46">
      <c r="A783" s="1" t="s">
        <v>3445</v>
      </c>
      <c r="C783" s="1" t="s">
        <v>3445</v>
      </c>
      <c r="D783" s="1" t="s">
        <v>3446</v>
      </c>
      <c r="E783" s="1" t="s">
        <v>1466</v>
      </c>
      <c r="F783" s="1" t="s">
        <v>3429</v>
      </c>
      <c r="G783" s="1" t="s">
        <v>456</v>
      </c>
      <c r="H783" s="2" t="s">
        <v>3447</v>
      </c>
      <c r="I783" s="1">
        <v>65</v>
      </c>
      <c r="J783" s="1">
        <v>0.2</v>
      </c>
      <c r="K783" s="1" t="s">
        <v>78</v>
      </c>
      <c r="L783" s="1" t="s">
        <v>78</v>
      </c>
      <c r="M783" s="1">
        <v>29.305</v>
      </c>
      <c r="N783" s="1">
        <v>32</v>
      </c>
      <c r="O783" s="1">
        <v>70.266679999999994</v>
      </c>
      <c r="P783" s="1">
        <v>-163.40769</v>
      </c>
      <c r="Q783" s="1">
        <v>6.1265999999999998</v>
      </c>
      <c r="R783" s="1">
        <v>31.72775</v>
      </c>
      <c r="S783" s="1">
        <v>261.25650000000002</v>
      </c>
      <c r="W783" s="3">
        <v>0.48399999999999999</v>
      </c>
      <c r="X783" s="1" t="s">
        <v>3448</v>
      </c>
      <c r="Y783" s="1">
        <v>0.85</v>
      </c>
      <c r="AA783" s="1">
        <v>0.92</v>
      </c>
      <c r="AB783" s="1">
        <v>12.34</v>
      </c>
      <c r="AE783" s="1">
        <v>1.69</v>
      </c>
      <c r="AF783" s="1">
        <v>6.14</v>
      </c>
      <c r="AI783" s="1">
        <v>1</v>
      </c>
      <c r="AJ783" s="1" t="s">
        <v>3449</v>
      </c>
      <c r="AK783" s="1">
        <v>3</v>
      </c>
      <c r="AL783" s="1">
        <v>77.525599999999997</v>
      </c>
      <c r="AM783" s="1" t="s">
        <v>3448</v>
      </c>
      <c r="AP783" s="1" t="s">
        <v>3450</v>
      </c>
      <c r="AQ783" s="1">
        <v>-1.5</v>
      </c>
      <c r="AS783" s="1" t="s">
        <v>3451</v>
      </c>
      <c r="AT783" s="1">
        <v>29</v>
      </c>
    </row>
    <row r="784" spans="1:46">
      <c r="A784" s="1" t="s">
        <v>3452</v>
      </c>
      <c r="C784" s="1" t="s">
        <v>3452</v>
      </c>
      <c r="D784" s="1" t="s">
        <v>3453</v>
      </c>
      <c r="E784" s="1" t="s">
        <v>1466</v>
      </c>
      <c r="F784" s="1" t="s">
        <v>3454</v>
      </c>
      <c r="G784" s="1" t="s">
        <v>456</v>
      </c>
      <c r="H784" s="2" t="s">
        <v>3455</v>
      </c>
      <c r="I784" s="1">
        <v>66</v>
      </c>
      <c r="J784" s="1">
        <v>0.2</v>
      </c>
      <c r="L784" s="1" t="s">
        <v>65</v>
      </c>
      <c r="M784" s="1">
        <v>9.798</v>
      </c>
      <c r="N784" s="1">
        <v>37</v>
      </c>
      <c r="O784" s="1">
        <v>70.397819999999996</v>
      </c>
      <c r="P784" s="1">
        <v>-163.76451</v>
      </c>
      <c r="Q784" s="1">
        <v>7.8577000000000004</v>
      </c>
      <c r="R784" s="1">
        <v>31.444400000000002</v>
      </c>
      <c r="S784" s="1">
        <v>291.62950000000001</v>
      </c>
      <c r="W784" s="3">
        <v>1.2230000000000001</v>
      </c>
      <c r="X784" s="1" t="s">
        <v>3456</v>
      </c>
      <c r="Y784" s="1">
        <v>1.68</v>
      </c>
      <c r="AA784" s="1">
        <v>0.38</v>
      </c>
      <c r="AB784" s="1">
        <v>2.94</v>
      </c>
      <c r="AE784" s="1">
        <v>0.23</v>
      </c>
      <c r="AF784" s="1">
        <v>0.42</v>
      </c>
      <c r="AI784" s="1">
        <v>5</v>
      </c>
      <c r="AJ784" s="1" t="s">
        <v>3456</v>
      </c>
      <c r="AK784" s="1">
        <v>3</v>
      </c>
      <c r="AL784" s="1">
        <v>88.268900000000002</v>
      </c>
      <c r="AM784" s="1" t="s">
        <v>3456</v>
      </c>
      <c r="AP784" s="1" t="s">
        <v>3457</v>
      </c>
      <c r="AR784" s="1">
        <v>3.11</v>
      </c>
      <c r="AT784" s="1">
        <v>10</v>
      </c>
    </row>
    <row r="785" spans="1:46">
      <c r="A785" s="1" t="s">
        <v>3458</v>
      </c>
      <c r="C785" s="1" t="s">
        <v>3458</v>
      </c>
      <c r="D785" s="1" t="s">
        <v>3459</v>
      </c>
      <c r="E785" s="1" t="s">
        <v>1466</v>
      </c>
      <c r="F785" s="1" t="s">
        <v>3454</v>
      </c>
      <c r="G785" s="1" t="s">
        <v>456</v>
      </c>
      <c r="H785" s="2" t="s">
        <v>3460</v>
      </c>
      <c r="I785" s="1">
        <v>66</v>
      </c>
      <c r="J785" s="1">
        <v>0.2</v>
      </c>
      <c r="L785" s="1" t="s">
        <v>65</v>
      </c>
      <c r="M785" s="1">
        <v>20.739000000000001</v>
      </c>
      <c r="N785" s="1">
        <v>37</v>
      </c>
      <c r="O785" s="1">
        <v>70.397859999999994</v>
      </c>
      <c r="P785" s="1">
        <v>-163.76474999999999</v>
      </c>
      <c r="Q785" s="1">
        <v>5.8742000000000001</v>
      </c>
      <c r="R785" s="1">
        <v>32.044849999999997</v>
      </c>
      <c r="S785" s="1">
        <v>271.86950000000002</v>
      </c>
      <c r="W785" s="3">
        <v>2.2650000000000001</v>
      </c>
      <c r="X785" s="1" t="s">
        <v>3461</v>
      </c>
      <c r="Y785" s="1">
        <v>2.25</v>
      </c>
      <c r="AA785" s="1">
        <v>0.59</v>
      </c>
      <c r="AB785" s="1">
        <v>4.99</v>
      </c>
      <c r="AE785" s="1">
        <v>0.24</v>
      </c>
      <c r="AF785" s="1">
        <v>0.45</v>
      </c>
      <c r="AI785" s="1">
        <v>3</v>
      </c>
      <c r="AJ785" s="1" t="s">
        <v>3461</v>
      </c>
      <c r="AK785" s="1">
        <v>3</v>
      </c>
      <c r="AL785" s="1">
        <v>86.452699999999993</v>
      </c>
      <c r="AM785" s="1" t="s">
        <v>3461</v>
      </c>
      <c r="AP785" s="1" t="s">
        <v>3462</v>
      </c>
      <c r="AR785" s="1">
        <v>3.11</v>
      </c>
      <c r="AT785" s="1">
        <v>20</v>
      </c>
    </row>
    <row r="786" spans="1:46">
      <c r="A786" s="1" t="s">
        <v>3463</v>
      </c>
      <c r="C786" s="1" t="s">
        <v>3463</v>
      </c>
      <c r="D786" s="1" t="s">
        <v>3464</v>
      </c>
      <c r="E786" s="1" t="s">
        <v>1466</v>
      </c>
      <c r="F786" s="1" t="s">
        <v>3454</v>
      </c>
      <c r="G786" s="1" t="s">
        <v>456</v>
      </c>
      <c r="H786" s="2" t="s">
        <v>3465</v>
      </c>
      <c r="I786" s="1">
        <v>66</v>
      </c>
      <c r="J786" s="1">
        <v>0.2</v>
      </c>
      <c r="K786" s="1" t="s">
        <v>78</v>
      </c>
      <c r="L786" s="1" t="s">
        <v>78</v>
      </c>
      <c r="M786" s="1">
        <v>34.055</v>
      </c>
      <c r="N786" s="1">
        <v>37</v>
      </c>
      <c r="O786" s="1">
        <v>70.397940000000006</v>
      </c>
      <c r="P786" s="1">
        <v>-163.76488000000001</v>
      </c>
      <c r="Q786" s="1">
        <v>5.0073999999999996</v>
      </c>
      <c r="R786" s="1">
        <v>32.089399999999998</v>
      </c>
      <c r="S786" s="1">
        <v>261.83</v>
      </c>
      <c r="W786" s="3">
        <v>0.38500000000000001</v>
      </c>
      <c r="X786" s="1" t="s">
        <v>3466</v>
      </c>
      <c r="Y786" s="1">
        <v>0.57999999999999996</v>
      </c>
      <c r="AA786" s="1">
        <v>1.08</v>
      </c>
      <c r="AB786" s="1">
        <v>14.66</v>
      </c>
      <c r="AE786" s="1">
        <v>2.4300000000000002</v>
      </c>
      <c r="AF786" s="1">
        <v>2.02</v>
      </c>
      <c r="AI786" s="1">
        <v>1</v>
      </c>
      <c r="AJ786" s="1" t="s">
        <v>3466</v>
      </c>
      <c r="AK786" s="1">
        <v>3</v>
      </c>
      <c r="AL786" s="1">
        <v>78.078900000000004</v>
      </c>
      <c r="AM786" s="1" t="s">
        <v>3466</v>
      </c>
      <c r="AP786" s="1" t="s">
        <v>3467</v>
      </c>
      <c r="AQ786" s="1">
        <v>-1.39</v>
      </c>
      <c r="AR786" s="1">
        <v>3.11</v>
      </c>
      <c r="AT786" s="1">
        <v>34</v>
      </c>
    </row>
    <row r="787" spans="1:46">
      <c r="A787" s="1" t="s">
        <v>3468</v>
      </c>
      <c r="C787" s="1" t="s">
        <v>3468</v>
      </c>
      <c r="D787" s="1" t="s">
        <v>3469</v>
      </c>
      <c r="E787" s="1" t="s">
        <v>1466</v>
      </c>
      <c r="F787" s="1" t="s">
        <v>3470</v>
      </c>
      <c r="G787" s="1" t="s">
        <v>456</v>
      </c>
      <c r="H787" s="2" t="s">
        <v>3471</v>
      </c>
      <c r="I787" s="1">
        <v>67</v>
      </c>
      <c r="J787" s="1">
        <v>0.2</v>
      </c>
      <c r="K787" s="1" t="s">
        <v>52</v>
      </c>
      <c r="L787" s="1" t="s">
        <v>52</v>
      </c>
      <c r="M787" s="1">
        <v>5.39</v>
      </c>
      <c r="N787" s="1">
        <v>45</v>
      </c>
      <c r="O787" s="1">
        <v>70.524479999999997</v>
      </c>
      <c r="P787" s="1">
        <v>-164.12688</v>
      </c>
      <c r="Q787" s="1">
        <v>8.0532000000000004</v>
      </c>
      <c r="R787" s="1">
        <v>31.306349999999998</v>
      </c>
      <c r="S787" s="1">
        <v>290.03100000000001</v>
      </c>
      <c r="W787" s="3">
        <v>1.137</v>
      </c>
      <c r="X787" s="1" t="s">
        <v>3472</v>
      </c>
      <c r="Y787" s="1">
        <v>1.1599999999999999</v>
      </c>
      <c r="AA787" s="1">
        <v>0.39</v>
      </c>
      <c r="AB787" s="1">
        <v>2.92</v>
      </c>
      <c r="AE787" s="1">
        <v>0.41</v>
      </c>
      <c r="AF787" s="1">
        <v>1.27</v>
      </c>
      <c r="AI787" s="1">
        <v>9</v>
      </c>
      <c r="AJ787" s="1" t="s">
        <v>3472</v>
      </c>
      <c r="AK787" s="1">
        <v>3.2</v>
      </c>
      <c r="AL787" s="1">
        <v>89.436700000000002</v>
      </c>
      <c r="AM787" s="1" t="s">
        <v>3472</v>
      </c>
      <c r="AP787" s="1" t="s">
        <v>3473</v>
      </c>
      <c r="AQ787" s="1">
        <v>-1.82</v>
      </c>
      <c r="AR787" s="1">
        <v>15.62</v>
      </c>
      <c r="AS787" s="1" t="s">
        <v>3474</v>
      </c>
      <c r="AT787" s="1">
        <v>5</v>
      </c>
    </row>
    <row r="788" spans="1:46">
      <c r="A788" s="1" t="s">
        <v>3475</v>
      </c>
      <c r="C788" s="1" t="s">
        <v>3475</v>
      </c>
      <c r="D788" s="1" t="s">
        <v>3476</v>
      </c>
      <c r="E788" s="1" t="s">
        <v>1466</v>
      </c>
      <c r="F788" s="1" t="s">
        <v>3470</v>
      </c>
      <c r="G788" s="1" t="s">
        <v>456</v>
      </c>
      <c r="H788" s="2" t="s">
        <v>3477</v>
      </c>
      <c r="I788" s="1">
        <v>67</v>
      </c>
      <c r="J788" s="1">
        <v>0.2</v>
      </c>
      <c r="L788" s="1" t="s">
        <v>65</v>
      </c>
      <c r="M788" s="1">
        <v>21.173999999999999</v>
      </c>
      <c r="N788" s="1">
        <v>45</v>
      </c>
      <c r="O788" s="1">
        <v>70.524159999999995</v>
      </c>
      <c r="P788" s="1">
        <v>-164.12651</v>
      </c>
      <c r="Q788" s="1">
        <v>6.1569000000000003</v>
      </c>
      <c r="R788" s="1">
        <v>32.086849999999998</v>
      </c>
      <c r="S788" s="1">
        <v>289.19749999999999</v>
      </c>
      <c r="W788" s="3">
        <v>1.123</v>
      </c>
      <c r="X788" s="1" t="s">
        <v>3478</v>
      </c>
      <c r="Y788" s="1">
        <v>1.54</v>
      </c>
      <c r="AA788" s="1">
        <v>0.66</v>
      </c>
      <c r="AB788" s="1">
        <v>4.3600000000000003</v>
      </c>
      <c r="AE788" s="1">
        <v>0.9</v>
      </c>
      <c r="AF788" s="1">
        <v>0.83</v>
      </c>
      <c r="AI788" s="1">
        <v>5</v>
      </c>
      <c r="AJ788" s="1" t="s">
        <v>3478</v>
      </c>
      <c r="AK788" s="1">
        <v>3.2</v>
      </c>
      <c r="AL788" s="1">
        <v>91.166200000000003</v>
      </c>
      <c r="AM788" s="1" t="s">
        <v>3478</v>
      </c>
      <c r="AP788" s="1" t="s">
        <v>3479</v>
      </c>
      <c r="AR788" s="1">
        <v>15.62</v>
      </c>
      <c r="AT788" s="1">
        <v>20</v>
      </c>
    </row>
    <row r="789" spans="1:46">
      <c r="A789" s="1" t="s">
        <v>3480</v>
      </c>
      <c r="C789" s="1" t="s">
        <v>3480</v>
      </c>
      <c r="D789" s="1" t="s">
        <v>3481</v>
      </c>
      <c r="E789" s="1" t="s">
        <v>1466</v>
      </c>
      <c r="F789" s="1" t="s">
        <v>3470</v>
      </c>
      <c r="G789" s="1" t="s">
        <v>456</v>
      </c>
      <c r="H789" s="2" t="s">
        <v>3482</v>
      </c>
      <c r="I789" s="1">
        <v>67</v>
      </c>
      <c r="J789" s="1">
        <v>0.2</v>
      </c>
      <c r="L789" s="1" t="s">
        <v>65</v>
      </c>
      <c r="M789" s="1">
        <v>29.504999999999999</v>
      </c>
      <c r="N789" s="1">
        <v>45</v>
      </c>
      <c r="O789" s="1">
        <v>70.524109999999993</v>
      </c>
      <c r="P789" s="1">
        <v>-164.12599</v>
      </c>
      <c r="Q789" s="1">
        <v>3.9460500000000001</v>
      </c>
      <c r="R789" s="1">
        <v>32.388800000000003</v>
      </c>
      <c r="S789" s="1">
        <v>262.33100000000002</v>
      </c>
      <c r="W789" s="3">
        <v>0.315</v>
      </c>
      <c r="X789" s="1" t="s">
        <v>3483</v>
      </c>
      <c r="Y789" s="1">
        <v>0.56000000000000005</v>
      </c>
      <c r="AA789" s="1">
        <v>1.25</v>
      </c>
      <c r="AB789" s="1">
        <v>15.59</v>
      </c>
      <c r="AE789" s="1">
        <v>2.84</v>
      </c>
      <c r="AF789" s="1">
        <v>2.66</v>
      </c>
      <c r="AI789" s="1">
        <v>4</v>
      </c>
      <c r="AJ789" s="1" t="s">
        <v>3484</v>
      </c>
      <c r="AK789" s="1">
        <v>3.2</v>
      </c>
      <c r="AL789" s="1">
        <v>76.041799999999995</v>
      </c>
      <c r="AM789" s="1" t="s">
        <v>3483</v>
      </c>
      <c r="AP789" s="1" t="s">
        <v>3485</v>
      </c>
      <c r="AR789" s="1">
        <v>15.62</v>
      </c>
      <c r="AT789" s="1">
        <v>30</v>
      </c>
    </row>
    <row r="790" spans="1:46">
      <c r="A790" s="1" t="s">
        <v>3486</v>
      </c>
      <c r="C790" s="1" t="s">
        <v>3486</v>
      </c>
      <c r="D790" s="1" t="s">
        <v>3487</v>
      </c>
      <c r="E790" s="1" t="s">
        <v>1466</v>
      </c>
      <c r="F790" s="1" t="s">
        <v>3470</v>
      </c>
      <c r="G790" s="1" t="s">
        <v>456</v>
      </c>
      <c r="H790" s="2" t="s">
        <v>3488</v>
      </c>
      <c r="I790" s="1">
        <v>67</v>
      </c>
      <c r="J790" s="1">
        <v>0.2</v>
      </c>
      <c r="K790" s="1" t="s">
        <v>78</v>
      </c>
      <c r="L790" s="1" t="s">
        <v>78</v>
      </c>
      <c r="M790" s="1">
        <v>41.726999999999997</v>
      </c>
      <c r="N790" s="1">
        <v>45</v>
      </c>
      <c r="O790" s="1">
        <v>70.524119999999996</v>
      </c>
      <c r="P790" s="1">
        <v>-164.12553</v>
      </c>
      <c r="Q790" s="1">
        <v>3.96495</v>
      </c>
      <c r="R790" s="1">
        <v>32.399450000000002</v>
      </c>
      <c r="S790" s="1">
        <v>262.04250000000002</v>
      </c>
      <c r="W790" s="3">
        <v>0.32500000000000001</v>
      </c>
      <c r="X790" s="1" t="s">
        <v>3489</v>
      </c>
      <c r="Y790" s="1">
        <v>0.52</v>
      </c>
      <c r="AA790" s="1">
        <v>1.3</v>
      </c>
      <c r="AB790" s="1">
        <v>13.44</v>
      </c>
      <c r="AE790" s="1">
        <v>2.99</v>
      </c>
      <c r="AF790" s="1">
        <v>1.97</v>
      </c>
      <c r="AI790" s="1">
        <v>1</v>
      </c>
      <c r="AJ790" s="1" t="s">
        <v>3489</v>
      </c>
      <c r="AK790" s="1">
        <v>3.2</v>
      </c>
      <c r="AL790" s="1">
        <v>73.229600000000005</v>
      </c>
      <c r="AM790" s="1" t="s">
        <v>3489</v>
      </c>
      <c r="AP790" s="1" t="s">
        <v>3490</v>
      </c>
      <c r="AQ790" s="1">
        <v>-1.1599999999999999</v>
      </c>
      <c r="AR790" s="1">
        <v>15.62</v>
      </c>
      <c r="AS790" s="1" t="s">
        <v>3491</v>
      </c>
      <c r="AT790" s="1">
        <v>34</v>
      </c>
    </row>
    <row r="791" spans="1:46">
      <c r="A791" s="1" t="s">
        <v>3492</v>
      </c>
      <c r="C791" s="1" t="s">
        <v>3492</v>
      </c>
      <c r="D791" s="1" t="s">
        <v>3493</v>
      </c>
      <c r="E791" s="1" t="s">
        <v>1466</v>
      </c>
      <c r="F791" s="1" t="s">
        <v>3494</v>
      </c>
      <c r="G791" s="1" t="s">
        <v>456</v>
      </c>
      <c r="H791" s="2" t="s">
        <v>3495</v>
      </c>
      <c r="I791" s="1">
        <v>69</v>
      </c>
      <c r="J791" s="1">
        <v>0.2</v>
      </c>
      <c r="K791" s="1" t="s">
        <v>52</v>
      </c>
      <c r="L791" s="1" t="s">
        <v>52</v>
      </c>
      <c r="M791" s="1">
        <v>4.9930000000000003</v>
      </c>
      <c r="N791" s="1">
        <v>41</v>
      </c>
      <c r="O791" s="1">
        <v>70.771119999999996</v>
      </c>
      <c r="P791" s="1">
        <v>-164.88328000000001</v>
      </c>
      <c r="Q791" s="1">
        <v>7.1671500000000004</v>
      </c>
      <c r="R791" s="1">
        <v>32.092649999999999</v>
      </c>
      <c r="S791" s="1">
        <v>292.178</v>
      </c>
      <c r="W791" s="3">
        <v>0.78</v>
      </c>
      <c r="X791" s="1" t="s">
        <v>3496</v>
      </c>
      <c r="Y791" s="1">
        <v>1.1200000000000001</v>
      </c>
      <c r="AA791" s="1">
        <v>0.4</v>
      </c>
      <c r="AB791" s="1">
        <v>1.78</v>
      </c>
      <c r="AE791" s="1">
        <v>1.33</v>
      </c>
      <c r="AF791" s="1">
        <v>3.56</v>
      </c>
      <c r="AI791" s="1">
        <v>9</v>
      </c>
      <c r="AJ791" s="1" t="s">
        <v>3496</v>
      </c>
      <c r="AL791" s="1">
        <v>91.085400000000007</v>
      </c>
      <c r="AM791" s="1" t="s">
        <v>3496</v>
      </c>
      <c r="AP791" s="1" t="s">
        <v>3497</v>
      </c>
      <c r="AQ791" s="1">
        <v>-1.31</v>
      </c>
      <c r="AR791" s="1">
        <v>11.23</v>
      </c>
      <c r="AT791" s="1">
        <v>5</v>
      </c>
    </row>
    <row r="792" spans="1:46">
      <c r="A792" s="1" t="s">
        <v>3498</v>
      </c>
      <c r="C792" s="1" t="s">
        <v>3498</v>
      </c>
      <c r="D792" s="1" t="s">
        <v>3499</v>
      </c>
      <c r="E792" s="1" t="s">
        <v>1466</v>
      </c>
      <c r="F792" s="1" t="s">
        <v>3494</v>
      </c>
      <c r="G792" s="1" t="s">
        <v>456</v>
      </c>
      <c r="H792" s="2" t="s">
        <v>3500</v>
      </c>
      <c r="I792" s="1">
        <v>69</v>
      </c>
      <c r="J792" s="1">
        <v>0.2</v>
      </c>
      <c r="L792" s="1" t="s">
        <v>65</v>
      </c>
      <c r="M792" s="1">
        <v>19.866</v>
      </c>
      <c r="N792" s="1">
        <v>41</v>
      </c>
      <c r="O792" s="1">
        <v>70.771339999999995</v>
      </c>
      <c r="P792" s="1">
        <v>-164.88293999999999</v>
      </c>
      <c r="Q792" s="1">
        <v>7.1059999999999999</v>
      </c>
      <c r="R792" s="1">
        <v>32.169350000000001</v>
      </c>
      <c r="S792" s="1">
        <v>290.05399999999997</v>
      </c>
      <c r="W792" s="3">
        <v>0.98099999999999998</v>
      </c>
      <c r="X792" s="1" t="s">
        <v>3501</v>
      </c>
      <c r="Y792" s="1">
        <v>1.19</v>
      </c>
      <c r="AA792" s="1">
        <v>0.45</v>
      </c>
      <c r="AB792" s="1">
        <v>1.78</v>
      </c>
      <c r="AE792" s="1">
        <v>1.75</v>
      </c>
      <c r="AF792" s="1">
        <v>2.86</v>
      </c>
      <c r="AI792" s="1">
        <v>5</v>
      </c>
      <c r="AJ792" s="1" t="s">
        <v>3501</v>
      </c>
      <c r="AL792" s="1">
        <v>91.880700000000004</v>
      </c>
      <c r="AM792" s="1" t="s">
        <v>3501</v>
      </c>
      <c r="AP792" s="1" t="s">
        <v>3502</v>
      </c>
      <c r="AR792" s="1">
        <v>11.23</v>
      </c>
      <c r="AT792" s="1">
        <v>20</v>
      </c>
    </row>
    <row r="793" spans="1:46">
      <c r="A793" s="1" t="s">
        <v>3503</v>
      </c>
      <c r="C793" s="1" t="s">
        <v>3503</v>
      </c>
      <c r="D793" s="1" t="s">
        <v>3499</v>
      </c>
      <c r="E793" s="1" t="s">
        <v>1466</v>
      </c>
      <c r="F793" s="1" t="s">
        <v>3494</v>
      </c>
      <c r="G793" s="1" t="s">
        <v>456</v>
      </c>
      <c r="H793" s="2" t="s">
        <v>3500</v>
      </c>
      <c r="I793" s="1">
        <v>69</v>
      </c>
      <c r="J793" s="1">
        <v>0.2</v>
      </c>
      <c r="L793" s="1" t="s">
        <v>65</v>
      </c>
      <c r="M793" s="1">
        <v>19.866</v>
      </c>
      <c r="N793" s="1">
        <v>41</v>
      </c>
      <c r="O793" s="1">
        <v>70.771339999999995</v>
      </c>
      <c r="P793" s="1">
        <v>-164.88293999999999</v>
      </c>
      <c r="Q793" s="1">
        <v>7.1059999999999999</v>
      </c>
      <c r="R793" s="1">
        <v>32.169350000000001</v>
      </c>
      <c r="S793" s="1">
        <v>290.05399999999997</v>
      </c>
      <c r="W793" s="3">
        <v>0.98099999999999998</v>
      </c>
      <c r="X793" s="1" t="s">
        <v>3501</v>
      </c>
      <c r="Y793" s="1">
        <v>1.19</v>
      </c>
      <c r="AA793" s="1">
        <v>0.45</v>
      </c>
      <c r="AB793" s="1">
        <v>1.78</v>
      </c>
      <c r="AE793" s="1">
        <v>1.75</v>
      </c>
      <c r="AF793" s="1">
        <v>2.86</v>
      </c>
      <c r="AI793" s="1">
        <v>5</v>
      </c>
      <c r="AJ793" s="1" t="s">
        <v>3501</v>
      </c>
      <c r="AL793" s="1">
        <v>91.880700000000004</v>
      </c>
      <c r="AM793" s="1" t="s">
        <v>3501</v>
      </c>
      <c r="AP793" s="1" t="s">
        <v>3502</v>
      </c>
      <c r="AR793" s="1">
        <v>11.23</v>
      </c>
      <c r="AT793" s="1">
        <v>20</v>
      </c>
    </row>
    <row r="794" spans="1:46">
      <c r="A794" s="1" t="s">
        <v>3504</v>
      </c>
      <c r="C794" s="1" t="s">
        <v>3504</v>
      </c>
      <c r="D794" s="1" t="s">
        <v>3505</v>
      </c>
      <c r="E794" s="1" t="s">
        <v>1466</v>
      </c>
      <c r="F794" s="1" t="s">
        <v>3494</v>
      </c>
      <c r="G794" s="1" t="s">
        <v>456</v>
      </c>
      <c r="H794" s="2" t="s">
        <v>3506</v>
      </c>
      <c r="I794" s="1">
        <v>69</v>
      </c>
      <c r="J794" s="1">
        <v>0.2</v>
      </c>
      <c r="L794" s="1" t="s">
        <v>65</v>
      </c>
      <c r="M794" s="1">
        <v>29.571000000000002</v>
      </c>
      <c r="N794" s="1">
        <v>41</v>
      </c>
      <c r="O794" s="1">
        <v>70.7714</v>
      </c>
      <c r="P794" s="1">
        <v>-164.88274000000001</v>
      </c>
      <c r="Q794" s="1">
        <v>4.0663</v>
      </c>
      <c r="R794" s="1">
        <v>32.427599999999998</v>
      </c>
      <c r="S794" s="1">
        <v>269.96749999999997</v>
      </c>
      <c r="W794" s="3">
        <v>0.56100000000000005</v>
      </c>
      <c r="X794" s="1" t="s">
        <v>3507</v>
      </c>
      <c r="Y794" s="1">
        <v>0.88</v>
      </c>
      <c r="AA794" s="1">
        <v>1.28</v>
      </c>
      <c r="AB794" s="1">
        <v>12.27</v>
      </c>
      <c r="AE794" s="1">
        <v>3.22</v>
      </c>
      <c r="AF794" s="1">
        <v>6.86</v>
      </c>
      <c r="AI794" s="1">
        <v>4</v>
      </c>
      <c r="AJ794" s="1" t="s">
        <v>3508</v>
      </c>
      <c r="AL794" s="1">
        <v>83.2864</v>
      </c>
      <c r="AM794" s="1" t="s">
        <v>3507</v>
      </c>
      <c r="AP794" s="1" t="s">
        <v>3509</v>
      </c>
      <c r="AR794" s="1">
        <v>11.23</v>
      </c>
      <c r="AS794" s="1" t="s">
        <v>3510</v>
      </c>
      <c r="AT794" s="1">
        <v>30</v>
      </c>
    </row>
    <row r="795" spans="1:46">
      <c r="A795" s="1" t="s">
        <v>3511</v>
      </c>
      <c r="C795" s="1" t="s">
        <v>3511</v>
      </c>
      <c r="D795" s="1" t="s">
        <v>3512</v>
      </c>
      <c r="E795" s="1" t="s">
        <v>1466</v>
      </c>
      <c r="F795" s="1" t="s">
        <v>3494</v>
      </c>
      <c r="G795" s="1" t="s">
        <v>456</v>
      </c>
      <c r="H795" s="2" t="s">
        <v>3513</v>
      </c>
      <c r="I795" s="1">
        <v>69</v>
      </c>
      <c r="J795" s="1">
        <v>0.2</v>
      </c>
      <c r="K795" s="1" t="s">
        <v>78</v>
      </c>
      <c r="L795" s="1" t="s">
        <v>78</v>
      </c>
      <c r="M795" s="1">
        <v>37.405999999999999</v>
      </c>
      <c r="N795" s="1">
        <v>41</v>
      </c>
      <c r="O795" s="1">
        <v>70.771529999999998</v>
      </c>
      <c r="P795" s="1">
        <v>-164.88254000000001</v>
      </c>
      <c r="Q795" s="1">
        <v>4.2122000000000002</v>
      </c>
      <c r="R795" s="1">
        <v>32.610149999999997</v>
      </c>
      <c r="S795" s="1">
        <v>258.48149999999998</v>
      </c>
      <c r="W795" s="3">
        <v>0.46800000000000003</v>
      </c>
      <c r="X795" s="1" t="s">
        <v>3514</v>
      </c>
      <c r="Y795" s="1">
        <v>0.7</v>
      </c>
      <c r="AA795" s="1">
        <v>1.23</v>
      </c>
      <c r="AB795" s="1">
        <v>13.7</v>
      </c>
      <c r="AE795" s="1">
        <v>2.25</v>
      </c>
      <c r="AF795" s="1">
        <v>3.62</v>
      </c>
      <c r="AI795" s="1">
        <v>1</v>
      </c>
      <c r="AJ795" s="1" t="s">
        <v>3514</v>
      </c>
      <c r="AL795" s="1">
        <v>68.274600000000007</v>
      </c>
      <c r="AM795" s="1" t="s">
        <v>3514</v>
      </c>
      <c r="AP795" s="1" t="s">
        <v>3515</v>
      </c>
      <c r="AQ795" s="1">
        <v>-1.1000000000000001</v>
      </c>
      <c r="AR795" s="1">
        <v>11.23</v>
      </c>
      <c r="AS795" s="1" t="s">
        <v>3516</v>
      </c>
      <c r="AT795" s="1">
        <v>38</v>
      </c>
    </row>
    <row r="796" spans="1:46">
      <c r="A796" s="1" t="s">
        <v>3517</v>
      </c>
      <c r="C796" s="1" t="s">
        <v>3517</v>
      </c>
      <c r="D796" s="1" t="s">
        <v>3518</v>
      </c>
      <c r="E796" s="1" t="s">
        <v>1466</v>
      </c>
      <c r="F796" s="1" t="s">
        <v>3519</v>
      </c>
      <c r="G796" s="1" t="s">
        <v>456</v>
      </c>
      <c r="H796" s="2" t="s">
        <v>3520</v>
      </c>
      <c r="I796" s="1">
        <v>62</v>
      </c>
      <c r="J796" s="1">
        <v>0.2</v>
      </c>
      <c r="K796" s="1" t="s">
        <v>52</v>
      </c>
      <c r="L796" s="1" t="s">
        <v>52</v>
      </c>
      <c r="M796" s="1">
        <v>4.7329999999999997</v>
      </c>
      <c r="N796" s="1">
        <v>19</v>
      </c>
      <c r="O796" s="1">
        <v>70.496290000000002</v>
      </c>
      <c r="P796" s="1">
        <v>-160.62139999999999</v>
      </c>
      <c r="Q796" s="1">
        <v>8.5418000000000003</v>
      </c>
      <c r="R796" s="1">
        <v>30.848649999999999</v>
      </c>
      <c r="S796" s="1">
        <v>273.85300000000001</v>
      </c>
      <c r="W796" s="3">
        <v>1.385</v>
      </c>
      <c r="X796" s="1" t="s">
        <v>3521</v>
      </c>
      <c r="Y796" s="1">
        <v>3.01</v>
      </c>
      <c r="AA796" s="1">
        <v>0.57999999999999996</v>
      </c>
      <c r="AB796" s="1">
        <v>6.24</v>
      </c>
      <c r="AE796" s="1">
        <v>0.55000000000000004</v>
      </c>
      <c r="AF796" s="1">
        <v>0.78</v>
      </c>
      <c r="AI796" s="1">
        <v>6</v>
      </c>
      <c r="AJ796" s="1" t="s">
        <v>3522</v>
      </c>
      <c r="AK796" s="1">
        <v>4</v>
      </c>
      <c r="AL796" s="1">
        <v>50.881100000000004</v>
      </c>
      <c r="AM796" s="1" t="s">
        <v>3521</v>
      </c>
      <c r="AP796" s="1" t="s">
        <v>3523</v>
      </c>
      <c r="AQ796" s="1">
        <v>-1.98</v>
      </c>
      <c r="AR796" s="1">
        <v>10.95</v>
      </c>
      <c r="AT796" s="1">
        <v>5</v>
      </c>
    </row>
    <row r="797" spans="1:46">
      <c r="A797" s="1" t="s">
        <v>3524</v>
      </c>
      <c r="C797" s="1" t="s">
        <v>3524</v>
      </c>
      <c r="D797" s="1" t="s">
        <v>3525</v>
      </c>
      <c r="E797" s="1" t="s">
        <v>1466</v>
      </c>
      <c r="F797" s="1" t="s">
        <v>3519</v>
      </c>
      <c r="G797" s="1" t="s">
        <v>456</v>
      </c>
      <c r="H797" s="2" t="s">
        <v>3520</v>
      </c>
      <c r="I797" s="1">
        <v>62</v>
      </c>
      <c r="J797" s="1">
        <v>0.2</v>
      </c>
      <c r="K797" s="1" t="s">
        <v>52</v>
      </c>
      <c r="L797" s="1" t="s">
        <v>52</v>
      </c>
      <c r="M797" s="1">
        <v>4.7329999999999997</v>
      </c>
      <c r="N797" s="1">
        <v>19</v>
      </c>
      <c r="O797" s="1">
        <v>70.496290000000002</v>
      </c>
      <c r="P797" s="1">
        <v>-160.62139999999999</v>
      </c>
      <c r="Q797" s="1">
        <v>8.5418000000000003</v>
      </c>
      <c r="R797" s="1">
        <v>30.848649999999999</v>
      </c>
      <c r="S797" s="1">
        <v>273.85300000000001</v>
      </c>
      <c r="W797" s="3">
        <v>1.385</v>
      </c>
      <c r="X797" s="1" t="s">
        <v>3521</v>
      </c>
      <c r="Y797" s="1">
        <v>3.01</v>
      </c>
      <c r="AA797" s="1">
        <v>0.57999999999999996</v>
      </c>
      <c r="AB797" s="1">
        <v>6.24</v>
      </c>
      <c r="AE797" s="1">
        <v>0.55000000000000004</v>
      </c>
      <c r="AF797" s="1">
        <v>0.78</v>
      </c>
      <c r="AI797" s="1">
        <v>6</v>
      </c>
      <c r="AJ797" s="1" t="s">
        <v>3522</v>
      </c>
      <c r="AK797" s="1">
        <v>4</v>
      </c>
      <c r="AL797" s="1">
        <v>50.881100000000004</v>
      </c>
      <c r="AM797" s="1" t="s">
        <v>3521</v>
      </c>
      <c r="AP797" s="1" t="s">
        <v>3523</v>
      </c>
      <c r="AQ797" s="1">
        <v>-1.98</v>
      </c>
      <c r="AR797" s="1">
        <v>10.95</v>
      </c>
      <c r="AT797" s="1">
        <v>5</v>
      </c>
    </row>
    <row r="798" spans="1:46">
      <c r="A798" s="1" t="s">
        <v>3526</v>
      </c>
      <c r="C798" s="1" t="s">
        <v>3526</v>
      </c>
      <c r="D798" s="1" t="s">
        <v>3525</v>
      </c>
      <c r="E798" s="1" t="s">
        <v>1466</v>
      </c>
      <c r="F798" s="1" t="s">
        <v>3519</v>
      </c>
      <c r="G798" s="1" t="s">
        <v>456</v>
      </c>
      <c r="H798" s="2" t="s">
        <v>3520</v>
      </c>
      <c r="I798" s="1">
        <v>62</v>
      </c>
      <c r="J798" s="1">
        <v>0.2</v>
      </c>
      <c r="K798" s="1" t="s">
        <v>52</v>
      </c>
      <c r="L798" s="1" t="s">
        <v>52</v>
      </c>
      <c r="M798" s="1">
        <v>4.7329999999999997</v>
      </c>
      <c r="N798" s="1">
        <v>19</v>
      </c>
      <c r="O798" s="1">
        <v>70.496290000000002</v>
      </c>
      <c r="P798" s="1">
        <v>-160.62139999999999</v>
      </c>
      <c r="Q798" s="1">
        <v>8.5418000000000003</v>
      </c>
      <c r="R798" s="1">
        <v>30.848649999999999</v>
      </c>
      <c r="S798" s="1">
        <v>273.85300000000001</v>
      </c>
      <c r="W798" s="3">
        <v>1.385</v>
      </c>
      <c r="X798" s="1" t="s">
        <v>3521</v>
      </c>
      <c r="Y798" s="1">
        <v>3.01</v>
      </c>
      <c r="AA798" s="1">
        <v>0.57999999999999996</v>
      </c>
      <c r="AB798" s="1">
        <v>6.24</v>
      </c>
      <c r="AE798" s="1">
        <v>0.55000000000000004</v>
      </c>
      <c r="AF798" s="1">
        <v>0.78</v>
      </c>
      <c r="AI798" s="1">
        <v>6</v>
      </c>
      <c r="AJ798" s="1" t="s">
        <v>3522</v>
      </c>
      <c r="AK798" s="1">
        <v>4</v>
      </c>
      <c r="AL798" s="1">
        <v>50.881100000000004</v>
      </c>
      <c r="AM798" s="1" t="s">
        <v>3521</v>
      </c>
      <c r="AP798" s="1" t="s">
        <v>3523</v>
      </c>
      <c r="AQ798" s="1">
        <v>-1.98</v>
      </c>
      <c r="AR798" s="1">
        <v>10.95</v>
      </c>
      <c r="AT798" s="1">
        <v>5</v>
      </c>
    </row>
    <row r="799" spans="1:46">
      <c r="A799" s="1" t="s">
        <v>3527</v>
      </c>
      <c r="C799" s="1" t="s">
        <v>3527</v>
      </c>
      <c r="D799" s="1" t="s">
        <v>3525</v>
      </c>
      <c r="E799" s="1" t="s">
        <v>1466</v>
      </c>
      <c r="F799" s="1" t="s">
        <v>3519</v>
      </c>
      <c r="G799" s="1" t="s">
        <v>456</v>
      </c>
      <c r="H799" s="2" t="s">
        <v>3520</v>
      </c>
      <c r="I799" s="1">
        <v>62</v>
      </c>
      <c r="J799" s="1">
        <v>0.2</v>
      </c>
      <c r="K799" s="1" t="s">
        <v>52</v>
      </c>
      <c r="L799" s="1" t="s">
        <v>52</v>
      </c>
      <c r="M799" s="1">
        <v>4.7329999999999997</v>
      </c>
      <c r="N799" s="1">
        <v>19</v>
      </c>
      <c r="O799" s="1">
        <v>70.496290000000002</v>
      </c>
      <c r="P799" s="1">
        <v>-160.62139999999999</v>
      </c>
      <c r="Q799" s="1">
        <v>8.5418000000000003</v>
      </c>
      <c r="R799" s="1">
        <v>30.848649999999999</v>
      </c>
      <c r="S799" s="1">
        <v>273.85300000000001</v>
      </c>
      <c r="W799" s="3">
        <v>1.385</v>
      </c>
      <c r="X799" s="1" t="s">
        <v>3521</v>
      </c>
      <c r="Y799" s="1">
        <v>3.01</v>
      </c>
      <c r="AA799" s="1">
        <v>0.57999999999999996</v>
      </c>
      <c r="AB799" s="1">
        <v>6.24</v>
      </c>
      <c r="AE799" s="1">
        <v>0.55000000000000004</v>
      </c>
      <c r="AF799" s="1">
        <v>0.78</v>
      </c>
      <c r="AI799" s="1">
        <v>6</v>
      </c>
      <c r="AJ799" s="1" t="s">
        <v>3522</v>
      </c>
      <c r="AK799" s="1">
        <v>4</v>
      </c>
      <c r="AL799" s="1">
        <v>50.881100000000004</v>
      </c>
      <c r="AM799" s="1" t="s">
        <v>3521</v>
      </c>
      <c r="AP799" s="1" t="s">
        <v>3523</v>
      </c>
      <c r="AQ799" s="1">
        <v>-1.98</v>
      </c>
      <c r="AR799" s="1">
        <v>10.95</v>
      </c>
      <c r="AT799" s="1">
        <v>5</v>
      </c>
    </row>
    <row r="800" spans="1:46">
      <c r="A800" s="1" t="s">
        <v>3528</v>
      </c>
      <c r="C800" s="1" t="s">
        <v>3528</v>
      </c>
      <c r="D800" s="1" t="s">
        <v>3525</v>
      </c>
      <c r="E800" s="1" t="s">
        <v>1466</v>
      </c>
      <c r="F800" s="1" t="s">
        <v>3519</v>
      </c>
      <c r="G800" s="1" t="s">
        <v>456</v>
      </c>
      <c r="H800" s="2" t="s">
        <v>3520</v>
      </c>
      <c r="I800" s="1">
        <v>62</v>
      </c>
      <c r="J800" s="1">
        <v>0.2</v>
      </c>
      <c r="K800" s="1" t="s">
        <v>52</v>
      </c>
      <c r="L800" s="1" t="s">
        <v>52</v>
      </c>
      <c r="M800" s="1">
        <v>4.7329999999999997</v>
      </c>
      <c r="N800" s="1">
        <v>19</v>
      </c>
      <c r="O800" s="1">
        <v>70.496290000000002</v>
      </c>
      <c r="P800" s="1">
        <v>-160.62139999999999</v>
      </c>
      <c r="Q800" s="1">
        <v>8.5418000000000003</v>
      </c>
      <c r="R800" s="1">
        <v>30.848649999999999</v>
      </c>
      <c r="S800" s="1">
        <v>273.85300000000001</v>
      </c>
      <c r="W800" s="3">
        <v>1.385</v>
      </c>
      <c r="X800" s="1" t="s">
        <v>3521</v>
      </c>
      <c r="Y800" s="1">
        <v>3.01</v>
      </c>
      <c r="AA800" s="1">
        <v>0.57999999999999996</v>
      </c>
      <c r="AB800" s="1">
        <v>6.24</v>
      </c>
      <c r="AE800" s="1">
        <v>0.55000000000000004</v>
      </c>
      <c r="AF800" s="1">
        <v>0.78</v>
      </c>
      <c r="AI800" s="1">
        <v>6</v>
      </c>
      <c r="AJ800" s="1" t="s">
        <v>3522</v>
      </c>
      <c r="AK800" s="1">
        <v>4</v>
      </c>
      <c r="AL800" s="1">
        <v>50.881100000000004</v>
      </c>
      <c r="AM800" s="1" t="s">
        <v>3521</v>
      </c>
      <c r="AP800" s="1" t="s">
        <v>3523</v>
      </c>
      <c r="AQ800" s="1">
        <v>-1.98</v>
      </c>
      <c r="AR800" s="1">
        <v>10.95</v>
      </c>
      <c r="AT800" s="1">
        <v>5</v>
      </c>
    </row>
    <row r="801" spans="1:46">
      <c r="A801" s="1" t="s">
        <v>3529</v>
      </c>
      <c r="C801" s="1" t="s">
        <v>3529</v>
      </c>
      <c r="D801" s="1" t="s">
        <v>3530</v>
      </c>
      <c r="E801" s="1" t="s">
        <v>1466</v>
      </c>
      <c r="F801" s="1" t="s">
        <v>3519</v>
      </c>
      <c r="G801" s="1" t="s">
        <v>456</v>
      </c>
      <c r="H801" s="2" t="s">
        <v>3531</v>
      </c>
      <c r="I801" s="1">
        <v>62</v>
      </c>
      <c r="J801" s="1">
        <v>0.2</v>
      </c>
      <c r="K801" s="1" t="s">
        <v>78</v>
      </c>
      <c r="L801" s="1" t="s">
        <v>78</v>
      </c>
      <c r="M801" s="1">
        <v>14.887</v>
      </c>
      <c r="N801" s="1">
        <v>19</v>
      </c>
      <c r="O801" s="1">
        <v>70.496070000000003</v>
      </c>
      <c r="P801" s="1">
        <v>-160.62120999999999</v>
      </c>
      <c r="Q801" s="1">
        <v>8.5282499999999999</v>
      </c>
      <c r="R801" s="1">
        <v>30.862400000000001</v>
      </c>
      <c r="S801" s="1">
        <v>273.95400000000001</v>
      </c>
      <c r="W801" s="3">
        <v>1.2769999999999999</v>
      </c>
      <c r="X801" s="1" t="s">
        <v>3532</v>
      </c>
      <c r="Y801" s="1">
        <v>3.37</v>
      </c>
      <c r="AA801" s="1">
        <v>0.62</v>
      </c>
      <c r="AB801" s="1">
        <v>9.1</v>
      </c>
      <c r="AE801" s="1">
        <v>0.48</v>
      </c>
      <c r="AF801" s="1">
        <v>0.78</v>
      </c>
      <c r="AI801" s="1">
        <v>1</v>
      </c>
      <c r="AJ801" s="1" t="s">
        <v>3532</v>
      </c>
      <c r="AK801" s="1">
        <v>4</v>
      </c>
      <c r="AL801" s="1">
        <v>37.2637</v>
      </c>
      <c r="AM801" s="1" t="s">
        <v>3532</v>
      </c>
      <c r="AP801" s="1" t="s">
        <v>3533</v>
      </c>
      <c r="AQ801" s="1">
        <v>-1.92</v>
      </c>
      <c r="AR801" s="1">
        <v>10.95</v>
      </c>
      <c r="AS801" s="1" t="s">
        <v>3534</v>
      </c>
      <c r="AT801" s="1">
        <v>15</v>
      </c>
    </row>
    <row r="802" spans="1:46">
      <c r="A802" s="1" t="s">
        <v>3535</v>
      </c>
      <c r="C802" s="1" t="s">
        <v>3535</v>
      </c>
      <c r="D802" s="1" t="s">
        <v>3530</v>
      </c>
      <c r="E802" s="1" t="s">
        <v>1466</v>
      </c>
      <c r="F802" s="1" t="s">
        <v>3519</v>
      </c>
      <c r="G802" s="1" t="s">
        <v>456</v>
      </c>
      <c r="H802" s="2" t="s">
        <v>3531</v>
      </c>
      <c r="I802" s="1">
        <v>62</v>
      </c>
      <c r="J802" s="1">
        <v>0.2</v>
      </c>
      <c r="K802" s="1" t="s">
        <v>78</v>
      </c>
      <c r="L802" s="1" t="s">
        <v>78</v>
      </c>
      <c r="M802" s="1">
        <v>14.887</v>
      </c>
      <c r="N802" s="1">
        <v>19</v>
      </c>
      <c r="O802" s="1">
        <v>70.496070000000003</v>
      </c>
      <c r="P802" s="1">
        <v>-160.62120999999999</v>
      </c>
      <c r="Q802" s="1">
        <v>8.5282499999999999</v>
      </c>
      <c r="R802" s="1">
        <v>30.862400000000001</v>
      </c>
      <c r="S802" s="1">
        <v>273.95400000000001</v>
      </c>
      <c r="W802" s="3">
        <v>1.2769999999999999</v>
      </c>
      <c r="X802" s="1" t="s">
        <v>3532</v>
      </c>
      <c r="Y802" s="1">
        <v>3.37</v>
      </c>
      <c r="AA802" s="1">
        <v>0.62</v>
      </c>
      <c r="AB802" s="1">
        <v>9.1</v>
      </c>
      <c r="AE802" s="1">
        <v>0.48</v>
      </c>
      <c r="AF802" s="1">
        <v>0.78</v>
      </c>
      <c r="AI802" s="1">
        <v>1</v>
      </c>
      <c r="AJ802" s="1" t="s">
        <v>3532</v>
      </c>
      <c r="AK802" s="1">
        <v>4</v>
      </c>
      <c r="AL802" s="1">
        <v>37.2637</v>
      </c>
      <c r="AM802" s="1" t="s">
        <v>3532</v>
      </c>
      <c r="AP802" s="1" t="s">
        <v>3533</v>
      </c>
      <c r="AQ802" s="1">
        <v>-1.92</v>
      </c>
      <c r="AR802" s="1">
        <v>10.95</v>
      </c>
      <c r="AS802" s="1" t="s">
        <v>3534</v>
      </c>
      <c r="AT802" s="1">
        <v>15</v>
      </c>
    </row>
    <row r="803" spans="1:46">
      <c r="A803" s="1" t="s">
        <v>3536</v>
      </c>
      <c r="C803" s="1" t="s">
        <v>3536</v>
      </c>
      <c r="D803" s="1" t="s">
        <v>3537</v>
      </c>
      <c r="E803" s="1" t="s">
        <v>1466</v>
      </c>
      <c r="F803" s="1" t="s">
        <v>3538</v>
      </c>
      <c r="G803" s="1" t="s">
        <v>456</v>
      </c>
      <c r="H803" s="2" t="s">
        <v>3539</v>
      </c>
      <c r="I803" s="1">
        <v>46</v>
      </c>
      <c r="J803" s="1">
        <v>0.2</v>
      </c>
      <c r="K803" s="1" t="s">
        <v>52</v>
      </c>
      <c r="L803" s="1" t="s">
        <v>52</v>
      </c>
      <c r="M803" s="1">
        <v>5.0659999999999998</v>
      </c>
      <c r="N803" s="1">
        <v>40</v>
      </c>
      <c r="O803" s="1">
        <v>71.743780000000001</v>
      </c>
      <c r="P803" s="1">
        <v>-164.15912</v>
      </c>
      <c r="Q803" s="1">
        <v>5.1695500000000001</v>
      </c>
      <c r="R803" s="1">
        <v>31.554300000000001</v>
      </c>
      <c r="S803" s="1">
        <v>309.19850000000002</v>
      </c>
      <c r="W803" s="3">
        <v>0.38100000000000001</v>
      </c>
      <c r="X803" s="1" t="s">
        <v>3540</v>
      </c>
      <c r="Y803" s="1">
        <v>0.55000000000000004</v>
      </c>
      <c r="AA803" s="1">
        <v>0.56999999999999995</v>
      </c>
      <c r="AB803" s="1">
        <v>2.88</v>
      </c>
      <c r="AE803" s="1">
        <v>0.39</v>
      </c>
      <c r="AF803" s="1">
        <v>1.62</v>
      </c>
      <c r="AI803" s="1">
        <v>9</v>
      </c>
      <c r="AJ803" s="1" t="s">
        <v>3540</v>
      </c>
      <c r="AK803" s="1">
        <v>4</v>
      </c>
      <c r="AL803" s="1">
        <v>94.188299999999998</v>
      </c>
      <c r="AM803" s="1" t="s">
        <v>3540</v>
      </c>
      <c r="AP803" s="1" t="s">
        <v>3541</v>
      </c>
      <c r="AQ803" s="1">
        <v>-1.89</v>
      </c>
      <c r="AR803" s="1">
        <v>5.7</v>
      </c>
      <c r="AT803" s="1">
        <v>5</v>
      </c>
    </row>
    <row r="804" spans="1:46">
      <c r="A804" s="1" t="s">
        <v>3542</v>
      </c>
      <c r="C804" s="1" t="s">
        <v>3542</v>
      </c>
      <c r="D804" s="1" t="s">
        <v>3543</v>
      </c>
      <c r="E804" s="1" t="s">
        <v>1466</v>
      </c>
      <c r="F804" s="1" t="s">
        <v>3538</v>
      </c>
      <c r="G804" s="1" t="s">
        <v>456</v>
      </c>
      <c r="H804" s="2" t="s">
        <v>3544</v>
      </c>
      <c r="I804" s="1">
        <v>46</v>
      </c>
      <c r="J804" s="1">
        <v>0.2</v>
      </c>
      <c r="K804" s="1" t="s">
        <v>1488</v>
      </c>
      <c r="L804" s="1" t="s">
        <v>78</v>
      </c>
      <c r="M804" s="1">
        <v>31.812000000000001</v>
      </c>
      <c r="N804" s="1">
        <v>40</v>
      </c>
      <c r="O804" s="1">
        <v>71.743620000000007</v>
      </c>
      <c r="P804" s="1">
        <v>-164.15975</v>
      </c>
      <c r="Q804" s="1">
        <v>0.36635000000000001</v>
      </c>
      <c r="R804" s="1">
        <v>32.386800000000001</v>
      </c>
      <c r="S804" s="1">
        <v>299.31599999999997</v>
      </c>
      <c r="W804" s="3">
        <v>1.0860000000000001</v>
      </c>
      <c r="X804" s="1" t="s">
        <v>3545</v>
      </c>
      <c r="Y804" s="1">
        <v>2.52</v>
      </c>
      <c r="AA804" s="1">
        <v>1.28</v>
      </c>
      <c r="AB804" s="1">
        <v>10.93</v>
      </c>
      <c r="AE804" s="1">
        <v>2.5</v>
      </c>
      <c r="AF804" s="1">
        <v>3.6</v>
      </c>
      <c r="AI804" s="1">
        <v>3</v>
      </c>
      <c r="AJ804" s="1" t="s">
        <v>3545</v>
      </c>
      <c r="AK804" s="1">
        <v>2</v>
      </c>
      <c r="AL804" s="1">
        <v>65.820099999999996</v>
      </c>
      <c r="AM804" s="1" t="s">
        <v>3545</v>
      </c>
      <c r="AP804" s="1" t="s">
        <v>3546</v>
      </c>
      <c r="AR804" s="1">
        <v>5.7</v>
      </c>
      <c r="AT804" s="1">
        <v>32</v>
      </c>
    </row>
    <row r="805" spans="1:46">
      <c r="A805" s="1" t="s">
        <v>3547</v>
      </c>
      <c r="C805" s="1" t="s">
        <v>3547</v>
      </c>
      <c r="D805" s="1" t="s">
        <v>3548</v>
      </c>
      <c r="E805" s="1" t="s">
        <v>1466</v>
      </c>
      <c r="F805" s="1" t="s">
        <v>3538</v>
      </c>
      <c r="G805" s="1" t="s">
        <v>456</v>
      </c>
      <c r="H805" s="2" t="s">
        <v>3549</v>
      </c>
      <c r="I805" s="1">
        <v>46</v>
      </c>
      <c r="J805" s="1">
        <v>0.2</v>
      </c>
      <c r="K805" s="1" t="s">
        <v>78</v>
      </c>
      <c r="L805" s="1" t="s">
        <v>78</v>
      </c>
      <c r="M805" s="1">
        <v>35.49</v>
      </c>
      <c r="N805" s="1">
        <v>40</v>
      </c>
      <c r="O805" s="1">
        <v>71.743610000000004</v>
      </c>
      <c r="P805" s="1">
        <v>-164.15951999999999</v>
      </c>
      <c r="Q805" s="1">
        <v>0.36635000000000001</v>
      </c>
      <c r="R805" s="1">
        <v>32.392899999999997</v>
      </c>
      <c r="S805" s="1">
        <v>297.54950000000002</v>
      </c>
      <c r="W805" s="3">
        <v>1.27</v>
      </c>
      <c r="X805" s="1" t="s">
        <v>3550</v>
      </c>
      <c r="Y805" s="1">
        <v>2.91</v>
      </c>
      <c r="AA805" s="1">
        <v>1.35</v>
      </c>
      <c r="AB805" s="1">
        <v>12.43</v>
      </c>
      <c r="AE805" s="1">
        <v>2.68</v>
      </c>
      <c r="AF805" s="1">
        <v>7.43</v>
      </c>
      <c r="AI805" s="1">
        <v>2</v>
      </c>
      <c r="AJ805" s="1" t="s">
        <v>3551</v>
      </c>
      <c r="AK805" s="1">
        <v>4</v>
      </c>
      <c r="AL805" s="1">
        <v>61.765500000000003</v>
      </c>
      <c r="AM805" s="1" t="s">
        <v>3550</v>
      </c>
      <c r="AP805" s="1" t="s">
        <v>3552</v>
      </c>
      <c r="AR805" s="1">
        <v>5.7</v>
      </c>
      <c r="AS805" s="1" t="s">
        <v>3553</v>
      </c>
      <c r="AT805" s="1">
        <v>35</v>
      </c>
    </row>
    <row r="806" spans="1:46">
      <c r="A806" s="1" t="s">
        <v>3554</v>
      </c>
      <c r="C806" s="1" t="s">
        <v>3554</v>
      </c>
      <c r="D806" s="1" t="s">
        <v>3555</v>
      </c>
      <c r="E806" s="1" t="s">
        <v>1466</v>
      </c>
      <c r="F806" s="1" t="s">
        <v>3556</v>
      </c>
      <c r="G806" s="1" t="s">
        <v>456</v>
      </c>
      <c r="H806" s="2" t="s">
        <v>3557</v>
      </c>
      <c r="I806" s="1">
        <v>43</v>
      </c>
      <c r="J806" s="1">
        <v>0.2</v>
      </c>
      <c r="K806" s="1" t="s">
        <v>3558</v>
      </c>
      <c r="L806" s="1" t="s">
        <v>52</v>
      </c>
      <c r="M806" s="1">
        <v>5.1210000000000004</v>
      </c>
      <c r="N806" s="1">
        <v>46</v>
      </c>
      <c r="O806" s="1">
        <v>72.121570000000006</v>
      </c>
      <c r="P806" s="1">
        <v>-165.35570999999999</v>
      </c>
      <c r="Q806" s="1">
        <v>5.8186999999999998</v>
      </c>
      <c r="R806" s="1">
        <v>32.005200000000002</v>
      </c>
      <c r="S806" s="1">
        <v>299.44400000000002</v>
      </c>
      <c r="W806" s="3">
        <v>0.998</v>
      </c>
      <c r="X806" s="1" t="s">
        <v>3559</v>
      </c>
      <c r="Y806" s="1">
        <v>0.98</v>
      </c>
      <c r="AA806" s="1">
        <v>0.43</v>
      </c>
      <c r="AB806" s="1">
        <v>1.78</v>
      </c>
      <c r="AE806" s="1">
        <v>1.04</v>
      </c>
      <c r="AF806" s="1">
        <v>3.24</v>
      </c>
      <c r="AI806" s="1">
        <v>9</v>
      </c>
      <c r="AJ806" s="1" t="s">
        <v>3559</v>
      </c>
      <c r="AK806" s="1">
        <v>1.96</v>
      </c>
      <c r="AL806" s="1">
        <v>91.258700000000005</v>
      </c>
      <c r="AM806" s="1" t="s">
        <v>3559</v>
      </c>
      <c r="AP806" s="1" t="s">
        <v>3560</v>
      </c>
      <c r="AQ806" s="1">
        <v>-1.56</v>
      </c>
      <c r="AR806" s="1">
        <v>6.65</v>
      </c>
      <c r="AT806" s="1">
        <v>5</v>
      </c>
    </row>
    <row r="807" spans="1:46">
      <c r="A807" s="1" t="s">
        <v>3561</v>
      </c>
      <c r="C807" s="1" t="s">
        <v>3561</v>
      </c>
      <c r="D807" s="1" t="s">
        <v>3562</v>
      </c>
      <c r="E807" s="1" t="s">
        <v>1466</v>
      </c>
      <c r="F807" s="1" t="s">
        <v>3556</v>
      </c>
      <c r="G807" s="1" t="s">
        <v>456</v>
      </c>
      <c r="H807" s="2" t="s">
        <v>3557</v>
      </c>
      <c r="I807" s="1">
        <v>43</v>
      </c>
      <c r="J807" s="1">
        <v>0.2</v>
      </c>
      <c r="K807" s="1" t="s">
        <v>3558</v>
      </c>
      <c r="L807" s="1" t="s">
        <v>52</v>
      </c>
      <c r="M807" s="1">
        <v>5.1210000000000004</v>
      </c>
      <c r="N807" s="1">
        <v>46</v>
      </c>
      <c r="O807" s="1">
        <v>72.121570000000006</v>
      </c>
      <c r="P807" s="1">
        <v>-165.35570999999999</v>
      </c>
      <c r="Q807" s="1">
        <v>5.8186999999999998</v>
      </c>
      <c r="R807" s="1">
        <v>32.005200000000002</v>
      </c>
      <c r="S807" s="1">
        <v>299.44400000000002</v>
      </c>
      <c r="W807" s="3">
        <v>0.998</v>
      </c>
      <c r="X807" s="1" t="s">
        <v>3559</v>
      </c>
      <c r="Y807" s="1">
        <v>0.98</v>
      </c>
      <c r="AA807" s="1">
        <v>0.43</v>
      </c>
      <c r="AB807" s="1">
        <v>1.78</v>
      </c>
      <c r="AE807" s="1">
        <v>1.04</v>
      </c>
      <c r="AF807" s="1">
        <v>3.24</v>
      </c>
      <c r="AI807" s="1">
        <v>9</v>
      </c>
      <c r="AJ807" s="1" t="s">
        <v>3559</v>
      </c>
      <c r="AK807" s="1">
        <v>1.96</v>
      </c>
      <c r="AL807" s="1">
        <v>91.258700000000005</v>
      </c>
      <c r="AM807" s="1" t="s">
        <v>3559</v>
      </c>
      <c r="AP807" s="1" t="s">
        <v>3560</v>
      </c>
      <c r="AQ807" s="1">
        <v>-1.56</v>
      </c>
      <c r="AR807" s="1">
        <v>6.65</v>
      </c>
      <c r="AT807" s="1">
        <v>5</v>
      </c>
    </row>
    <row r="808" spans="1:46">
      <c r="A808" s="1" t="s">
        <v>3563</v>
      </c>
      <c r="C808" s="1" t="s">
        <v>3563</v>
      </c>
      <c r="D808" s="1" t="s">
        <v>3564</v>
      </c>
      <c r="E808" s="1" t="s">
        <v>1466</v>
      </c>
      <c r="F808" s="1" t="s">
        <v>3556</v>
      </c>
      <c r="G808" s="1" t="s">
        <v>456</v>
      </c>
      <c r="H808" s="2" t="s">
        <v>3557</v>
      </c>
      <c r="I808" s="1">
        <v>43</v>
      </c>
      <c r="J808" s="1">
        <v>0.2</v>
      </c>
      <c r="K808" s="1" t="s">
        <v>3558</v>
      </c>
      <c r="L808" s="1" t="s">
        <v>52</v>
      </c>
      <c r="M808" s="1">
        <v>5.1210000000000004</v>
      </c>
      <c r="N808" s="1">
        <v>46</v>
      </c>
      <c r="O808" s="1">
        <v>72.121570000000006</v>
      </c>
      <c r="P808" s="1">
        <v>-165.35570999999999</v>
      </c>
      <c r="Q808" s="1">
        <v>5.8186999999999998</v>
      </c>
      <c r="R808" s="1">
        <v>32.005200000000002</v>
      </c>
      <c r="S808" s="1">
        <v>299.44400000000002</v>
      </c>
      <c r="W808" s="3">
        <v>0.998</v>
      </c>
      <c r="X808" s="1" t="s">
        <v>3559</v>
      </c>
      <c r="Y808" s="1">
        <v>0.98</v>
      </c>
      <c r="AA808" s="1">
        <v>0.43</v>
      </c>
      <c r="AB808" s="1">
        <v>1.78</v>
      </c>
      <c r="AE808" s="1">
        <v>1.04</v>
      </c>
      <c r="AF808" s="1">
        <v>3.24</v>
      </c>
      <c r="AI808" s="1">
        <v>9</v>
      </c>
      <c r="AJ808" s="1" t="s">
        <v>3559</v>
      </c>
      <c r="AK808" s="1">
        <v>1.96</v>
      </c>
      <c r="AL808" s="1">
        <v>91.258700000000005</v>
      </c>
      <c r="AM808" s="1" t="s">
        <v>3559</v>
      </c>
      <c r="AP808" s="1" t="s">
        <v>3560</v>
      </c>
      <c r="AQ808" s="1">
        <v>-1.56</v>
      </c>
      <c r="AR808" s="1">
        <v>6.65</v>
      </c>
      <c r="AT808" s="1">
        <v>5</v>
      </c>
    </row>
    <row r="809" spans="1:46">
      <c r="A809" s="1" t="s">
        <v>3565</v>
      </c>
      <c r="C809" s="1" t="s">
        <v>3565</v>
      </c>
      <c r="D809" s="1" t="s">
        <v>3566</v>
      </c>
      <c r="E809" s="1" t="s">
        <v>1466</v>
      </c>
      <c r="F809" s="1" t="s">
        <v>3556</v>
      </c>
      <c r="G809" s="1" t="s">
        <v>456</v>
      </c>
      <c r="H809" s="2" t="s">
        <v>3567</v>
      </c>
      <c r="I809" s="1">
        <v>43</v>
      </c>
      <c r="J809" s="1">
        <v>0.2</v>
      </c>
      <c r="K809" s="1" t="s">
        <v>3568</v>
      </c>
      <c r="L809" s="1" t="s">
        <v>65</v>
      </c>
      <c r="M809" s="1">
        <v>29.62</v>
      </c>
      <c r="N809" s="1">
        <v>46</v>
      </c>
      <c r="O809" s="1">
        <v>72.120940000000004</v>
      </c>
      <c r="P809" s="1">
        <v>-165.35699</v>
      </c>
      <c r="Q809" s="1">
        <v>3.53525</v>
      </c>
      <c r="R809" s="1">
        <v>32.638199999999998</v>
      </c>
      <c r="S809" s="1">
        <v>273.05549999999999</v>
      </c>
      <c r="W809" s="3">
        <v>0.995</v>
      </c>
      <c r="X809" s="1" t="s">
        <v>3569</v>
      </c>
      <c r="Y809" s="1">
        <v>2.66</v>
      </c>
      <c r="AA809" s="1">
        <v>1.03</v>
      </c>
      <c r="AB809" s="1">
        <v>5.39</v>
      </c>
      <c r="AE809" s="1">
        <v>2.36</v>
      </c>
      <c r="AF809" s="1">
        <v>5.62</v>
      </c>
      <c r="AI809" s="1">
        <v>3</v>
      </c>
      <c r="AJ809" s="1" t="s">
        <v>3569</v>
      </c>
      <c r="AK809" s="1">
        <v>1.75</v>
      </c>
      <c r="AL809" s="1">
        <v>80.8536</v>
      </c>
      <c r="AM809" s="1" t="s">
        <v>3569</v>
      </c>
      <c r="AP809" s="1" t="s">
        <v>3570</v>
      </c>
      <c r="AR809" s="1">
        <v>6.65</v>
      </c>
      <c r="AT809" s="1">
        <v>30</v>
      </c>
    </row>
    <row r="810" spans="1:46">
      <c r="A810" s="1" t="s">
        <v>3571</v>
      </c>
      <c r="C810" s="1" t="s">
        <v>3571</v>
      </c>
      <c r="D810" s="1" t="s">
        <v>3572</v>
      </c>
      <c r="E810" s="1" t="s">
        <v>1466</v>
      </c>
      <c r="F810" s="1" t="s">
        <v>3556</v>
      </c>
      <c r="G810" s="1" t="s">
        <v>456</v>
      </c>
      <c r="H810" s="2" t="s">
        <v>3567</v>
      </c>
      <c r="I810" s="1">
        <v>43</v>
      </c>
      <c r="J810" s="1">
        <v>0.2</v>
      </c>
      <c r="K810" s="1" t="s">
        <v>3568</v>
      </c>
      <c r="L810" s="1" t="s">
        <v>65</v>
      </c>
      <c r="M810" s="1">
        <v>29.62</v>
      </c>
      <c r="N810" s="1">
        <v>46</v>
      </c>
      <c r="O810" s="1">
        <v>72.120940000000004</v>
      </c>
      <c r="P810" s="1">
        <v>-165.35699</v>
      </c>
      <c r="Q810" s="1">
        <v>3.53525</v>
      </c>
      <c r="R810" s="1">
        <v>32.638199999999998</v>
      </c>
      <c r="S810" s="1">
        <v>273.05549999999999</v>
      </c>
      <c r="W810" s="3">
        <v>0.995</v>
      </c>
      <c r="X810" s="1" t="s">
        <v>3569</v>
      </c>
      <c r="Y810" s="1">
        <v>2.66</v>
      </c>
      <c r="AA810" s="1">
        <v>1.03</v>
      </c>
      <c r="AB810" s="1">
        <v>5.39</v>
      </c>
      <c r="AE810" s="1">
        <v>2.36</v>
      </c>
      <c r="AF810" s="1">
        <v>5.62</v>
      </c>
      <c r="AI810" s="1">
        <v>3</v>
      </c>
      <c r="AJ810" s="1" t="s">
        <v>3569</v>
      </c>
      <c r="AK810" s="1">
        <v>1.75</v>
      </c>
      <c r="AL810" s="1">
        <v>80.8536</v>
      </c>
      <c r="AM810" s="1" t="s">
        <v>3569</v>
      </c>
      <c r="AP810" s="1" t="s">
        <v>3570</v>
      </c>
      <c r="AR810" s="1">
        <v>6.65</v>
      </c>
      <c r="AT810" s="1">
        <v>30</v>
      </c>
    </row>
    <row r="811" spans="1:46">
      <c r="A811" s="1" t="s">
        <v>3573</v>
      </c>
      <c r="C811" s="1" t="s">
        <v>3573</v>
      </c>
      <c r="D811" s="1" t="s">
        <v>3574</v>
      </c>
      <c r="E811" s="1" t="s">
        <v>1466</v>
      </c>
      <c r="F811" s="1" t="s">
        <v>3556</v>
      </c>
      <c r="G811" s="1" t="s">
        <v>456</v>
      </c>
      <c r="H811" s="2" t="s">
        <v>3567</v>
      </c>
      <c r="I811" s="1">
        <v>43</v>
      </c>
      <c r="J811" s="1">
        <v>0.2</v>
      </c>
      <c r="K811" s="1" t="s">
        <v>3568</v>
      </c>
      <c r="L811" s="1" t="s">
        <v>65</v>
      </c>
      <c r="M811" s="1">
        <v>29.62</v>
      </c>
      <c r="N811" s="1">
        <v>46</v>
      </c>
      <c r="O811" s="1">
        <v>72.120940000000004</v>
      </c>
      <c r="P811" s="1">
        <v>-165.35699</v>
      </c>
      <c r="Q811" s="1">
        <v>3.53525</v>
      </c>
      <c r="R811" s="1">
        <v>32.638199999999998</v>
      </c>
      <c r="S811" s="1">
        <v>273.05549999999999</v>
      </c>
      <c r="W811" s="3">
        <v>0.995</v>
      </c>
      <c r="X811" s="1" t="s">
        <v>3569</v>
      </c>
      <c r="Y811" s="1">
        <v>2.66</v>
      </c>
      <c r="AA811" s="1">
        <v>1.03</v>
      </c>
      <c r="AB811" s="1">
        <v>5.39</v>
      </c>
      <c r="AE811" s="1">
        <v>2.36</v>
      </c>
      <c r="AF811" s="1">
        <v>5.62</v>
      </c>
      <c r="AI811" s="1">
        <v>3</v>
      </c>
      <c r="AJ811" s="1" t="s">
        <v>3569</v>
      </c>
      <c r="AK811" s="1">
        <v>1.75</v>
      </c>
      <c r="AL811" s="1">
        <v>80.8536</v>
      </c>
      <c r="AM811" s="1" t="s">
        <v>3569</v>
      </c>
      <c r="AP811" s="1" t="s">
        <v>3570</v>
      </c>
      <c r="AR811" s="1">
        <v>6.65</v>
      </c>
      <c r="AT811" s="1">
        <v>30</v>
      </c>
    </row>
    <row r="812" spans="1:46">
      <c r="A812" s="1" t="s">
        <v>3575</v>
      </c>
      <c r="C812" s="1" t="s">
        <v>3575</v>
      </c>
      <c r="D812" s="1" t="s">
        <v>3576</v>
      </c>
      <c r="E812" s="1" t="s">
        <v>1466</v>
      </c>
      <c r="F812" s="1" t="s">
        <v>3556</v>
      </c>
      <c r="G812" s="1" t="s">
        <v>456</v>
      </c>
      <c r="H812" s="2" t="s">
        <v>3577</v>
      </c>
      <c r="I812" s="1">
        <v>43</v>
      </c>
      <c r="J812" s="1">
        <v>0.2</v>
      </c>
      <c r="K812" s="1" t="s">
        <v>3578</v>
      </c>
      <c r="L812" s="1" t="s">
        <v>78</v>
      </c>
      <c r="M812" s="1">
        <v>39.799999999999997</v>
      </c>
      <c r="N812" s="1">
        <v>46</v>
      </c>
      <c r="O812" s="1">
        <v>72.120829999999998</v>
      </c>
      <c r="P812" s="1">
        <v>-165.35804999999999</v>
      </c>
      <c r="Q812" s="1">
        <v>3.5165500000000001</v>
      </c>
      <c r="R812" s="1">
        <v>32.651299999999999</v>
      </c>
      <c r="S812" s="1">
        <v>261.07150000000001</v>
      </c>
      <c r="W812" s="3">
        <v>0.30299999999999999</v>
      </c>
      <c r="X812" s="1" t="s">
        <v>329</v>
      </c>
      <c r="Y812" s="1">
        <v>0.5</v>
      </c>
      <c r="AA812" s="1">
        <v>1.24</v>
      </c>
      <c r="AB812" s="1">
        <v>13.11</v>
      </c>
      <c r="AE812" s="1">
        <v>3.45</v>
      </c>
      <c r="AF812" s="1">
        <v>9</v>
      </c>
      <c r="AI812" s="1">
        <v>1</v>
      </c>
      <c r="AJ812" s="1" t="s">
        <v>329</v>
      </c>
      <c r="AK812" s="1">
        <v>1.94</v>
      </c>
      <c r="AL812" s="1">
        <v>67.365200000000002</v>
      </c>
      <c r="AM812" s="1" t="s">
        <v>329</v>
      </c>
      <c r="AP812" s="1" t="s">
        <v>3579</v>
      </c>
      <c r="AQ812" s="1">
        <v>-1.08</v>
      </c>
      <c r="AR812" s="1">
        <v>6.65</v>
      </c>
      <c r="AS812" s="1" t="s">
        <v>3580</v>
      </c>
      <c r="AT812" s="1">
        <v>40</v>
      </c>
    </row>
    <row r="813" spans="1:46">
      <c r="A813" s="1" t="s">
        <v>3581</v>
      </c>
      <c r="C813" s="1" t="s">
        <v>3581</v>
      </c>
      <c r="D813" s="1" t="s">
        <v>3582</v>
      </c>
      <c r="E813" s="1" t="s">
        <v>1466</v>
      </c>
      <c r="F813" s="1" t="s">
        <v>3556</v>
      </c>
      <c r="G813" s="1" t="s">
        <v>456</v>
      </c>
      <c r="H813" s="2" t="s">
        <v>3577</v>
      </c>
      <c r="I813" s="1">
        <v>43</v>
      </c>
      <c r="J813" s="1">
        <v>0.2</v>
      </c>
      <c r="K813" s="1" t="s">
        <v>3578</v>
      </c>
      <c r="L813" s="1" t="s">
        <v>78</v>
      </c>
      <c r="M813" s="1">
        <v>39.799999999999997</v>
      </c>
      <c r="N813" s="1">
        <v>46</v>
      </c>
      <c r="O813" s="1">
        <v>72.120829999999998</v>
      </c>
      <c r="P813" s="1">
        <v>-165.35804999999999</v>
      </c>
      <c r="Q813" s="1">
        <v>3.5165500000000001</v>
      </c>
      <c r="R813" s="1">
        <v>32.651299999999999</v>
      </c>
      <c r="S813" s="1">
        <v>261.07150000000001</v>
      </c>
      <c r="W813" s="3">
        <v>0.30299999999999999</v>
      </c>
      <c r="X813" s="1" t="s">
        <v>329</v>
      </c>
      <c r="Y813" s="1">
        <v>0.5</v>
      </c>
      <c r="AA813" s="1">
        <v>1.24</v>
      </c>
      <c r="AB813" s="1">
        <v>13.11</v>
      </c>
      <c r="AE813" s="1">
        <v>3.45</v>
      </c>
      <c r="AF813" s="1">
        <v>9</v>
      </c>
      <c r="AI813" s="1">
        <v>1</v>
      </c>
      <c r="AJ813" s="1" t="s">
        <v>329</v>
      </c>
      <c r="AK813" s="1">
        <v>1.94</v>
      </c>
      <c r="AL813" s="1">
        <v>67.365200000000002</v>
      </c>
      <c r="AM813" s="1" t="s">
        <v>329</v>
      </c>
      <c r="AP813" s="1" t="s">
        <v>3579</v>
      </c>
      <c r="AQ813" s="1">
        <v>-1.08</v>
      </c>
      <c r="AR813" s="1">
        <v>6.65</v>
      </c>
      <c r="AS813" s="1" t="s">
        <v>3580</v>
      </c>
      <c r="AT813" s="1">
        <v>40</v>
      </c>
    </row>
    <row r="814" spans="1:46">
      <c r="A814" s="1" t="s">
        <v>3583</v>
      </c>
      <c r="C814" s="1" t="s">
        <v>3583</v>
      </c>
      <c r="D814" s="1" t="s">
        <v>3584</v>
      </c>
      <c r="E814" s="1" t="s">
        <v>1466</v>
      </c>
      <c r="F814" s="1" t="s">
        <v>3556</v>
      </c>
      <c r="G814" s="1" t="s">
        <v>456</v>
      </c>
      <c r="H814" s="2" t="s">
        <v>3577</v>
      </c>
      <c r="I814" s="1">
        <v>43</v>
      </c>
      <c r="J814" s="1">
        <v>0.2</v>
      </c>
      <c r="K814" s="1" t="s">
        <v>3578</v>
      </c>
      <c r="L814" s="1" t="s">
        <v>78</v>
      </c>
      <c r="M814" s="1">
        <v>39.799999999999997</v>
      </c>
      <c r="N814" s="1">
        <v>46</v>
      </c>
      <c r="O814" s="1">
        <v>72.120829999999998</v>
      </c>
      <c r="P814" s="1">
        <v>-165.35804999999999</v>
      </c>
      <c r="Q814" s="1">
        <v>3.5165500000000001</v>
      </c>
      <c r="R814" s="1">
        <v>32.651299999999999</v>
      </c>
      <c r="S814" s="1">
        <v>261.07150000000001</v>
      </c>
      <c r="W814" s="3">
        <v>0.30299999999999999</v>
      </c>
      <c r="X814" s="1" t="s">
        <v>329</v>
      </c>
      <c r="Y814" s="1">
        <v>0.5</v>
      </c>
      <c r="AA814" s="1">
        <v>1.24</v>
      </c>
      <c r="AB814" s="1">
        <v>13.11</v>
      </c>
      <c r="AE814" s="1">
        <v>3.45</v>
      </c>
      <c r="AF814" s="1">
        <v>9</v>
      </c>
      <c r="AI814" s="1">
        <v>1</v>
      </c>
      <c r="AJ814" s="1" t="s">
        <v>329</v>
      </c>
      <c r="AK814" s="1">
        <v>1.94</v>
      </c>
      <c r="AL814" s="1">
        <v>67.365200000000002</v>
      </c>
      <c r="AM814" s="1" t="s">
        <v>329</v>
      </c>
      <c r="AP814" s="1" t="s">
        <v>3579</v>
      </c>
      <c r="AQ814" s="1">
        <v>-1.08</v>
      </c>
      <c r="AR814" s="1">
        <v>6.65</v>
      </c>
      <c r="AS814" s="1" t="s">
        <v>3580</v>
      </c>
      <c r="AT814" s="1">
        <v>40</v>
      </c>
    </row>
    <row r="815" spans="1:46">
      <c r="A815" s="1" t="s">
        <v>3585</v>
      </c>
      <c r="C815" s="1" t="s">
        <v>3585</v>
      </c>
      <c r="D815" s="1" t="s">
        <v>3586</v>
      </c>
      <c r="E815" s="1" t="s">
        <v>1466</v>
      </c>
      <c r="F815" s="1" t="s">
        <v>3587</v>
      </c>
      <c r="G815" s="1" t="s">
        <v>456</v>
      </c>
      <c r="H815" s="2" t="s">
        <v>3588</v>
      </c>
      <c r="I815" s="1">
        <v>61</v>
      </c>
      <c r="J815" s="1">
        <v>0.2</v>
      </c>
      <c r="K815" s="1" t="s">
        <v>52</v>
      </c>
      <c r="L815" s="1" t="s">
        <v>52</v>
      </c>
      <c r="M815" s="1">
        <v>4.8259999999999996</v>
      </c>
      <c r="N815" s="1">
        <v>29</v>
      </c>
      <c r="O815" s="1">
        <v>70.578149999999994</v>
      </c>
      <c r="P815" s="1">
        <v>-160.83275</v>
      </c>
      <c r="Q815" s="1">
        <v>6.5785499999999999</v>
      </c>
      <c r="R815" s="1">
        <v>31.671199999999999</v>
      </c>
      <c r="S815" s="1">
        <v>285.28050000000002</v>
      </c>
      <c r="W815" s="3">
        <v>0.875</v>
      </c>
      <c r="X815" s="1" t="s">
        <v>3589</v>
      </c>
      <c r="Y815" s="1">
        <v>1.1100000000000001</v>
      </c>
      <c r="AA815" s="1">
        <v>0.73</v>
      </c>
      <c r="AB815" s="1">
        <v>7.67</v>
      </c>
      <c r="AE815" s="1">
        <v>0.94</v>
      </c>
      <c r="AF815" s="1">
        <v>0.85</v>
      </c>
      <c r="AI815" s="1">
        <v>7</v>
      </c>
      <c r="AJ815" s="1" t="s">
        <v>3589</v>
      </c>
      <c r="AK815" s="1">
        <v>4</v>
      </c>
      <c r="AL815" s="1">
        <v>83.567099999999996</v>
      </c>
      <c r="AM815" s="1" t="s">
        <v>3589</v>
      </c>
      <c r="AP815" s="1" t="s">
        <v>3590</v>
      </c>
      <c r="AQ815" s="1">
        <v>-1.53</v>
      </c>
      <c r="AR815" s="1">
        <v>10.32</v>
      </c>
      <c r="AS815" s="1" t="s">
        <v>3451</v>
      </c>
      <c r="AT815" s="1">
        <v>5</v>
      </c>
    </row>
    <row r="816" spans="1:46">
      <c r="A816" s="1" t="s">
        <v>3591</v>
      </c>
      <c r="C816" s="1" t="s">
        <v>3591</v>
      </c>
      <c r="D816" s="1" t="s">
        <v>3592</v>
      </c>
      <c r="E816" s="1" t="s">
        <v>1466</v>
      </c>
      <c r="F816" s="1" t="s">
        <v>3587</v>
      </c>
      <c r="G816" s="1" t="s">
        <v>456</v>
      </c>
      <c r="H816" s="2" t="s">
        <v>3593</v>
      </c>
      <c r="I816" s="1">
        <v>61</v>
      </c>
      <c r="J816" s="1">
        <v>0.2</v>
      </c>
      <c r="L816" s="1" t="s">
        <v>65</v>
      </c>
      <c r="M816" s="1">
        <v>10.371</v>
      </c>
      <c r="N816" s="1">
        <v>29</v>
      </c>
      <c r="O816" s="1">
        <v>70.577969999999993</v>
      </c>
      <c r="P816" s="1">
        <v>-160.83331999999999</v>
      </c>
      <c r="Q816" s="1">
        <v>5.2614999999999998</v>
      </c>
      <c r="R816" s="1">
        <v>32.094900000000003</v>
      </c>
      <c r="S816" s="1">
        <v>277.42200000000003</v>
      </c>
      <c r="W816" s="3">
        <v>0.54800000000000004</v>
      </c>
      <c r="X816" s="1" t="s">
        <v>3594</v>
      </c>
      <c r="Y816" s="1">
        <v>0.92</v>
      </c>
      <c r="AA816" s="1">
        <v>0.96</v>
      </c>
      <c r="AB816" s="1">
        <v>9.49</v>
      </c>
      <c r="AE816" s="1">
        <v>1.65</v>
      </c>
      <c r="AF816" s="1">
        <v>3.35</v>
      </c>
      <c r="AI816" s="1">
        <v>5</v>
      </c>
      <c r="AJ816" s="1" t="s">
        <v>3594</v>
      </c>
      <c r="AK816" s="1">
        <v>4</v>
      </c>
      <c r="AL816" s="1">
        <v>77.991699999999994</v>
      </c>
      <c r="AM816" s="1" t="s">
        <v>3594</v>
      </c>
      <c r="AP816" s="1" t="s">
        <v>3595</v>
      </c>
      <c r="AR816" s="1">
        <v>10.32</v>
      </c>
      <c r="AT816" s="1">
        <v>10</v>
      </c>
    </row>
    <row r="817" spans="1:46">
      <c r="A817" s="1" t="s">
        <v>3596</v>
      </c>
      <c r="C817" s="1" t="s">
        <v>3596</v>
      </c>
      <c r="D817" s="1" t="s">
        <v>3597</v>
      </c>
      <c r="E817" s="1" t="s">
        <v>1466</v>
      </c>
      <c r="F817" s="1" t="s">
        <v>3587</v>
      </c>
      <c r="G817" s="1" t="s">
        <v>456</v>
      </c>
      <c r="H817" s="2" t="s">
        <v>3598</v>
      </c>
      <c r="I817" s="1">
        <v>61</v>
      </c>
      <c r="J817" s="1">
        <v>0.2</v>
      </c>
      <c r="L817" s="1" t="s">
        <v>78</v>
      </c>
      <c r="M817" s="1">
        <v>20.648</v>
      </c>
      <c r="N817" s="1">
        <v>29</v>
      </c>
      <c r="O817" s="1">
        <v>70.577879999999993</v>
      </c>
      <c r="P817" s="1">
        <v>-160.83320000000001</v>
      </c>
      <c r="Q817" s="1">
        <v>5.2324999999999999</v>
      </c>
      <c r="R817" s="1">
        <v>32.098100000000002</v>
      </c>
      <c r="S817" s="1">
        <v>277.161</v>
      </c>
      <c r="W817" s="3">
        <v>0.53800000000000003</v>
      </c>
      <c r="X817" s="1" t="s">
        <v>3599</v>
      </c>
      <c r="Y817" s="1">
        <v>0.9</v>
      </c>
      <c r="AA817" s="1">
        <v>0.92</v>
      </c>
      <c r="AB817" s="1">
        <v>9.6999999999999993</v>
      </c>
      <c r="AE817" s="1">
        <v>1.69</v>
      </c>
      <c r="AF817" s="1">
        <v>1.71</v>
      </c>
      <c r="AI817" s="1">
        <v>3</v>
      </c>
      <c r="AJ817" s="1" t="s">
        <v>3599</v>
      </c>
      <c r="AK817" s="1">
        <v>4</v>
      </c>
      <c r="AL817" s="1">
        <v>74.885599999999997</v>
      </c>
      <c r="AM817" s="1" t="s">
        <v>3599</v>
      </c>
      <c r="AP817" s="1" t="s">
        <v>3600</v>
      </c>
      <c r="AR817" s="1">
        <v>10.32</v>
      </c>
      <c r="AS817" s="1" t="s">
        <v>3601</v>
      </c>
      <c r="AT817" s="1">
        <v>21</v>
      </c>
    </row>
    <row r="818" spans="1:46">
      <c r="A818" s="1" t="s">
        <v>3602</v>
      </c>
      <c r="C818" s="1" t="s">
        <v>3602</v>
      </c>
      <c r="D818" s="1" t="s">
        <v>3603</v>
      </c>
      <c r="E818" s="1" t="s">
        <v>1466</v>
      </c>
      <c r="F818" s="1" t="s">
        <v>3587</v>
      </c>
      <c r="G818" s="1" t="s">
        <v>456</v>
      </c>
      <c r="H818" s="2" t="s">
        <v>3604</v>
      </c>
      <c r="I818" s="1">
        <v>61</v>
      </c>
      <c r="J818" s="1">
        <v>0.2</v>
      </c>
      <c r="K818" s="1" t="s">
        <v>78</v>
      </c>
      <c r="L818" s="1" t="s">
        <v>78</v>
      </c>
      <c r="M818" s="1">
        <v>26.148</v>
      </c>
      <c r="N818" s="1">
        <v>29</v>
      </c>
      <c r="O818" s="1">
        <v>70.578000000000003</v>
      </c>
      <c r="P818" s="1">
        <v>-160.83331999999999</v>
      </c>
      <c r="Q818" s="1">
        <v>5.2319000000000004</v>
      </c>
      <c r="R818" s="1">
        <v>32.098199999999999</v>
      </c>
      <c r="S818" s="1">
        <v>276.86200000000002</v>
      </c>
      <c r="W818" s="3">
        <v>0.59</v>
      </c>
      <c r="X818" s="1" t="s">
        <v>3605</v>
      </c>
      <c r="Y818" s="1">
        <v>0.9</v>
      </c>
      <c r="AA818" s="1">
        <v>0.97</v>
      </c>
      <c r="AB818" s="1">
        <v>10.39</v>
      </c>
      <c r="AE818" s="1">
        <v>1.73</v>
      </c>
      <c r="AF818" s="1">
        <v>2.94</v>
      </c>
      <c r="AI818" s="1">
        <v>1</v>
      </c>
      <c r="AJ818" s="1" t="s">
        <v>3605</v>
      </c>
      <c r="AK818" s="1">
        <v>4</v>
      </c>
      <c r="AL818" s="1">
        <v>75.638599999999997</v>
      </c>
      <c r="AM818" s="1" t="s">
        <v>3605</v>
      </c>
      <c r="AP818" s="1" t="s">
        <v>3606</v>
      </c>
      <c r="AQ818" s="1">
        <v>-1.33</v>
      </c>
      <c r="AR818" s="1">
        <v>10.32</v>
      </c>
      <c r="AS818" s="1" t="s">
        <v>3126</v>
      </c>
      <c r="AT818" s="1">
        <v>26</v>
      </c>
    </row>
    <row r="819" spans="1:46">
      <c r="A819" s="1" t="s">
        <v>3607</v>
      </c>
      <c r="C819" s="1" t="s">
        <v>3607</v>
      </c>
      <c r="D819" s="1" t="s">
        <v>3608</v>
      </c>
      <c r="E819" s="1" t="s">
        <v>1466</v>
      </c>
      <c r="F819" s="1" t="s">
        <v>3609</v>
      </c>
      <c r="G819" s="1" t="s">
        <v>456</v>
      </c>
      <c r="H819" s="2" t="s">
        <v>3610</v>
      </c>
      <c r="I819" s="1">
        <v>28</v>
      </c>
      <c r="J819" s="1">
        <v>0.2</v>
      </c>
      <c r="K819" s="1" t="s">
        <v>52</v>
      </c>
      <c r="L819" s="1" t="s">
        <v>52</v>
      </c>
      <c r="M819" s="1">
        <v>5.0460000000000003</v>
      </c>
      <c r="N819" s="1">
        <v>29</v>
      </c>
      <c r="O819" s="1">
        <v>70.890960000000007</v>
      </c>
      <c r="P819" s="1">
        <v>-159.39779999999999</v>
      </c>
      <c r="Q819" s="1">
        <v>10.08295</v>
      </c>
      <c r="R819" s="1">
        <v>30.543700000000001</v>
      </c>
      <c r="S819" s="1">
        <v>264.94600000000003</v>
      </c>
      <c r="W819" s="3">
        <v>0.96199999999999997</v>
      </c>
      <c r="X819" s="1" t="s">
        <v>3214</v>
      </c>
      <c r="Y819" s="1">
        <v>1.99</v>
      </c>
      <c r="AA819" s="1">
        <v>0.81</v>
      </c>
      <c r="AB819" s="1">
        <v>12.24</v>
      </c>
      <c r="AE819" s="1">
        <v>0.79</v>
      </c>
      <c r="AF819" s="1">
        <v>1.66</v>
      </c>
      <c r="AI819" s="1">
        <v>7</v>
      </c>
      <c r="AJ819" s="1" t="s">
        <v>3214</v>
      </c>
      <c r="AK819" s="1">
        <v>1.7</v>
      </c>
      <c r="AL819" s="1">
        <v>66.3643</v>
      </c>
      <c r="AM819" s="1" t="s">
        <v>3214</v>
      </c>
      <c r="AP819" s="1" t="s">
        <v>3611</v>
      </c>
      <c r="AQ819" s="1">
        <v>-2.2400000000000002</v>
      </c>
      <c r="AR819" s="1">
        <v>15.49</v>
      </c>
      <c r="AS819" s="1" t="s">
        <v>3612</v>
      </c>
      <c r="AT819" s="1">
        <v>5</v>
      </c>
    </row>
    <row r="820" spans="1:46">
      <c r="A820" s="1" t="s">
        <v>3613</v>
      </c>
      <c r="C820" s="1" t="s">
        <v>3613</v>
      </c>
      <c r="D820" s="1" t="s">
        <v>3608</v>
      </c>
      <c r="E820" s="1" t="s">
        <v>1466</v>
      </c>
      <c r="F820" s="1" t="s">
        <v>3609</v>
      </c>
      <c r="G820" s="1" t="s">
        <v>456</v>
      </c>
      <c r="H820" s="2" t="s">
        <v>3610</v>
      </c>
      <c r="I820" s="1">
        <v>28</v>
      </c>
      <c r="J820" s="1">
        <v>0.2</v>
      </c>
      <c r="K820" s="1" t="s">
        <v>52</v>
      </c>
      <c r="L820" s="1" t="s">
        <v>52</v>
      </c>
      <c r="M820" s="1">
        <v>5.0460000000000003</v>
      </c>
      <c r="N820" s="1">
        <v>29</v>
      </c>
      <c r="O820" s="1">
        <v>70.890960000000007</v>
      </c>
      <c r="P820" s="1">
        <v>-159.39779999999999</v>
      </c>
      <c r="Q820" s="1">
        <v>10.08295</v>
      </c>
      <c r="R820" s="1">
        <v>30.543700000000001</v>
      </c>
      <c r="S820" s="1">
        <v>264.94600000000003</v>
      </c>
      <c r="W820" s="3">
        <v>0.96199999999999997</v>
      </c>
      <c r="X820" s="1" t="s">
        <v>3214</v>
      </c>
      <c r="Y820" s="1">
        <v>1.99</v>
      </c>
      <c r="AA820" s="1">
        <v>0.81</v>
      </c>
      <c r="AB820" s="1">
        <v>12.24</v>
      </c>
      <c r="AE820" s="1">
        <v>0.79</v>
      </c>
      <c r="AF820" s="1">
        <v>1.66</v>
      </c>
      <c r="AI820" s="1">
        <v>7</v>
      </c>
      <c r="AJ820" s="1" t="s">
        <v>3214</v>
      </c>
      <c r="AK820" s="1">
        <v>1.7</v>
      </c>
      <c r="AL820" s="1">
        <v>66.3643</v>
      </c>
      <c r="AM820" s="1" t="s">
        <v>3214</v>
      </c>
      <c r="AP820" s="1" t="s">
        <v>3611</v>
      </c>
      <c r="AQ820" s="1">
        <v>-2.2400000000000002</v>
      </c>
      <c r="AR820" s="1">
        <v>15.49</v>
      </c>
      <c r="AS820" s="1" t="s">
        <v>3612</v>
      </c>
      <c r="AT820" s="1">
        <v>5</v>
      </c>
    </row>
    <row r="821" spans="1:46">
      <c r="A821" s="1" t="s">
        <v>3614</v>
      </c>
      <c r="C821" s="1" t="s">
        <v>3614</v>
      </c>
      <c r="D821" s="1" t="s">
        <v>3615</v>
      </c>
      <c r="E821" s="1" t="s">
        <v>1466</v>
      </c>
      <c r="F821" s="1" t="s">
        <v>3609</v>
      </c>
      <c r="G821" s="1" t="s">
        <v>456</v>
      </c>
      <c r="H821" s="2" t="s">
        <v>3616</v>
      </c>
      <c r="I821" s="1">
        <v>28</v>
      </c>
      <c r="J821" s="1">
        <v>0.2</v>
      </c>
      <c r="K821" s="1" t="s">
        <v>78</v>
      </c>
      <c r="L821" s="1" t="s">
        <v>78</v>
      </c>
      <c r="M821" s="1">
        <v>25.888999999999999</v>
      </c>
      <c r="N821" s="1">
        <v>29</v>
      </c>
      <c r="O821" s="1">
        <v>70.891800000000003</v>
      </c>
      <c r="P821" s="1">
        <v>-159.39684</v>
      </c>
      <c r="Q821" s="1">
        <v>9.7301000000000002</v>
      </c>
      <c r="R821" s="1">
        <v>30.516500000000001</v>
      </c>
      <c r="S821" s="1">
        <v>269.6155</v>
      </c>
      <c r="W821" s="3">
        <v>0.77300000000000002</v>
      </c>
      <c r="X821" s="1" t="s">
        <v>3617</v>
      </c>
      <c r="Y821" s="1">
        <v>1.66</v>
      </c>
      <c r="AA821" s="1">
        <v>0.73</v>
      </c>
      <c r="AB821" s="1">
        <v>8.3800000000000008</v>
      </c>
      <c r="AE821" s="1">
        <v>0.8</v>
      </c>
      <c r="AF821" s="1">
        <v>1.46</v>
      </c>
      <c r="AI821" s="1">
        <v>2</v>
      </c>
      <c r="AJ821" s="1" t="s">
        <v>3618</v>
      </c>
      <c r="AK821" s="1">
        <v>1.7</v>
      </c>
      <c r="AL821" s="1">
        <v>67.035399999999996</v>
      </c>
      <c r="AM821" s="1" t="s">
        <v>3617</v>
      </c>
      <c r="AP821" s="1" t="s">
        <v>3619</v>
      </c>
      <c r="AQ821" s="1">
        <v>-2.15</v>
      </c>
      <c r="AR821" s="1">
        <v>15.49</v>
      </c>
      <c r="AS821" s="1" t="s">
        <v>3620</v>
      </c>
      <c r="AT821" s="1">
        <v>26</v>
      </c>
    </row>
    <row r="822" spans="1:46">
      <c r="A822" s="1" t="s">
        <v>3621</v>
      </c>
      <c r="C822" s="1" t="s">
        <v>3621</v>
      </c>
      <c r="D822" s="1" t="s">
        <v>3615</v>
      </c>
      <c r="E822" s="1" t="s">
        <v>1466</v>
      </c>
      <c r="F822" s="1" t="s">
        <v>3609</v>
      </c>
      <c r="G822" s="1" t="s">
        <v>456</v>
      </c>
      <c r="H822" s="2" t="s">
        <v>3616</v>
      </c>
      <c r="I822" s="1">
        <v>28</v>
      </c>
      <c r="J822" s="1">
        <v>0.2</v>
      </c>
      <c r="K822" s="1" t="s">
        <v>78</v>
      </c>
      <c r="L822" s="1" t="s">
        <v>78</v>
      </c>
      <c r="M822" s="1">
        <v>25.888999999999999</v>
      </c>
      <c r="N822" s="1">
        <v>29</v>
      </c>
      <c r="O822" s="1">
        <v>70.891800000000003</v>
      </c>
      <c r="P822" s="1">
        <v>-159.39684</v>
      </c>
      <c r="Q822" s="1">
        <v>9.7301000000000002</v>
      </c>
      <c r="R822" s="1">
        <v>30.516500000000001</v>
      </c>
      <c r="S822" s="1">
        <v>269.6155</v>
      </c>
      <c r="W822" s="3">
        <v>0.77300000000000002</v>
      </c>
      <c r="X822" s="1" t="s">
        <v>3617</v>
      </c>
      <c r="Y822" s="1">
        <v>1.66</v>
      </c>
      <c r="AA822" s="1">
        <v>0.73</v>
      </c>
      <c r="AB822" s="1">
        <v>8.3800000000000008</v>
      </c>
      <c r="AE822" s="1">
        <v>0.8</v>
      </c>
      <c r="AF822" s="1">
        <v>1.46</v>
      </c>
      <c r="AI822" s="1">
        <v>2</v>
      </c>
      <c r="AJ822" s="1" t="s">
        <v>3618</v>
      </c>
      <c r="AK822" s="1">
        <v>1.7</v>
      </c>
      <c r="AL822" s="1">
        <v>67.035399999999996</v>
      </c>
      <c r="AM822" s="1" t="s">
        <v>3617</v>
      </c>
      <c r="AP822" s="1" t="s">
        <v>3619</v>
      </c>
      <c r="AQ822" s="1">
        <v>-2.15</v>
      </c>
      <c r="AR822" s="1">
        <v>15.49</v>
      </c>
      <c r="AS822" s="1" t="s">
        <v>3620</v>
      </c>
      <c r="AT822" s="1">
        <v>26</v>
      </c>
    </row>
    <row r="823" spans="1:46">
      <c r="A823" s="1" t="s">
        <v>3622</v>
      </c>
      <c r="C823" s="1" t="s">
        <v>3622</v>
      </c>
      <c r="D823" s="1" t="s">
        <v>3623</v>
      </c>
      <c r="E823" s="1" t="s">
        <v>1466</v>
      </c>
      <c r="F823" s="1" t="s">
        <v>3624</v>
      </c>
      <c r="G823" s="1" t="s">
        <v>456</v>
      </c>
      <c r="H823" s="2" t="s">
        <v>3625</v>
      </c>
      <c r="I823" s="1">
        <v>34</v>
      </c>
      <c r="J823" s="1">
        <v>0.2</v>
      </c>
      <c r="K823" s="1" t="s">
        <v>52</v>
      </c>
      <c r="L823" s="1" t="s">
        <v>52</v>
      </c>
      <c r="M823" s="1">
        <v>5.048</v>
      </c>
      <c r="N823" s="1">
        <v>33</v>
      </c>
      <c r="O823" s="1">
        <v>71.980800000000002</v>
      </c>
      <c r="P823" s="1">
        <v>-162.54701</v>
      </c>
      <c r="Q823" s="1">
        <v>3.8605</v>
      </c>
      <c r="R823" s="1">
        <v>30.154450000000001</v>
      </c>
      <c r="S823" s="1">
        <v>327.56150000000002</v>
      </c>
      <c r="W823" s="3">
        <v>0.17899999999999999</v>
      </c>
      <c r="X823" s="1" t="s">
        <v>3626</v>
      </c>
      <c r="Y823" s="1">
        <v>0.28999999999999998</v>
      </c>
      <c r="AA823" s="1">
        <v>0.75</v>
      </c>
      <c r="AB823" s="1">
        <v>7.89</v>
      </c>
      <c r="AE823" s="1">
        <v>1.02</v>
      </c>
      <c r="AF823" s="1">
        <v>8</v>
      </c>
      <c r="AI823" s="1">
        <v>9</v>
      </c>
      <c r="AJ823" s="1" t="s">
        <v>3626</v>
      </c>
      <c r="AK823" s="1">
        <v>1.4</v>
      </c>
      <c r="AL823" s="1">
        <v>94.366900000000001</v>
      </c>
      <c r="AM823" s="1" t="s">
        <v>3626</v>
      </c>
      <c r="AP823" s="1" t="s">
        <v>3627</v>
      </c>
      <c r="AQ823" s="1">
        <v>-2.25</v>
      </c>
      <c r="AR823" s="1">
        <v>5.08</v>
      </c>
      <c r="AT823" s="1">
        <v>5</v>
      </c>
    </row>
    <row r="824" spans="1:46">
      <c r="A824" s="1" t="s">
        <v>3628</v>
      </c>
      <c r="C824" s="1" t="s">
        <v>3628</v>
      </c>
      <c r="D824" s="1" t="s">
        <v>3629</v>
      </c>
      <c r="E824" s="1" t="s">
        <v>1466</v>
      </c>
      <c r="F824" s="1" t="s">
        <v>3624</v>
      </c>
      <c r="G824" s="1" t="s">
        <v>456</v>
      </c>
      <c r="H824" s="2" t="s">
        <v>3630</v>
      </c>
      <c r="I824" s="1">
        <v>34</v>
      </c>
      <c r="J824" s="1">
        <v>0.2</v>
      </c>
      <c r="L824" s="1" t="s">
        <v>65</v>
      </c>
      <c r="M824" s="1">
        <v>20.388999999999999</v>
      </c>
      <c r="N824" s="1">
        <v>33</v>
      </c>
      <c r="O824" s="1">
        <v>71.980779999999996</v>
      </c>
      <c r="P824" s="1">
        <v>-162.54553999999999</v>
      </c>
      <c r="Q824" s="1">
        <v>1.0028999999999999</v>
      </c>
      <c r="R824" s="1">
        <v>31.312249999999999</v>
      </c>
      <c r="S824" s="1">
        <v>404.791</v>
      </c>
      <c r="W824" s="3">
        <v>0.64300000000000002</v>
      </c>
      <c r="X824" s="1" t="s">
        <v>3631</v>
      </c>
      <c r="Y824" s="1">
        <v>0.55000000000000004</v>
      </c>
      <c r="AA824" s="1">
        <v>0.83</v>
      </c>
      <c r="AB824" s="1">
        <v>3.45</v>
      </c>
      <c r="AE824" s="1">
        <v>0.82</v>
      </c>
      <c r="AF824" s="1">
        <v>2.33</v>
      </c>
      <c r="AI824" s="1">
        <v>5</v>
      </c>
      <c r="AJ824" s="1" t="s">
        <v>3631</v>
      </c>
      <c r="AK824" s="1">
        <v>1.4</v>
      </c>
      <c r="AL824" s="1">
        <v>94.618899999999996</v>
      </c>
      <c r="AM824" s="1" t="s">
        <v>3631</v>
      </c>
      <c r="AP824" s="1" t="s">
        <v>3632</v>
      </c>
      <c r="AR824" s="1">
        <v>5.08</v>
      </c>
      <c r="AT824" s="1">
        <v>20</v>
      </c>
    </row>
    <row r="825" spans="1:46">
      <c r="A825" s="1" t="s">
        <v>3633</v>
      </c>
      <c r="C825" s="1" t="s">
        <v>3633</v>
      </c>
      <c r="D825" s="1" t="s">
        <v>3634</v>
      </c>
      <c r="E825" s="1" t="s">
        <v>1466</v>
      </c>
      <c r="F825" s="1" t="s">
        <v>3624</v>
      </c>
      <c r="G825" s="1" t="s">
        <v>456</v>
      </c>
      <c r="H825" s="2" t="s">
        <v>3635</v>
      </c>
      <c r="I825" s="1">
        <v>34</v>
      </c>
      <c r="J825" s="1">
        <v>0.2</v>
      </c>
      <c r="K825" s="1" t="s">
        <v>1488</v>
      </c>
      <c r="L825" s="1" t="s">
        <v>78</v>
      </c>
      <c r="M825" s="1">
        <v>23.768999999999998</v>
      </c>
      <c r="N825" s="1">
        <v>33</v>
      </c>
      <c r="O825" s="1">
        <v>71.980829999999997</v>
      </c>
      <c r="P825" s="1">
        <v>-162.54472999999999</v>
      </c>
      <c r="Q825" s="1">
        <v>0.20535</v>
      </c>
      <c r="R825" s="1">
        <v>31.650449999999999</v>
      </c>
      <c r="S825" s="1">
        <v>370.80599999999998</v>
      </c>
      <c r="W825" s="3">
        <v>1.3640000000000001</v>
      </c>
      <c r="X825" s="1" t="s">
        <v>3631</v>
      </c>
      <c r="Y825" s="1">
        <v>0.55000000000000004</v>
      </c>
      <c r="AA825" s="1">
        <v>0.83</v>
      </c>
      <c r="AB825" s="1">
        <v>3.45</v>
      </c>
      <c r="AE825" s="1">
        <v>0.82</v>
      </c>
      <c r="AF825" s="1">
        <v>2.33</v>
      </c>
      <c r="AI825" s="1">
        <v>3</v>
      </c>
      <c r="AJ825" s="1" t="s">
        <v>3636</v>
      </c>
      <c r="AK825" s="1">
        <v>1.3</v>
      </c>
      <c r="AL825" s="1">
        <v>71.078900000000004</v>
      </c>
      <c r="AM825" s="1" t="s">
        <v>3631</v>
      </c>
      <c r="AP825" s="1" t="s">
        <v>3637</v>
      </c>
      <c r="AR825" s="1">
        <v>5.08</v>
      </c>
      <c r="AT825" s="1">
        <v>23</v>
      </c>
    </row>
    <row r="826" spans="1:46">
      <c r="A826" s="1" t="s">
        <v>3638</v>
      </c>
      <c r="C826" s="1" t="s">
        <v>3638</v>
      </c>
      <c r="D826" s="1" t="s">
        <v>3639</v>
      </c>
      <c r="E826" s="1" t="s">
        <v>1466</v>
      </c>
      <c r="F826" s="1" t="s">
        <v>3624</v>
      </c>
      <c r="G826" s="1" t="s">
        <v>456</v>
      </c>
      <c r="H826" s="2" t="s">
        <v>3640</v>
      </c>
      <c r="I826" s="1">
        <v>34</v>
      </c>
      <c r="J826" s="1">
        <v>0.2</v>
      </c>
      <c r="K826" s="1" t="s">
        <v>78</v>
      </c>
      <c r="L826" s="1" t="s">
        <v>78</v>
      </c>
      <c r="M826" s="1">
        <v>29.821000000000002</v>
      </c>
      <c r="N826" s="1">
        <v>33</v>
      </c>
      <c r="O826" s="1">
        <v>71.980699999999999</v>
      </c>
      <c r="P826" s="1">
        <v>-162.54393999999999</v>
      </c>
      <c r="Q826" s="1">
        <v>0.22214999999999999</v>
      </c>
      <c r="R826" s="1">
        <v>31.652699999999999</v>
      </c>
      <c r="S826" s="1">
        <v>366.84550000000002</v>
      </c>
      <c r="W826" s="3">
        <v>0.66300000000000003</v>
      </c>
      <c r="X826" s="1" t="s">
        <v>3641</v>
      </c>
      <c r="Y826" s="1">
        <v>0.99</v>
      </c>
      <c r="AA826" s="1">
        <v>0.96</v>
      </c>
      <c r="AB826" s="1">
        <v>4.5999999999999996</v>
      </c>
      <c r="AE826" s="1">
        <v>0.84</v>
      </c>
      <c r="AF826" s="1">
        <v>7.57</v>
      </c>
      <c r="AI826" s="1">
        <v>1</v>
      </c>
      <c r="AJ826" s="1" t="s">
        <v>3641</v>
      </c>
      <c r="AK826" s="1">
        <v>1.3</v>
      </c>
      <c r="AL826" s="1">
        <v>68.120800000000003</v>
      </c>
      <c r="AM826" s="1" t="s">
        <v>3641</v>
      </c>
      <c r="AP826" s="1" t="s">
        <v>3642</v>
      </c>
      <c r="AQ826" s="1">
        <v>-1.99</v>
      </c>
      <c r="AR826" s="1">
        <v>5.08</v>
      </c>
      <c r="AS826" s="1" t="s">
        <v>3643</v>
      </c>
      <c r="AT826" s="1">
        <v>30</v>
      </c>
    </row>
    <row r="827" spans="1:46">
      <c r="A827" s="1" t="s">
        <v>3644</v>
      </c>
      <c r="C827" s="1" t="s">
        <v>3644</v>
      </c>
      <c r="D827" s="1" t="s">
        <v>3645</v>
      </c>
      <c r="E827" s="1" t="s">
        <v>1466</v>
      </c>
      <c r="F827" s="1" t="s">
        <v>3646</v>
      </c>
      <c r="G827" s="1" t="s">
        <v>456</v>
      </c>
      <c r="H827" s="2" t="s">
        <v>3647</v>
      </c>
      <c r="I827" s="1">
        <v>37</v>
      </c>
      <c r="J827" s="1">
        <v>0.2</v>
      </c>
      <c r="K827" s="1" t="s">
        <v>52</v>
      </c>
      <c r="L827" s="1" t="s">
        <v>52</v>
      </c>
      <c r="M827" s="1">
        <v>4.2969999999999997</v>
      </c>
      <c r="N827" s="1">
        <v>45</v>
      </c>
      <c r="O827" s="1">
        <v>72.364500000000007</v>
      </c>
      <c r="P827" s="1">
        <v>-163.72252</v>
      </c>
      <c r="Q827" s="1">
        <v>6.1783999999999999</v>
      </c>
      <c r="R827" s="1">
        <v>31.795750000000002</v>
      </c>
      <c r="S827" s="1">
        <v>300.12349999999998</v>
      </c>
      <c r="W827" s="3">
        <v>0.56200000000000006</v>
      </c>
      <c r="X827" s="1" t="s">
        <v>3648</v>
      </c>
      <c r="Y827" s="1">
        <v>0.55000000000000004</v>
      </c>
      <c r="AA827" s="1">
        <v>0.34</v>
      </c>
      <c r="AB827" s="1">
        <v>1.78</v>
      </c>
      <c r="AE827" s="1">
        <v>0.73</v>
      </c>
      <c r="AF827" s="1">
        <v>0.39</v>
      </c>
      <c r="AI827" s="1">
        <v>11</v>
      </c>
      <c r="AJ827" s="1" t="s">
        <v>3648</v>
      </c>
      <c r="AK827" s="1">
        <v>4</v>
      </c>
      <c r="AL827" s="1">
        <v>92.944900000000004</v>
      </c>
      <c r="AM827" s="1" t="s">
        <v>3648</v>
      </c>
      <c r="AP827" s="1" t="s">
        <v>3649</v>
      </c>
      <c r="AQ827" s="1">
        <v>-1.1499999999999999</v>
      </c>
      <c r="AR827" s="1">
        <v>4.7</v>
      </c>
      <c r="AT827" s="1">
        <v>5</v>
      </c>
    </row>
    <row r="828" spans="1:46">
      <c r="A828" s="1" t="s">
        <v>3650</v>
      </c>
      <c r="C828" s="1" t="s">
        <v>3650</v>
      </c>
      <c r="D828" s="1" t="s">
        <v>3651</v>
      </c>
      <c r="E828" s="1" t="s">
        <v>1466</v>
      </c>
      <c r="F828" s="1" t="s">
        <v>3646</v>
      </c>
      <c r="G828" s="1" t="s">
        <v>456</v>
      </c>
      <c r="H828" s="2" t="s">
        <v>3652</v>
      </c>
      <c r="I828" s="1">
        <v>37</v>
      </c>
      <c r="J828" s="1">
        <v>0.2</v>
      </c>
      <c r="L828" s="1" t="s">
        <v>65</v>
      </c>
      <c r="M828" s="1">
        <v>19.577999999999999</v>
      </c>
      <c r="N828" s="1">
        <v>45</v>
      </c>
      <c r="O828" s="1">
        <v>72.364779999999996</v>
      </c>
      <c r="P828" s="1">
        <v>-163.72274999999999</v>
      </c>
      <c r="Q828" s="1">
        <v>6.17265</v>
      </c>
      <c r="R828" s="1">
        <v>31.792850000000001</v>
      </c>
      <c r="S828" s="1">
        <v>300.09699999999998</v>
      </c>
      <c r="W828" s="3">
        <v>0.73599999999999999</v>
      </c>
      <c r="X828" s="1" t="s">
        <v>3653</v>
      </c>
      <c r="Y828" s="1">
        <v>0.8</v>
      </c>
      <c r="AA828" s="1">
        <v>0.3</v>
      </c>
      <c r="AB828" s="1">
        <v>1.78</v>
      </c>
      <c r="AE828" s="1">
        <v>0.39</v>
      </c>
      <c r="AF828" s="1">
        <v>1.1200000000000001</v>
      </c>
      <c r="AI828" s="1">
        <v>7</v>
      </c>
      <c r="AJ828" s="1" t="s">
        <v>3653</v>
      </c>
      <c r="AK828" s="1">
        <v>4</v>
      </c>
      <c r="AL828" s="1">
        <v>93.025199999999998</v>
      </c>
      <c r="AM828" s="1" t="s">
        <v>3653</v>
      </c>
      <c r="AP828" s="1" t="s">
        <v>3654</v>
      </c>
      <c r="AR828" s="1">
        <v>4.7</v>
      </c>
      <c r="AS828" s="1" t="s">
        <v>3655</v>
      </c>
      <c r="AT828" s="1">
        <v>20</v>
      </c>
    </row>
    <row r="829" spans="1:46">
      <c r="A829" s="1" t="s">
        <v>3656</v>
      </c>
      <c r="C829" s="1" t="s">
        <v>3656</v>
      </c>
      <c r="D829" s="1" t="s">
        <v>3657</v>
      </c>
      <c r="E829" s="1" t="s">
        <v>1466</v>
      </c>
      <c r="F829" s="1" t="s">
        <v>3646</v>
      </c>
      <c r="G829" s="1" t="s">
        <v>456</v>
      </c>
      <c r="H829" s="2" t="s">
        <v>3658</v>
      </c>
      <c r="I829" s="1">
        <v>37</v>
      </c>
      <c r="J829" s="1">
        <v>0.2</v>
      </c>
      <c r="K829" s="1" t="s">
        <v>1488</v>
      </c>
      <c r="L829" s="1" t="s">
        <v>65</v>
      </c>
      <c r="M829" s="1">
        <v>33.912999999999997</v>
      </c>
      <c r="N829" s="1">
        <v>45</v>
      </c>
      <c r="O829" s="1">
        <v>72.364400000000003</v>
      </c>
      <c r="P829" s="1">
        <v>-163.72210000000001</v>
      </c>
      <c r="Q829" s="1">
        <v>2.1173000000000002</v>
      </c>
      <c r="R829" s="1">
        <v>32.580800000000004</v>
      </c>
      <c r="S829" s="1">
        <v>268.9975</v>
      </c>
      <c r="W829" s="3">
        <v>1.4379999999999999</v>
      </c>
      <c r="X829" s="1" t="s">
        <v>3659</v>
      </c>
      <c r="Y829" s="1">
        <v>1.49</v>
      </c>
      <c r="AA829" s="1">
        <v>0.47</v>
      </c>
      <c r="AB829" s="1">
        <v>1.78</v>
      </c>
      <c r="AE829" s="1">
        <v>0.46</v>
      </c>
      <c r="AF829" s="1">
        <v>0.88</v>
      </c>
      <c r="AI829" s="1">
        <v>3</v>
      </c>
      <c r="AJ829" s="1" t="s">
        <v>3660</v>
      </c>
      <c r="AK829" s="1">
        <v>4</v>
      </c>
      <c r="AL829" s="1">
        <v>73.737899999999996</v>
      </c>
      <c r="AM829" s="1" t="s">
        <v>3659</v>
      </c>
      <c r="AP829" s="1" t="s">
        <v>3661</v>
      </c>
      <c r="AR829" s="1">
        <v>4.7</v>
      </c>
      <c r="AS829" s="1" t="s">
        <v>3662</v>
      </c>
      <c r="AT829" s="1">
        <v>34</v>
      </c>
    </row>
    <row r="830" spans="1:46">
      <c r="A830" s="1" t="s">
        <v>3663</v>
      </c>
      <c r="C830" s="1" t="s">
        <v>3663</v>
      </c>
      <c r="D830" s="1" t="s">
        <v>3664</v>
      </c>
      <c r="E830" s="1" t="s">
        <v>1466</v>
      </c>
      <c r="F830" s="1" t="s">
        <v>3646</v>
      </c>
      <c r="G830" s="1" t="s">
        <v>456</v>
      </c>
      <c r="H830" s="2" t="s">
        <v>3665</v>
      </c>
      <c r="I830" s="1">
        <v>37</v>
      </c>
      <c r="J830" s="1">
        <v>0.2</v>
      </c>
      <c r="K830" s="1" t="s">
        <v>78</v>
      </c>
      <c r="L830" s="1" t="s">
        <v>78</v>
      </c>
      <c r="M830" s="1">
        <v>40.582000000000001</v>
      </c>
      <c r="N830" s="1">
        <v>45</v>
      </c>
      <c r="O830" s="1">
        <v>72.364339999999999</v>
      </c>
      <c r="P830" s="1">
        <v>-163.72254000000001</v>
      </c>
      <c r="Q830" s="1">
        <v>2.1539000000000001</v>
      </c>
      <c r="R830" s="1">
        <v>32.585900000000002</v>
      </c>
      <c r="S830" s="1">
        <v>267.08300000000003</v>
      </c>
      <c r="W830" s="3">
        <v>0.88</v>
      </c>
      <c r="X830" s="1" t="s">
        <v>3666</v>
      </c>
      <c r="Y830" s="1">
        <v>1.97</v>
      </c>
      <c r="AA830" s="1">
        <v>1.52</v>
      </c>
      <c r="AB830" s="1">
        <v>13.27</v>
      </c>
      <c r="AE830" s="1">
        <v>3.58</v>
      </c>
      <c r="AF830" s="1">
        <v>5.84</v>
      </c>
      <c r="AI830" s="1">
        <v>1</v>
      </c>
      <c r="AJ830" s="1" t="s">
        <v>3666</v>
      </c>
      <c r="AK830" s="1">
        <v>4</v>
      </c>
      <c r="AL830" s="1">
        <v>71.051900000000003</v>
      </c>
      <c r="AM830" s="1" t="s">
        <v>3666</v>
      </c>
      <c r="AP830" s="1" t="s">
        <v>3667</v>
      </c>
      <c r="AQ830" s="1">
        <v>-1.01</v>
      </c>
      <c r="AR830" s="1">
        <v>4.7</v>
      </c>
      <c r="AS830" s="1" t="s">
        <v>3132</v>
      </c>
      <c r="AT830" s="1">
        <v>41</v>
      </c>
    </row>
    <row r="831" spans="1:46">
      <c r="A831" s="1" t="s">
        <v>3668</v>
      </c>
      <c r="C831" s="1" t="s">
        <v>3668</v>
      </c>
      <c r="D831" s="1" t="s">
        <v>3669</v>
      </c>
      <c r="E831" s="1" t="s">
        <v>1466</v>
      </c>
      <c r="F831" s="1" t="s">
        <v>3670</v>
      </c>
      <c r="G831" s="1" t="s">
        <v>456</v>
      </c>
      <c r="H831" s="2" t="s">
        <v>3671</v>
      </c>
      <c r="I831" s="1">
        <v>38</v>
      </c>
      <c r="J831" s="1">
        <v>0.2</v>
      </c>
      <c r="K831" s="1" t="s">
        <v>52</v>
      </c>
      <c r="L831" s="1" t="s">
        <v>52</v>
      </c>
      <c r="M831" s="1">
        <v>4.617</v>
      </c>
      <c r="N831" s="1">
        <v>50</v>
      </c>
      <c r="O831" s="1">
        <v>72.496579999999994</v>
      </c>
      <c r="P831" s="1">
        <v>-164.10236</v>
      </c>
      <c r="Q831" s="1">
        <v>5.1631</v>
      </c>
      <c r="R831" s="1">
        <v>31.1111</v>
      </c>
      <c r="S831" s="1">
        <v>307.98849999999999</v>
      </c>
      <c r="W831" s="3">
        <v>0.44800000000000001</v>
      </c>
      <c r="X831" s="1" t="s">
        <v>3672</v>
      </c>
      <c r="Y831" s="1">
        <v>0.57999999999999996</v>
      </c>
      <c r="AA831" s="1">
        <v>0.61</v>
      </c>
      <c r="AB831" s="1">
        <v>4.63</v>
      </c>
      <c r="AE831" s="1">
        <v>0.34</v>
      </c>
      <c r="AF831" s="1">
        <v>0.66</v>
      </c>
      <c r="AI831" s="1">
        <v>11</v>
      </c>
      <c r="AJ831" s="1" t="s">
        <v>3672</v>
      </c>
      <c r="AK831" s="1">
        <v>4</v>
      </c>
      <c r="AL831" s="1">
        <v>93.712100000000007</v>
      </c>
      <c r="AM831" s="1" t="s">
        <v>3672</v>
      </c>
      <c r="AP831" s="1" t="s">
        <v>3673</v>
      </c>
      <c r="AQ831" s="1">
        <v>-1.96</v>
      </c>
      <c r="AR831" s="1">
        <v>9.1199999999999992</v>
      </c>
      <c r="AT831" s="1">
        <v>5</v>
      </c>
    </row>
    <row r="832" spans="1:46">
      <c r="A832" s="1" t="s">
        <v>3674</v>
      </c>
      <c r="C832" s="1" t="s">
        <v>3674</v>
      </c>
      <c r="D832" s="1" t="s">
        <v>3675</v>
      </c>
      <c r="E832" s="1" t="s">
        <v>1466</v>
      </c>
      <c r="F832" s="1" t="s">
        <v>3670</v>
      </c>
      <c r="G832" s="1" t="s">
        <v>456</v>
      </c>
      <c r="H832" s="2" t="s">
        <v>3671</v>
      </c>
      <c r="I832" s="1">
        <v>38</v>
      </c>
      <c r="J832" s="1">
        <v>0.2</v>
      </c>
      <c r="K832" s="1" t="s">
        <v>52</v>
      </c>
      <c r="L832" s="1" t="s">
        <v>52</v>
      </c>
      <c r="M832" s="1">
        <v>4.617</v>
      </c>
      <c r="N832" s="1">
        <v>50</v>
      </c>
      <c r="O832" s="1">
        <v>72.496579999999994</v>
      </c>
      <c r="P832" s="1">
        <v>-164.10236</v>
      </c>
      <c r="Q832" s="1">
        <v>5.1631</v>
      </c>
      <c r="R832" s="1">
        <v>31.1111</v>
      </c>
      <c r="S832" s="1">
        <v>307.98849999999999</v>
      </c>
      <c r="W832" s="3">
        <v>0.44800000000000001</v>
      </c>
      <c r="X832" s="1" t="s">
        <v>3672</v>
      </c>
      <c r="Y832" s="1">
        <v>0.57999999999999996</v>
      </c>
      <c r="AA832" s="1">
        <v>0.61</v>
      </c>
      <c r="AB832" s="1">
        <v>4.63</v>
      </c>
      <c r="AE832" s="1">
        <v>0.34</v>
      </c>
      <c r="AF832" s="1">
        <v>0.66</v>
      </c>
      <c r="AI832" s="1">
        <v>11</v>
      </c>
      <c r="AJ832" s="1" t="s">
        <v>3672</v>
      </c>
      <c r="AK832" s="1">
        <v>4</v>
      </c>
      <c r="AL832" s="1">
        <v>93.712100000000007</v>
      </c>
      <c r="AM832" s="1" t="s">
        <v>3672</v>
      </c>
      <c r="AP832" s="1" t="s">
        <v>3673</v>
      </c>
      <c r="AQ832" s="1">
        <v>-1.96</v>
      </c>
      <c r="AR832" s="1">
        <v>9.1199999999999992</v>
      </c>
      <c r="AT832" s="1">
        <v>5</v>
      </c>
    </row>
    <row r="833" spans="1:46">
      <c r="A833" s="1" t="s">
        <v>3676</v>
      </c>
      <c r="C833" s="1" t="s">
        <v>3676</v>
      </c>
      <c r="D833" s="1" t="s">
        <v>3677</v>
      </c>
      <c r="E833" s="1" t="s">
        <v>1466</v>
      </c>
      <c r="F833" s="1" t="s">
        <v>3670</v>
      </c>
      <c r="G833" s="1" t="s">
        <v>456</v>
      </c>
      <c r="H833" s="2" t="s">
        <v>3671</v>
      </c>
      <c r="I833" s="1">
        <v>38</v>
      </c>
      <c r="J833" s="1">
        <v>0.2</v>
      </c>
      <c r="K833" s="1" t="s">
        <v>52</v>
      </c>
      <c r="L833" s="1" t="s">
        <v>52</v>
      </c>
      <c r="M833" s="1">
        <v>4.617</v>
      </c>
      <c r="N833" s="1">
        <v>50</v>
      </c>
      <c r="O833" s="1">
        <v>72.496579999999994</v>
      </c>
      <c r="P833" s="1">
        <v>-164.10236</v>
      </c>
      <c r="Q833" s="1">
        <v>5.1631</v>
      </c>
      <c r="R833" s="1">
        <v>31.1111</v>
      </c>
      <c r="S833" s="1">
        <v>307.98849999999999</v>
      </c>
      <c r="W833" s="3">
        <v>0.44800000000000001</v>
      </c>
      <c r="X833" s="1" t="s">
        <v>3672</v>
      </c>
      <c r="Y833" s="1">
        <v>0.57999999999999996</v>
      </c>
      <c r="AA833" s="1">
        <v>0.61</v>
      </c>
      <c r="AB833" s="1">
        <v>4.63</v>
      </c>
      <c r="AE833" s="1">
        <v>0.34</v>
      </c>
      <c r="AF833" s="1">
        <v>0.66</v>
      </c>
      <c r="AI833" s="1">
        <v>11</v>
      </c>
      <c r="AJ833" s="1" t="s">
        <v>3672</v>
      </c>
      <c r="AK833" s="1">
        <v>4</v>
      </c>
      <c r="AL833" s="1">
        <v>93.712100000000007</v>
      </c>
      <c r="AM833" s="1" t="s">
        <v>3672</v>
      </c>
      <c r="AP833" s="1" t="s">
        <v>3673</v>
      </c>
      <c r="AQ833" s="1">
        <v>-1.96</v>
      </c>
      <c r="AR833" s="1">
        <v>9.1199999999999992</v>
      </c>
      <c r="AT833" s="1">
        <v>5</v>
      </c>
    </row>
    <row r="834" spans="1:46">
      <c r="A834" s="1" t="s">
        <v>3678</v>
      </c>
      <c r="C834" s="1" t="s">
        <v>3678</v>
      </c>
      <c r="D834" s="1" t="s">
        <v>3679</v>
      </c>
      <c r="E834" s="1" t="s">
        <v>1466</v>
      </c>
      <c r="F834" s="1" t="s">
        <v>3670</v>
      </c>
      <c r="G834" s="1" t="s">
        <v>456</v>
      </c>
      <c r="H834" s="2" t="s">
        <v>3680</v>
      </c>
      <c r="I834" s="1">
        <v>38</v>
      </c>
      <c r="J834" s="1">
        <v>0.2</v>
      </c>
      <c r="L834" s="1" t="s">
        <v>65</v>
      </c>
      <c r="M834" s="1">
        <v>9.9030000000000005</v>
      </c>
      <c r="N834" s="1">
        <v>50</v>
      </c>
      <c r="O834" s="1">
        <v>72.496589999999998</v>
      </c>
      <c r="P834" s="1">
        <v>-164.10275999999999</v>
      </c>
      <c r="Q834" s="1">
        <v>5.1676000000000002</v>
      </c>
      <c r="R834" s="1">
        <v>31.111699999999999</v>
      </c>
      <c r="S834" s="1">
        <v>308.16300000000001</v>
      </c>
      <c r="W834" s="3">
        <v>0.38100000000000001</v>
      </c>
      <c r="X834" s="1" t="s">
        <v>3681</v>
      </c>
      <c r="Y834" s="1">
        <v>0.68</v>
      </c>
      <c r="AA834" s="1">
        <v>0.57999999999999996</v>
      </c>
      <c r="AB834" s="1">
        <v>4.63</v>
      </c>
      <c r="AE834" s="1">
        <v>0.39</v>
      </c>
      <c r="AF834" s="1">
        <v>1.58</v>
      </c>
      <c r="AI834" s="1">
        <v>9</v>
      </c>
      <c r="AJ834" s="1" t="s">
        <v>3681</v>
      </c>
      <c r="AK834" s="1">
        <v>4</v>
      </c>
      <c r="AL834" s="1">
        <v>93.737499999999997</v>
      </c>
      <c r="AM834" s="1" t="s">
        <v>3681</v>
      </c>
      <c r="AP834" s="1" t="s">
        <v>3682</v>
      </c>
      <c r="AR834" s="1">
        <v>9.1199999999999992</v>
      </c>
      <c r="AT834" s="1">
        <v>10</v>
      </c>
    </row>
    <row r="835" spans="1:46">
      <c r="A835" s="1" t="s">
        <v>3683</v>
      </c>
      <c r="C835" s="1" t="s">
        <v>3683</v>
      </c>
      <c r="D835" s="1" t="s">
        <v>3684</v>
      </c>
      <c r="E835" s="1" t="s">
        <v>1466</v>
      </c>
      <c r="F835" s="1" t="s">
        <v>3670</v>
      </c>
      <c r="G835" s="1" t="s">
        <v>456</v>
      </c>
      <c r="H835" s="2" t="s">
        <v>3680</v>
      </c>
      <c r="I835" s="1">
        <v>38</v>
      </c>
      <c r="J835" s="1">
        <v>0.2</v>
      </c>
      <c r="L835" s="1" t="s">
        <v>65</v>
      </c>
      <c r="M835" s="1">
        <v>9.9030000000000005</v>
      </c>
      <c r="N835" s="1">
        <v>50</v>
      </c>
      <c r="O835" s="1">
        <v>72.496589999999998</v>
      </c>
      <c r="P835" s="1">
        <v>-164.10275999999999</v>
      </c>
      <c r="Q835" s="1">
        <v>5.1676000000000002</v>
      </c>
      <c r="R835" s="1">
        <v>31.111699999999999</v>
      </c>
      <c r="S835" s="1">
        <v>308.16300000000001</v>
      </c>
      <c r="W835" s="3">
        <v>0.38100000000000001</v>
      </c>
      <c r="X835" s="1" t="s">
        <v>3681</v>
      </c>
      <c r="Y835" s="1">
        <v>0.68</v>
      </c>
      <c r="AA835" s="1">
        <v>0.57999999999999996</v>
      </c>
      <c r="AB835" s="1">
        <v>4.63</v>
      </c>
      <c r="AE835" s="1">
        <v>0.39</v>
      </c>
      <c r="AF835" s="1">
        <v>1.58</v>
      </c>
      <c r="AI835" s="1">
        <v>9</v>
      </c>
      <c r="AJ835" s="1" t="s">
        <v>3681</v>
      </c>
      <c r="AK835" s="1">
        <v>4</v>
      </c>
      <c r="AL835" s="1">
        <v>93.737499999999997</v>
      </c>
      <c r="AM835" s="1" t="s">
        <v>3681</v>
      </c>
      <c r="AP835" s="1" t="s">
        <v>3682</v>
      </c>
      <c r="AR835" s="1">
        <v>9.1199999999999992</v>
      </c>
      <c r="AT835" s="1">
        <v>10</v>
      </c>
    </row>
    <row r="836" spans="1:46">
      <c r="A836" s="1" t="s">
        <v>3685</v>
      </c>
      <c r="C836" s="1" t="s">
        <v>3685</v>
      </c>
      <c r="D836" s="1" t="s">
        <v>3686</v>
      </c>
      <c r="E836" s="1" t="s">
        <v>1466</v>
      </c>
      <c r="F836" s="1" t="s">
        <v>3670</v>
      </c>
      <c r="G836" s="1" t="s">
        <v>456</v>
      </c>
      <c r="H836" s="2" t="s">
        <v>3687</v>
      </c>
      <c r="I836" s="1">
        <v>38</v>
      </c>
      <c r="J836" s="1">
        <v>0.2</v>
      </c>
      <c r="L836" s="1" t="s">
        <v>65</v>
      </c>
      <c r="M836" s="1">
        <v>20.488</v>
      </c>
      <c r="N836" s="1">
        <v>50</v>
      </c>
      <c r="O836" s="1">
        <v>72.496579999999994</v>
      </c>
      <c r="P836" s="1">
        <v>-164.10346999999999</v>
      </c>
      <c r="Q836" s="1">
        <v>5.9261499999999998</v>
      </c>
      <c r="R836" s="1">
        <v>31.517849999999999</v>
      </c>
      <c r="S836" s="1">
        <v>304.351</v>
      </c>
      <c r="W836" s="3">
        <v>0.48499999999999999</v>
      </c>
      <c r="X836" s="1" t="s">
        <v>3688</v>
      </c>
      <c r="Y836" s="1">
        <v>0.7</v>
      </c>
      <c r="AA836" s="1">
        <v>0.6</v>
      </c>
      <c r="AB836" s="1">
        <v>3.3</v>
      </c>
      <c r="AE836" s="1">
        <v>0.67</v>
      </c>
      <c r="AF836" s="1">
        <v>1</v>
      </c>
      <c r="AI836" s="1">
        <v>7</v>
      </c>
      <c r="AJ836" s="1" t="s">
        <v>3688</v>
      </c>
      <c r="AK836" s="1">
        <v>4</v>
      </c>
      <c r="AL836" s="1">
        <v>93.611800000000002</v>
      </c>
      <c r="AM836" s="1" t="s">
        <v>3688</v>
      </c>
      <c r="AP836" s="1" t="s">
        <v>3689</v>
      </c>
      <c r="AR836" s="1">
        <v>9.1199999999999992</v>
      </c>
      <c r="AT836" s="1">
        <v>20</v>
      </c>
    </row>
    <row r="837" spans="1:46">
      <c r="A837" s="1" t="s">
        <v>3690</v>
      </c>
      <c r="C837" s="1" t="s">
        <v>3690</v>
      </c>
      <c r="D837" s="1" t="s">
        <v>3691</v>
      </c>
      <c r="E837" s="1" t="s">
        <v>1466</v>
      </c>
      <c r="F837" s="1" t="s">
        <v>3670</v>
      </c>
      <c r="G837" s="1" t="s">
        <v>456</v>
      </c>
      <c r="H837" s="2" t="s">
        <v>3692</v>
      </c>
      <c r="I837" s="1">
        <v>38</v>
      </c>
      <c r="J837" s="1">
        <v>0.2</v>
      </c>
      <c r="K837" s="1" t="s">
        <v>1488</v>
      </c>
      <c r="L837" s="1" t="s">
        <v>65</v>
      </c>
      <c r="M837" s="1">
        <v>30.295999999999999</v>
      </c>
      <c r="N837" s="1">
        <v>50</v>
      </c>
      <c r="O837" s="1">
        <v>72.496740000000003</v>
      </c>
      <c r="P837" s="1">
        <v>-164.10396</v>
      </c>
      <c r="Q837" s="1">
        <v>1.45485</v>
      </c>
      <c r="R837" s="1">
        <v>32.477499999999999</v>
      </c>
      <c r="S837" s="1">
        <v>295.47500000000002</v>
      </c>
      <c r="W837" s="3">
        <v>3.64</v>
      </c>
      <c r="X837" s="1" t="s">
        <v>3693</v>
      </c>
      <c r="Y837" s="1">
        <v>7.72</v>
      </c>
      <c r="AA837" s="1">
        <v>1.1200000000000001</v>
      </c>
      <c r="AB837" s="1">
        <v>8.7799999999999994</v>
      </c>
      <c r="AE837" s="1">
        <v>1.58</v>
      </c>
      <c r="AF837" s="1">
        <v>3.64</v>
      </c>
      <c r="AI837" s="1">
        <v>5</v>
      </c>
      <c r="AJ837" s="1" t="s">
        <v>3693</v>
      </c>
      <c r="AK837" s="1">
        <v>4</v>
      </c>
      <c r="AL837" s="1">
        <v>75.327399999999997</v>
      </c>
      <c r="AM837" s="1" t="s">
        <v>3693</v>
      </c>
      <c r="AP837" s="1" t="s">
        <v>3694</v>
      </c>
      <c r="AR837" s="1">
        <v>9.1199999999999992</v>
      </c>
      <c r="AT837" s="1">
        <v>30</v>
      </c>
    </row>
    <row r="838" spans="1:46">
      <c r="A838" s="1" t="s">
        <v>3695</v>
      </c>
      <c r="C838" s="1" t="s">
        <v>3695</v>
      </c>
      <c r="D838" s="1" t="s">
        <v>3696</v>
      </c>
      <c r="E838" s="1" t="s">
        <v>1466</v>
      </c>
      <c r="F838" s="1" t="s">
        <v>3670</v>
      </c>
      <c r="G838" s="1" t="s">
        <v>456</v>
      </c>
      <c r="H838" s="2" t="s">
        <v>3692</v>
      </c>
      <c r="I838" s="1">
        <v>38</v>
      </c>
      <c r="J838" s="1">
        <v>0.2</v>
      </c>
      <c r="K838" s="1" t="s">
        <v>1488</v>
      </c>
      <c r="L838" s="1" t="s">
        <v>65</v>
      </c>
      <c r="M838" s="1">
        <v>30.295999999999999</v>
      </c>
      <c r="N838" s="1">
        <v>50</v>
      </c>
      <c r="O838" s="1">
        <v>72.496740000000003</v>
      </c>
      <c r="P838" s="1">
        <v>-164.10396</v>
      </c>
      <c r="Q838" s="1">
        <v>1.45485</v>
      </c>
      <c r="R838" s="1">
        <v>32.477499999999999</v>
      </c>
      <c r="S838" s="1">
        <v>295.47500000000002</v>
      </c>
      <c r="W838" s="3">
        <v>3.64</v>
      </c>
      <c r="X838" s="1" t="s">
        <v>3693</v>
      </c>
      <c r="Y838" s="1">
        <v>7.72</v>
      </c>
      <c r="AA838" s="1">
        <v>1.1200000000000001</v>
      </c>
      <c r="AB838" s="1">
        <v>8.7799999999999994</v>
      </c>
      <c r="AE838" s="1">
        <v>1.58</v>
      </c>
      <c r="AF838" s="1">
        <v>3.64</v>
      </c>
      <c r="AI838" s="1">
        <v>5</v>
      </c>
      <c r="AJ838" s="1" t="s">
        <v>3693</v>
      </c>
      <c r="AK838" s="1">
        <v>4</v>
      </c>
      <c r="AL838" s="1">
        <v>75.327399999999997</v>
      </c>
      <c r="AM838" s="1" t="s">
        <v>3693</v>
      </c>
      <c r="AP838" s="1" t="s">
        <v>3694</v>
      </c>
      <c r="AR838" s="1">
        <v>9.1199999999999992</v>
      </c>
      <c r="AT838" s="1">
        <v>30</v>
      </c>
    </row>
    <row r="839" spans="1:46">
      <c r="A839" s="1" t="s">
        <v>3697</v>
      </c>
      <c r="C839" s="1" t="s">
        <v>3697</v>
      </c>
      <c r="D839" s="1" t="s">
        <v>3698</v>
      </c>
      <c r="E839" s="1" t="s">
        <v>1466</v>
      </c>
      <c r="F839" s="1" t="s">
        <v>3670</v>
      </c>
      <c r="G839" s="1" t="s">
        <v>456</v>
      </c>
      <c r="H839" s="2" t="s">
        <v>3692</v>
      </c>
      <c r="I839" s="1">
        <v>38</v>
      </c>
      <c r="J839" s="1">
        <v>0.2</v>
      </c>
      <c r="K839" s="1" t="s">
        <v>1488</v>
      </c>
      <c r="L839" s="1" t="s">
        <v>65</v>
      </c>
      <c r="M839" s="1">
        <v>30.295999999999999</v>
      </c>
      <c r="N839" s="1">
        <v>50</v>
      </c>
      <c r="O839" s="1">
        <v>72.496740000000003</v>
      </c>
      <c r="P839" s="1">
        <v>-164.10396</v>
      </c>
      <c r="Q839" s="1">
        <v>1.45485</v>
      </c>
      <c r="R839" s="1">
        <v>32.477499999999999</v>
      </c>
      <c r="S839" s="1">
        <v>295.47500000000002</v>
      </c>
      <c r="W839" s="3">
        <v>3.64</v>
      </c>
      <c r="X839" s="1" t="s">
        <v>3693</v>
      </c>
      <c r="Y839" s="1">
        <v>7.72</v>
      </c>
      <c r="AA839" s="1">
        <v>1.1200000000000001</v>
      </c>
      <c r="AB839" s="1">
        <v>8.7799999999999994</v>
      </c>
      <c r="AE839" s="1">
        <v>1.58</v>
      </c>
      <c r="AF839" s="1">
        <v>3.64</v>
      </c>
      <c r="AI839" s="1">
        <v>5</v>
      </c>
      <c r="AJ839" s="1" t="s">
        <v>3693</v>
      </c>
      <c r="AK839" s="1">
        <v>4</v>
      </c>
      <c r="AL839" s="1">
        <v>75.327399999999997</v>
      </c>
      <c r="AM839" s="1" t="s">
        <v>3693</v>
      </c>
      <c r="AP839" s="1" t="s">
        <v>3694</v>
      </c>
      <c r="AR839" s="1">
        <v>9.1199999999999992</v>
      </c>
      <c r="AT839" s="1">
        <v>30</v>
      </c>
    </row>
    <row r="840" spans="1:46">
      <c r="A840" s="1" t="s">
        <v>3699</v>
      </c>
      <c r="C840" s="1" t="s">
        <v>3699</v>
      </c>
      <c r="D840" s="1" t="s">
        <v>3700</v>
      </c>
      <c r="E840" s="1" t="s">
        <v>1466</v>
      </c>
      <c r="F840" s="1" t="s">
        <v>3670</v>
      </c>
      <c r="G840" s="1" t="s">
        <v>456</v>
      </c>
      <c r="H840" s="2" t="s">
        <v>3701</v>
      </c>
      <c r="I840" s="1">
        <v>38</v>
      </c>
      <c r="J840" s="1">
        <v>0.2</v>
      </c>
      <c r="L840" s="1" t="s">
        <v>65</v>
      </c>
      <c r="M840" s="1">
        <v>38.954000000000001</v>
      </c>
      <c r="N840" s="1">
        <v>50</v>
      </c>
      <c r="O840" s="1">
        <v>72.496840000000006</v>
      </c>
      <c r="P840" s="1">
        <v>-164.10346000000001</v>
      </c>
      <c r="Q840" s="1">
        <v>1.2909999999999999</v>
      </c>
      <c r="R840" s="1">
        <v>32.507649999999998</v>
      </c>
      <c r="S840" s="1">
        <v>273.57299999999998</v>
      </c>
      <c r="W840" s="3">
        <v>0.92300000000000004</v>
      </c>
      <c r="X840" s="1" t="s">
        <v>3702</v>
      </c>
      <c r="Y840" s="1">
        <v>2.2799999999999998</v>
      </c>
      <c r="AA840" s="1">
        <v>1.46</v>
      </c>
      <c r="AB840" s="1">
        <v>15.83</v>
      </c>
      <c r="AE840" s="1">
        <v>3.35</v>
      </c>
      <c r="AF840" s="1">
        <v>4.26</v>
      </c>
      <c r="AI840" s="1">
        <v>3</v>
      </c>
      <c r="AJ840" s="1" t="s">
        <v>3702</v>
      </c>
      <c r="AK840" s="1">
        <v>4</v>
      </c>
      <c r="AL840" s="1">
        <v>73.214799999999997</v>
      </c>
      <c r="AM840" s="1" t="s">
        <v>3702</v>
      </c>
      <c r="AP840" s="1" t="s">
        <v>3703</v>
      </c>
      <c r="AR840" s="1">
        <v>9.1199999999999992</v>
      </c>
      <c r="AT840" s="1">
        <v>40</v>
      </c>
    </row>
    <row r="841" spans="1:46">
      <c r="A841" s="1" t="s">
        <v>3704</v>
      </c>
      <c r="C841" s="1" t="s">
        <v>3704</v>
      </c>
      <c r="D841" s="1" t="s">
        <v>3705</v>
      </c>
      <c r="E841" s="1" t="s">
        <v>1466</v>
      </c>
      <c r="F841" s="1" t="s">
        <v>3670</v>
      </c>
      <c r="G841" s="1" t="s">
        <v>456</v>
      </c>
      <c r="H841" s="2" t="s">
        <v>3706</v>
      </c>
      <c r="I841" s="1">
        <v>38</v>
      </c>
      <c r="J841" s="1">
        <v>0.2</v>
      </c>
      <c r="K841" s="1" t="s">
        <v>78</v>
      </c>
      <c r="L841" s="1" t="s">
        <v>78</v>
      </c>
      <c r="M841" s="1">
        <v>45.793999999999997</v>
      </c>
      <c r="N841" s="1">
        <v>50</v>
      </c>
      <c r="O841" s="1">
        <v>72.496859999999998</v>
      </c>
      <c r="P841" s="1">
        <v>-164.10306</v>
      </c>
      <c r="Q841" s="1">
        <v>1.4113500000000001</v>
      </c>
      <c r="R841" s="1">
        <v>32.526150000000001</v>
      </c>
      <c r="S841" s="1">
        <v>267.19850000000002</v>
      </c>
      <c r="W841" s="3">
        <v>0.748</v>
      </c>
      <c r="X841" s="1" t="s">
        <v>3707</v>
      </c>
      <c r="Y841" s="1">
        <v>2.62</v>
      </c>
      <c r="AA841" s="1">
        <v>1.52</v>
      </c>
      <c r="AB841" s="1">
        <v>16.989999999999998</v>
      </c>
      <c r="AE841" s="1">
        <v>3.56</v>
      </c>
      <c r="AF841" s="1">
        <v>4.74</v>
      </c>
      <c r="AI841" s="1">
        <v>1</v>
      </c>
      <c r="AJ841" s="1" t="s">
        <v>3707</v>
      </c>
      <c r="AK841" s="1">
        <v>4</v>
      </c>
      <c r="AL841" s="1">
        <v>63.724400000000003</v>
      </c>
      <c r="AM841" s="1" t="s">
        <v>3707</v>
      </c>
      <c r="AP841" s="1" t="s">
        <v>3708</v>
      </c>
      <c r="AQ841" s="1">
        <v>-1.1399999999999999</v>
      </c>
      <c r="AR841" s="1">
        <v>9.1199999999999992</v>
      </c>
      <c r="AT841" s="1">
        <v>45</v>
      </c>
    </row>
    <row r="842" spans="1:46">
      <c r="A842" s="1" t="s">
        <v>3709</v>
      </c>
      <c r="C842" s="1" t="s">
        <v>3709</v>
      </c>
      <c r="D842" s="1" t="s">
        <v>3710</v>
      </c>
      <c r="E842" s="1" t="s">
        <v>1466</v>
      </c>
      <c r="F842" s="1" t="s">
        <v>3670</v>
      </c>
      <c r="G842" s="1" t="s">
        <v>456</v>
      </c>
      <c r="H842" s="2" t="s">
        <v>3706</v>
      </c>
      <c r="I842" s="1">
        <v>38</v>
      </c>
      <c r="J842" s="1">
        <v>0.2</v>
      </c>
      <c r="K842" s="1" t="s">
        <v>78</v>
      </c>
      <c r="L842" s="1" t="s">
        <v>78</v>
      </c>
      <c r="M842" s="1">
        <v>45.793999999999997</v>
      </c>
      <c r="N842" s="1">
        <v>50</v>
      </c>
      <c r="O842" s="1">
        <v>72.496859999999998</v>
      </c>
      <c r="P842" s="1">
        <v>-164.10306</v>
      </c>
      <c r="Q842" s="1">
        <v>1.4113500000000001</v>
      </c>
      <c r="R842" s="1">
        <v>32.526150000000001</v>
      </c>
      <c r="S842" s="1">
        <v>267.19850000000002</v>
      </c>
      <c r="W842" s="3">
        <v>0.748</v>
      </c>
      <c r="X842" s="1" t="s">
        <v>3707</v>
      </c>
      <c r="Y842" s="1">
        <v>2.62</v>
      </c>
      <c r="AA842" s="1">
        <v>1.52</v>
      </c>
      <c r="AB842" s="1">
        <v>16.989999999999998</v>
      </c>
      <c r="AE842" s="1">
        <v>3.56</v>
      </c>
      <c r="AF842" s="1">
        <v>4.74</v>
      </c>
      <c r="AI842" s="1">
        <v>1</v>
      </c>
      <c r="AJ842" s="1" t="s">
        <v>3707</v>
      </c>
      <c r="AK842" s="1">
        <v>4</v>
      </c>
      <c r="AL842" s="1">
        <v>63.724400000000003</v>
      </c>
      <c r="AM842" s="1" t="s">
        <v>3707</v>
      </c>
      <c r="AP842" s="1" t="s">
        <v>3708</v>
      </c>
      <c r="AQ842" s="1">
        <v>-1.1399999999999999</v>
      </c>
      <c r="AR842" s="1">
        <v>9.1199999999999992</v>
      </c>
      <c r="AT842" s="1">
        <v>45</v>
      </c>
    </row>
    <row r="843" spans="1:46">
      <c r="A843" s="1" t="s">
        <v>3711</v>
      </c>
      <c r="C843" s="1" t="s">
        <v>3711</v>
      </c>
      <c r="D843" s="1" t="s">
        <v>3712</v>
      </c>
      <c r="E843" s="1" t="s">
        <v>1466</v>
      </c>
      <c r="F843" s="1" t="s">
        <v>3713</v>
      </c>
      <c r="G843" s="1" t="s">
        <v>456</v>
      </c>
      <c r="H843" s="2" t="s">
        <v>3714</v>
      </c>
      <c r="I843" s="1">
        <v>27</v>
      </c>
      <c r="J843" s="1">
        <v>0.2</v>
      </c>
      <c r="K843" s="1" t="s">
        <v>52</v>
      </c>
      <c r="L843" s="1" t="s">
        <v>52</v>
      </c>
      <c r="M843" s="1">
        <v>5.1029999999999998</v>
      </c>
      <c r="N843" s="1">
        <v>48</v>
      </c>
      <c r="O843" s="1">
        <v>70.932060000000007</v>
      </c>
      <c r="P843" s="1">
        <v>-159.50219999999999</v>
      </c>
      <c r="Q843" s="1">
        <v>9.1915999999999993</v>
      </c>
      <c r="R843" s="1">
        <v>30.533200000000001</v>
      </c>
      <c r="S843" s="1">
        <v>275.15300000000002</v>
      </c>
      <c r="W843" s="3">
        <v>1.3540000000000001</v>
      </c>
      <c r="X843" s="1" t="s">
        <v>3715</v>
      </c>
      <c r="Y843" s="1">
        <v>1.79</v>
      </c>
      <c r="AA843" s="1">
        <v>0.62</v>
      </c>
      <c r="AB843" s="1">
        <v>7.39</v>
      </c>
      <c r="AE843" s="1">
        <v>0.67</v>
      </c>
      <c r="AF843" s="1">
        <v>1.91</v>
      </c>
      <c r="AI843" s="1">
        <v>12</v>
      </c>
      <c r="AJ843" s="1" t="s">
        <v>3716</v>
      </c>
      <c r="AK843" s="1">
        <v>2.1</v>
      </c>
      <c r="AL843" s="1">
        <v>81.672700000000006</v>
      </c>
      <c r="AM843" s="1" t="s">
        <v>3715</v>
      </c>
      <c r="AP843" s="1" t="s">
        <v>3717</v>
      </c>
      <c r="AR843" s="1">
        <v>6.92</v>
      </c>
      <c r="AT843" s="1">
        <v>5</v>
      </c>
    </row>
    <row r="844" spans="1:46">
      <c r="A844" s="1" t="s">
        <v>3718</v>
      </c>
      <c r="C844" s="1" t="s">
        <v>3718</v>
      </c>
      <c r="D844" s="1" t="s">
        <v>3712</v>
      </c>
      <c r="E844" s="1" t="s">
        <v>1466</v>
      </c>
      <c r="F844" s="1" t="s">
        <v>3713</v>
      </c>
      <c r="G844" s="1" t="s">
        <v>456</v>
      </c>
      <c r="H844" s="2" t="s">
        <v>3714</v>
      </c>
      <c r="I844" s="1">
        <v>27</v>
      </c>
      <c r="J844" s="1">
        <v>0.2</v>
      </c>
      <c r="K844" s="1" t="s">
        <v>52</v>
      </c>
      <c r="L844" s="1" t="s">
        <v>52</v>
      </c>
      <c r="M844" s="1">
        <v>5.1029999999999998</v>
      </c>
      <c r="N844" s="1">
        <v>48</v>
      </c>
      <c r="O844" s="1">
        <v>70.932060000000007</v>
      </c>
      <c r="P844" s="1">
        <v>-159.50219999999999</v>
      </c>
      <c r="Q844" s="1">
        <v>9.1915999999999993</v>
      </c>
      <c r="R844" s="1">
        <v>30.533200000000001</v>
      </c>
      <c r="S844" s="1">
        <v>275.15300000000002</v>
      </c>
      <c r="W844" s="3">
        <v>1.3540000000000001</v>
      </c>
      <c r="X844" s="1" t="s">
        <v>3715</v>
      </c>
      <c r="Y844" s="1">
        <v>1.79</v>
      </c>
      <c r="AA844" s="1">
        <v>0.62</v>
      </c>
      <c r="AB844" s="1">
        <v>7.39</v>
      </c>
      <c r="AE844" s="1">
        <v>0.67</v>
      </c>
      <c r="AF844" s="1">
        <v>1.91</v>
      </c>
      <c r="AI844" s="1">
        <v>12</v>
      </c>
      <c r="AJ844" s="1" t="s">
        <v>3716</v>
      </c>
      <c r="AK844" s="1">
        <v>2.1</v>
      </c>
      <c r="AL844" s="1">
        <v>81.672700000000006</v>
      </c>
      <c r="AM844" s="1" t="s">
        <v>3715</v>
      </c>
      <c r="AP844" s="1" t="s">
        <v>3717</v>
      </c>
      <c r="AR844" s="1">
        <v>6.92</v>
      </c>
      <c r="AT844" s="1">
        <v>5</v>
      </c>
    </row>
    <row r="845" spans="1:46">
      <c r="A845" s="1" t="s">
        <v>3719</v>
      </c>
      <c r="C845" s="1" t="s">
        <v>3719</v>
      </c>
      <c r="D845" s="1" t="s">
        <v>3720</v>
      </c>
      <c r="E845" s="1" t="s">
        <v>1466</v>
      </c>
      <c r="F845" s="1" t="s">
        <v>3713</v>
      </c>
      <c r="G845" s="1" t="s">
        <v>456</v>
      </c>
      <c r="H845" s="2" t="s">
        <v>3721</v>
      </c>
      <c r="I845" s="1">
        <v>27</v>
      </c>
      <c r="J845" s="1">
        <v>0.2</v>
      </c>
      <c r="K845" s="1" t="s">
        <v>1488</v>
      </c>
      <c r="L845" s="1" t="s">
        <v>65</v>
      </c>
      <c r="M845" s="1">
        <v>14.641999999999999</v>
      </c>
      <c r="N845" s="1">
        <v>48</v>
      </c>
      <c r="O845" s="1">
        <v>70.932299999999998</v>
      </c>
      <c r="P845" s="1">
        <v>-159.50242</v>
      </c>
      <c r="Q845" s="1">
        <v>8.8971999999999998</v>
      </c>
      <c r="R845" s="1">
        <v>30.733899999999998</v>
      </c>
      <c r="S845" s="1">
        <v>277.52749999999997</v>
      </c>
      <c r="W845" s="3">
        <v>1.4570000000000001</v>
      </c>
      <c r="X845" s="1" t="s">
        <v>3722</v>
      </c>
      <c r="AI845" s="1">
        <v>7</v>
      </c>
      <c r="AJ845" s="1" t="s">
        <v>3722</v>
      </c>
      <c r="AK845" s="1">
        <v>2.1</v>
      </c>
      <c r="AL845" s="1">
        <v>81.589100000000002</v>
      </c>
      <c r="AM845" s="1" t="s">
        <v>3722</v>
      </c>
      <c r="AP845" s="1" t="s">
        <v>3723</v>
      </c>
      <c r="AR845" s="1">
        <v>6.92</v>
      </c>
      <c r="AT845" s="1">
        <v>15</v>
      </c>
    </row>
    <row r="846" spans="1:46">
      <c r="A846" s="1" t="s">
        <v>3724</v>
      </c>
      <c r="C846" s="1" t="s">
        <v>3724</v>
      </c>
      <c r="D846" s="1" t="s">
        <v>3720</v>
      </c>
      <c r="E846" s="1" t="s">
        <v>1466</v>
      </c>
      <c r="F846" s="1" t="s">
        <v>3713</v>
      </c>
      <c r="G846" s="1" t="s">
        <v>456</v>
      </c>
      <c r="H846" s="2" t="s">
        <v>3721</v>
      </c>
      <c r="I846" s="1">
        <v>27</v>
      </c>
      <c r="J846" s="1">
        <v>0.2</v>
      </c>
      <c r="K846" s="1" t="s">
        <v>1488</v>
      </c>
      <c r="L846" s="1" t="s">
        <v>65</v>
      </c>
      <c r="M846" s="1">
        <v>14.641999999999999</v>
      </c>
      <c r="N846" s="1">
        <v>48</v>
      </c>
      <c r="O846" s="1">
        <v>70.932299999999998</v>
      </c>
      <c r="P846" s="1">
        <v>-159.50242</v>
      </c>
      <c r="Q846" s="1">
        <v>8.8971999999999998</v>
      </c>
      <c r="R846" s="1">
        <v>30.733899999999998</v>
      </c>
      <c r="S846" s="1">
        <v>277.52749999999997</v>
      </c>
      <c r="W846" s="3">
        <v>1.4570000000000001</v>
      </c>
      <c r="X846" s="1" t="s">
        <v>3722</v>
      </c>
      <c r="AI846" s="1">
        <v>7</v>
      </c>
      <c r="AJ846" s="1" t="s">
        <v>3722</v>
      </c>
      <c r="AK846" s="1">
        <v>2.1</v>
      </c>
      <c r="AL846" s="1">
        <v>81.589100000000002</v>
      </c>
      <c r="AM846" s="1" t="s">
        <v>3722</v>
      </c>
      <c r="AP846" s="1" t="s">
        <v>3723</v>
      </c>
      <c r="AR846" s="1">
        <v>6.92</v>
      </c>
      <c r="AT846" s="1">
        <v>15</v>
      </c>
    </row>
    <row r="847" spans="1:46">
      <c r="A847" s="1" t="s">
        <v>3725</v>
      </c>
      <c r="C847" s="1" t="s">
        <v>3725</v>
      </c>
      <c r="D847" s="1" t="s">
        <v>3726</v>
      </c>
      <c r="E847" s="1" t="s">
        <v>1466</v>
      </c>
      <c r="F847" s="1" t="s">
        <v>3713</v>
      </c>
      <c r="G847" s="1" t="s">
        <v>456</v>
      </c>
      <c r="H847" s="2" t="s">
        <v>3727</v>
      </c>
      <c r="I847" s="1">
        <v>27</v>
      </c>
      <c r="J847" s="1">
        <v>0.2</v>
      </c>
      <c r="K847" s="1" t="s">
        <v>486</v>
      </c>
      <c r="L847" s="1" t="s">
        <v>65</v>
      </c>
      <c r="M847" s="1">
        <v>21.850999999999999</v>
      </c>
      <c r="N847" s="1">
        <v>48</v>
      </c>
      <c r="O847" s="1">
        <v>70.932419999999993</v>
      </c>
      <c r="P847" s="1">
        <v>-159.50299000000001</v>
      </c>
      <c r="Q847" s="1">
        <v>7.8740500000000004</v>
      </c>
      <c r="R847" s="1">
        <v>31.619949999999999</v>
      </c>
      <c r="S847" s="1">
        <v>280.57499999999999</v>
      </c>
      <c r="W847" s="3">
        <v>0.67800000000000005</v>
      </c>
      <c r="X847" s="1" t="s">
        <v>1258</v>
      </c>
      <c r="Y847" s="1">
        <v>0.76</v>
      </c>
      <c r="AA847" s="1">
        <v>0.5</v>
      </c>
      <c r="AB847" s="1">
        <v>3.24</v>
      </c>
      <c r="AE847" s="1">
        <v>0.97</v>
      </c>
      <c r="AF847" s="1">
        <v>0.72</v>
      </c>
      <c r="AI847" s="1">
        <v>5</v>
      </c>
      <c r="AJ847" s="1" t="s">
        <v>1258</v>
      </c>
      <c r="AK847" s="1">
        <v>2.1</v>
      </c>
      <c r="AL847" s="1">
        <v>89.002899999999997</v>
      </c>
      <c r="AM847" s="1" t="s">
        <v>1258</v>
      </c>
      <c r="AP847" s="1" t="s">
        <v>3728</v>
      </c>
      <c r="AR847" s="1">
        <v>6.92</v>
      </c>
      <c r="AT847" s="1">
        <v>20</v>
      </c>
    </row>
    <row r="848" spans="1:46">
      <c r="A848" s="1" t="s">
        <v>3729</v>
      </c>
      <c r="C848" s="1" t="s">
        <v>3729</v>
      </c>
      <c r="D848" s="1" t="s">
        <v>3726</v>
      </c>
      <c r="E848" s="1" t="s">
        <v>1466</v>
      </c>
      <c r="F848" s="1" t="s">
        <v>3713</v>
      </c>
      <c r="G848" s="1" t="s">
        <v>456</v>
      </c>
      <c r="H848" s="2" t="s">
        <v>3727</v>
      </c>
      <c r="I848" s="1">
        <v>27</v>
      </c>
      <c r="J848" s="1">
        <v>0.2</v>
      </c>
      <c r="K848" s="1" t="s">
        <v>486</v>
      </c>
      <c r="L848" s="1" t="s">
        <v>65</v>
      </c>
      <c r="M848" s="1">
        <v>21.850999999999999</v>
      </c>
      <c r="N848" s="1">
        <v>48</v>
      </c>
      <c r="O848" s="1">
        <v>70.932419999999993</v>
      </c>
      <c r="P848" s="1">
        <v>-159.50299000000001</v>
      </c>
      <c r="Q848" s="1">
        <v>7.8740500000000004</v>
      </c>
      <c r="R848" s="1">
        <v>31.619949999999999</v>
      </c>
      <c r="S848" s="1">
        <v>280.57499999999999</v>
      </c>
      <c r="W848" s="3">
        <v>0.67800000000000005</v>
      </c>
      <c r="X848" s="1" t="s">
        <v>1258</v>
      </c>
      <c r="Y848" s="1">
        <v>0.76</v>
      </c>
      <c r="AA848" s="1">
        <v>0.5</v>
      </c>
      <c r="AB848" s="1">
        <v>3.24</v>
      </c>
      <c r="AE848" s="1">
        <v>0.97</v>
      </c>
      <c r="AF848" s="1">
        <v>0.72</v>
      </c>
      <c r="AI848" s="1">
        <v>5</v>
      </c>
      <c r="AJ848" s="1" t="s">
        <v>1258</v>
      </c>
      <c r="AK848" s="1">
        <v>2.1</v>
      </c>
      <c r="AL848" s="1">
        <v>89.002899999999997</v>
      </c>
      <c r="AM848" s="1" t="s">
        <v>1258</v>
      </c>
      <c r="AP848" s="1" t="s">
        <v>3728</v>
      </c>
      <c r="AR848" s="1">
        <v>6.92</v>
      </c>
      <c r="AT848" s="1">
        <v>20</v>
      </c>
    </row>
    <row r="849" spans="1:46">
      <c r="A849" s="1" t="s">
        <v>3730</v>
      </c>
      <c r="C849" s="1" t="s">
        <v>3730</v>
      </c>
      <c r="D849" s="1" t="s">
        <v>3731</v>
      </c>
      <c r="E849" s="1" t="s">
        <v>1466</v>
      </c>
      <c r="F849" s="1" t="s">
        <v>3713</v>
      </c>
      <c r="G849" s="1" t="s">
        <v>456</v>
      </c>
      <c r="H849" s="2" t="s">
        <v>3732</v>
      </c>
      <c r="I849" s="1">
        <v>27</v>
      </c>
      <c r="J849" s="1">
        <v>0.2</v>
      </c>
      <c r="K849" s="1" t="s">
        <v>78</v>
      </c>
      <c r="L849" s="1" t="s">
        <v>78</v>
      </c>
      <c r="M849" s="1">
        <v>41.152999999999999</v>
      </c>
      <c r="N849" s="1">
        <v>48</v>
      </c>
      <c r="O849" s="1">
        <v>70.932599999999994</v>
      </c>
      <c r="P849" s="1">
        <v>-159.50394</v>
      </c>
      <c r="Q849" s="1">
        <v>7.7446000000000002</v>
      </c>
      <c r="R849" s="1">
        <v>31.618300000000001</v>
      </c>
      <c r="S849" s="1">
        <v>279.84449999999998</v>
      </c>
      <c r="W849" s="3">
        <v>0.73899999999999999</v>
      </c>
      <c r="X849" s="1" t="s">
        <v>1271</v>
      </c>
      <c r="Y849" s="1">
        <v>0.78</v>
      </c>
      <c r="AA849" s="1">
        <v>0.51</v>
      </c>
      <c r="AB849" s="1">
        <v>3.81</v>
      </c>
      <c r="AE849" s="1">
        <v>0.72</v>
      </c>
      <c r="AF849" s="1">
        <v>0.43</v>
      </c>
      <c r="AI849" s="1">
        <v>1</v>
      </c>
      <c r="AJ849" s="1" t="s">
        <v>1271</v>
      </c>
      <c r="AK849" s="1">
        <v>2.1</v>
      </c>
      <c r="AL849" s="1">
        <v>88.283699999999996</v>
      </c>
      <c r="AM849" s="1" t="s">
        <v>1271</v>
      </c>
      <c r="AP849" s="1" t="s">
        <v>3733</v>
      </c>
      <c r="AQ849" s="1">
        <v>-1.49</v>
      </c>
      <c r="AR849" s="1">
        <v>6.92</v>
      </c>
      <c r="AT849" s="1">
        <v>41</v>
      </c>
    </row>
    <row r="850" spans="1:46">
      <c r="A850" s="1" t="s">
        <v>3734</v>
      </c>
      <c r="C850" s="1" t="s">
        <v>3734</v>
      </c>
      <c r="D850" s="1" t="s">
        <v>3731</v>
      </c>
      <c r="E850" s="1" t="s">
        <v>1466</v>
      </c>
      <c r="F850" s="1" t="s">
        <v>3713</v>
      </c>
      <c r="G850" s="1" t="s">
        <v>456</v>
      </c>
      <c r="H850" s="2" t="s">
        <v>3732</v>
      </c>
      <c r="I850" s="1">
        <v>27</v>
      </c>
      <c r="J850" s="1">
        <v>0.2</v>
      </c>
      <c r="K850" s="1" t="s">
        <v>78</v>
      </c>
      <c r="L850" s="1" t="s">
        <v>78</v>
      </c>
      <c r="M850" s="1">
        <v>41.152999999999999</v>
      </c>
      <c r="N850" s="1">
        <v>48</v>
      </c>
      <c r="O850" s="1">
        <v>70.932599999999994</v>
      </c>
      <c r="P850" s="1">
        <v>-159.50394</v>
      </c>
      <c r="Q850" s="1">
        <v>7.7446000000000002</v>
      </c>
      <c r="R850" s="1">
        <v>31.618300000000001</v>
      </c>
      <c r="S850" s="1">
        <v>279.84449999999998</v>
      </c>
      <c r="W850" s="3">
        <v>0.73899999999999999</v>
      </c>
      <c r="X850" s="1" t="s">
        <v>1271</v>
      </c>
      <c r="Y850" s="1">
        <v>0.78</v>
      </c>
      <c r="AA850" s="1">
        <v>0.51</v>
      </c>
      <c r="AB850" s="1">
        <v>3.81</v>
      </c>
      <c r="AE850" s="1">
        <v>0.72</v>
      </c>
      <c r="AF850" s="1">
        <v>0.43</v>
      </c>
      <c r="AI850" s="1">
        <v>1</v>
      </c>
      <c r="AJ850" s="1" t="s">
        <v>1271</v>
      </c>
      <c r="AK850" s="1">
        <v>2.1</v>
      </c>
      <c r="AL850" s="1">
        <v>88.283699999999996</v>
      </c>
      <c r="AM850" s="1" t="s">
        <v>1271</v>
      </c>
      <c r="AP850" s="1" t="s">
        <v>3733</v>
      </c>
      <c r="AQ850" s="1">
        <v>-1.49</v>
      </c>
      <c r="AR850" s="1">
        <v>6.92</v>
      </c>
      <c r="AT850" s="1">
        <v>41</v>
      </c>
    </row>
    <row r="851" spans="1:46">
      <c r="A851" s="1" t="s">
        <v>3735</v>
      </c>
      <c r="C851" s="1" t="s">
        <v>3735</v>
      </c>
      <c r="D851" s="1" t="s">
        <v>3736</v>
      </c>
      <c r="E851" s="1" t="s">
        <v>1466</v>
      </c>
      <c r="F851" s="1" t="s">
        <v>3737</v>
      </c>
      <c r="G851" s="1" t="s">
        <v>456</v>
      </c>
      <c r="H851" s="2" t="s">
        <v>3738</v>
      </c>
      <c r="I851" s="1">
        <v>26</v>
      </c>
      <c r="J851" s="1">
        <v>0.2</v>
      </c>
      <c r="K851" s="1" t="s">
        <v>52</v>
      </c>
      <c r="L851" s="1" t="s">
        <v>52</v>
      </c>
      <c r="M851" s="1">
        <v>5.1159999999999997</v>
      </c>
      <c r="N851" s="1">
        <v>58</v>
      </c>
      <c r="O851" s="1">
        <v>71.062520000000006</v>
      </c>
      <c r="P851" s="1">
        <v>-159.88211000000001</v>
      </c>
      <c r="Q851" s="1">
        <v>5.5993500000000003</v>
      </c>
      <c r="R851" s="1">
        <v>31.32095</v>
      </c>
      <c r="S851" s="1">
        <v>306.94349999999997</v>
      </c>
      <c r="W851" s="3">
        <v>0.27400000000000002</v>
      </c>
      <c r="X851" s="1" t="s">
        <v>3252</v>
      </c>
      <c r="Y851" s="1">
        <v>0.28999999999999998</v>
      </c>
      <c r="AA851" s="1">
        <v>0.74</v>
      </c>
      <c r="AB851" s="1">
        <v>5.42</v>
      </c>
      <c r="AE851" s="1">
        <v>0.44</v>
      </c>
      <c r="AF851" s="1">
        <v>0.18</v>
      </c>
      <c r="AI851" s="1">
        <v>11</v>
      </c>
      <c r="AJ851" s="1" t="s">
        <v>3252</v>
      </c>
      <c r="AK851" s="1">
        <v>3</v>
      </c>
      <c r="AL851" s="1">
        <v>95.225499999999997</v>
      </c>
      <c r="AM851" s="1" t="s">
        <v>3252</v>
      </c>
      <c r="AP851" s="1" t="s">
        <v>3739</v>
      </c>
      <c r="AQ851" s="1">
        <v>-2.0099999999999998</v>
      </c>
      <c r="AT851" s="1">
        <v>5</v>
      </c>
    </row>
    <row r="852" spans="1:46">
      <c r="A852" s="1" t="s">
        <v>3740</v>
      </c>
      <c r="C852" s="1" t="s">
        <v>3740</v>
      </c>
      <c r="D852" s="1" t="s">
        <v>3741</v>
      </c>
      <c r="E852" s="1" t="s">
        <v>1466</v>
      </c>
      <c r="F852" s="1" t="s">
        <v>3737</v>
      </c>
      <c r="G852" s="1" t="s">
        <v>456</v>
      </c>
      <c r="H852" s="2" t="s">
        <v>3742</v>
      </c>
      <c r="I852" s="1">
        <v>26</v>
      </c>
      <c r="J852" s="1">
        <v>0.2</v>
      </c>
      <c r="K852" s="1" t="s">
        <v>1488</v>
      </c>
      <c r="L852" s="1" t="s">
        <v>65</v>
      </c>
      <c r="M852" s="1">
        <v>33.128999999999998</v>
      </c>
      <c r="N852" s="1">
        <v>58</v>
      </c>
      <c r="O852" s="1">
        <v>71.062979999999996</v>
      </c>
      <c r="P852" s="1">
        <v>-159.88198</v>
      </c>
      <c r="Q852" s="1">
        <v>0.76534999999999997</v>
      </c>
      <c r="R852" s="1">
        <v>32.0015</v>
      </c>
      <c r="S852" s="1">
        <v>324.86399999999998</v>
      </c>
      <c r="W852" s="3">
        <v>2.879</v>
      </c>
      <c r="X852" s="1" t="s">
        <v>3743</v>
      </c>
      <c r="Y852" s="1">
        <v>5.56</v>
      </c>
      <c r="AA852" s="1">
        <v>1.06</v>
      </c>
      <c r="AB852" s="1">
        <v>4.59</v>
      </c>
      <c r="AE852" s="1">
        <v>1.17</v>
      </c>
      <c r="AF852" s="1">
        <v>4.4000000000000004</v>
      </c>
      <c r="AI852" s="1">
        <v>5</v>
      </c>
      <c r="AJ852" s="1" t="s">
        <v>3743</v>
      </c>
      <c r="AK852" s="1">
        <v>3</v>
      </c>
      <c r="AL852" s="1">
        <v>89.074200000000005</v>
      </c>
      <c r="AM852" s="1" t="s">
        <v>3743</v>
      </c>
      <c r="AP852" s="1" t="s">
        <v>3744</v>
      </c>
      <c r="AS852" s="1" t="s">
        <v>3745</v>
      </c>
      <c r="AT852" s="1">
        <v>33</v>
      </c>
    </row>
    <row r="853" spans="1:46">
      <c r="A853" s="1" t="s">
        <v>3746</v>
      </c>
      <c r="C853" s="1" t="s">
        <v>3746</v>
      </c>
      <c r="D853" s="1" t="s">
        <v>3747</v>
      </c>
      <c r="E853" s="1" t="s">
        <v>1466</v>
      </c>
      <c r="F853" s="1" t="s">
        <v>3737</v>
      </c>
      <c r="G853" s="1" t="s">
        <v>456</v>
      </c>
      <c r="H853" s="2" t="s">
        <v>3748</v>
      </c>
      <c r="I853" s="1">
        <v>26</v>
      </c>
      <c r="J853" s="1">
        <v>0.2</v>
      </c>
      <c r="K853" s="1" t="s">
        <v>78</v>
      </c>
      <c r="L853" s="1" t="s">
        <v>78</v>
      </c>
      <c r="M853" s="1">
        <v>52.488999999999997</v>
      </c>
      <c r="N853" s="1">
        <v>58</v>
      </c>
      <c r="O853" s="1">
        <v>71.062719999999999</v>
      </c>
      <c r="P853" s="1">
        <v>-159.88311999999999</v>
      </c>
      <c r="Q853" s="1">
        <v>2.0886</v>
      </c>
      <c r="R853" s="1">
        <v>32.600149999999999</v>
      </c>
      <c r="S853" s="1">
        <v>267.87400000000002</v>
      </c>
      <c r="W853" s="3">
        <v>0.49399999999999999</v>
      </c>
      <c r="X853" s="1" t="s">
        <v>3749</v>
      </c>
      <c r="Y853" s="1">
        <v>0.86</v>
      </c>
      <c r="AA853" s="1">
        <v>1.58</v>
      </c>
      <c r="AB853" s="1">
        <v>19.03</v>
      </c>
      <c r="AE853" s="1">
        <v>3.83</v>
      </c>
      <c r="AF853" s="1">
        <v>3.92</v>
      </c>
      <c r="AI853" s="1">
        <v>1</v>
      </c>
      <c r="AJ853" s="1" t="s">
        <v>3749</v>
      </c>
      <c r="AK853" s="1">
        <v>3</v>
      </c>
      <c r="AL853" s="1">
        <v>72.064999999999998</v>
      </c>
      <c r="AM853" s="1" t="s">
        <v>3749</v>
      </c>
      <c r="AP853" s="1" t="s">
        <v>3750</v>
      </c>
      <c r="AQ853" s="1">
        <v>-1.18</v>
      </c>
      <c r="AS853" s="1" t="s">
        <v>3751</v>
      </c>
      <c r="AT853" s="1">
        <v>52</v>
      </c>
    </row>
    <row r="854" spans="1:46">
      <c r="A854" s="1" t="s">
        <v>3752</v>
      </c>
      <c r="C854" s="1" t="s">
        <v>3752</v>
      </c>
      <c r="D854" s="1" t="s">
        <v>3753</v>
      </c>
      <c r="E854" s="1" t="s">
        <v>1466</v>
      </c>
      <c r="F854" s="1" t="s">
        <v>3754</v>
      </c>
      <c r="G854" s="1" t="s">
        <v>456</v>
      </c>
      <c r="H854" s="2" t="s">
        <v>3755</v>
      </c>
      <c r="I854" s="1">
        <v>29</v>
      </c>
      <c r="J854" s="1">
        <v>0.2</v>
      </c>
      <c r="K854" s="1" t="s">
        <v>52</v>
      </c>
      <c r="L854" s="1" t="s">
        <v>52</v>
      </c>
      <c r="M854" s="1">
        <v>4.3040000000000003</v>
      </c>
      <c r="N854" s="1">
        <v>49</v>
      </c>
      <c r="O854" s="1">
        <v>71.322360000000003</v>
      </c>
      <c r="P854" s="1">
        <v>-160.65988999999999</v>
      </c>
      <c r="Q854" s="1">
        <v>4.89825</v>
      </c>
      <c r="R854" s="1">
        <v>30.872299999999999</v>
      </c>
      <c r="S854" s="1">
        <v>316.08699999999999</v>
      </c>
      <c r="W854" s="3">
        <v>0.151</v>
      </c>
      <c r="X854" s="1" t="s">
        <v>3756</v>
      </c>
      <c r="Y854" s="1">
        <v>0.22</v>
      </c>
      <c r="AA854" s="1">
        <v>0.45</v>
      </c>
      <c r="AB854" s="1">
        <v>1.78</v>
      </c>
      <c r="AE854" s="1">
        <v>0.34</v>
      </c>
      <c r="AF854" s="1">
        <v>1.1299999999999999</v>
      </c>
      <c r="AI854" s="1">
        <v>11</v>
      </c>
      <c r="AJ854" s="1" t="s">
        <v>3756</v>
      </c>
      <c r="AK854" s="1">
        <v>2</v>
      </c>
      <c r="AL854" s="1">
        <v>94.388000000000005</v>
      </c>
      <c r="AM854" s="1" t="s">
        <v>3756</v>
      </c>
      <c r="AP854" s="1" t="s">
        <v>3757</v>
      </c>
      <c r="AQ854" s="1">
        <v>-2.02</v>
      </c>
      <c r="AR854" s="1">
        <v>9.35</v>
      </c>
      <c r="AT854" s="1">
        <v>5</v>
      </c>
    </row>
    <row r="855" spans="1:46">
      <c r="A855" s="1" t="s">
        <v>3758</v>
      </c>
      <c r="C855" s="1" t="s">
        <v>3758</v>
      </c>
      <c r="D855" s="1" t="s">
        <v>3753</v>
      </c>
      <c r="E855" s="1" t="s">
        <v>1466</v>
      </c>
      <c r="F855" s="1" t="s">
        <v>3754</v>
      </c>
      <c r="G855" s="1" t="s">
        <v>456</v>
      </c>
      <c r="H855" s="2" t="s">
        <v>3755</v>
      </c>
      <c r="I855" s="1">
        <v>29</v>
      </c>
      <c r="J855" s="1">
        <v>0.2</v>
      </c>
      <c r="K855" s="1" t="s">
        <v>52</v>
      </c>
      <c r="L855" s="1" t="s">
        <v>52</v>
      </c>
      <c r="M855" s="1">
        <v>4.3040000000000003</v>
      </c>
      <c r="N855" s="1">
        <v>49</v>
      </c>
      <c r="O855" s="1">
        <v>71.322360000000003</v>
      </c>
      <c r="P855" s="1">
        <v>-160.65988999999999</v>
      </c>
      <c r="Q855" s="1">
        <v>4.89825</v>
      </c>
      <c r="R855" s="1">
        <v>30.872299999999999</v>
      </c>
      <c r="S855" s="1">
        <v>316.08699999999999</v>
      </c>
      <c r="W855" s="3">
        <v>0.151</v>
      </c>
      <c r="X855" s="1" t="s">
        <v>3756</v>
      </c>
      <c r="Y855" s="1">
        <v>0.22</v>
      </c>
      <c r="AA855" s="1">
        <v>0.45</v>
      </c>
      <c r="AB855" s="1">
        <v>1.78</v>
      </c>
      <c r="AE855" s="1">
        <v>0.34</v>
      </c>
      <c r="AF855" s="1">
        <v>1.1299999999999999</v>
      </c>
      <c r="AI855" s="1">
        <v>11</v>
      </c>
      <c r="AJ855" s="1" t="s">
        <v>3756</v>
      </c>
      <c r="AK855" s="1">
        <v>2</v>
      </c>
      <c r="AL855" s="1">
        <v>94.388000000000005</v>
      </c>
      <c r="AM855" s="1" t="s">
        <v>3756</v>
      </c>
      <c r="AP855" s="1" t="s">
        <v>3757</v>
      </c>
      <c r="AQ855" s="1">
        <v>-2.02</v>
      </c>
      <c r="AR855" s="1">
        <v>9.35</v>
      </c>
      <c r="AT855" s="1">
        <v>5</v>
      </c>
    </row>
    <row r="856" spans="1:46">
      <c r="A856" s="1" t="s">
        <v>3759</v>
      </c>
      <c r="C856" s="1" t="s">
        <v>3759</v>
      </c>
      <c r="D856" s="1" t="s">
        <v>3760</v>
      </c>
      <c r="E856" s="1" t="s">
        <v>1466</v>
      </c>
      <c r="F856" s="1" t="s">
        <v>3754</v>
      </c>
      <c r="G856" s="1" t="s">
        <v>456</v>
      </c>
      <c r="H856" s="2" t="s">
        <v>3761</v>
      </c>
      <c r="I856" s="1">
        <v>29</v>
      </c>
      <c r="J856" s="1">
        <v>0.2</v>
      </c>
      <c r="K856" s="1" t="s">
        <v>2257</v>
      </c>
      <c r="L856" s="1" t="s">
        <v>65</v>
      </c>
      <c r="M856" s="1">
        <v>29.748999999999999</v>
      </c>
      <c r="N856" s="1">
        <v>49</v>
      </c>
      <c r="O856" s="1">
        <v>71.323120000000003</v>
      </c>
      <c r="P856" s="1">
        <v>-160.65808999999999</v>
      </c>
      <c r="Q856" s="1">
        <v>0.38140000000000002</v>
      </c>
      <c r="R856" s="1">
        <v>31.906400000000001</v>
      </c>
      <c r="S856" s="1">
        <v>301.85000000000002</v>
      </c>
      <c r="W856" s="3">
        <v>0.53400000000000003</v>
      </c>
      <c r="X856" s="1" t="s">
        <v>3762</v>
      </c>
      <c r="Y856" s="1">
        <v>5.08</v>
      </c>
      <c r="AA856" s="1">
        <v>1.33</v>
      </c>
      <c r="AB856" s="1">
        <v>8.7899999999999991</v>
      </c>
      <c r="AE856" s="1">
        <v>1.46</v>
      </c>
      <c r="AF856" s="1">
        <v>3.96</v>
      </c>
      <c r="AI856" s="1">
        <v>5</v>
      </c>
      <c r="AJ856" s="1" t="s">
        <v>3762</v>
      </c>
      <c r="AK856" s="1">
        <v>2</v>
      </c>
      <c r="AL856" s="1">
        <v>94.921199999999999</v>
      </c>
      <c r="AM856" s="1" t="s">
        <v>3762</v>
      </c>
      <c r="AP856" s="1" t="s">
        <v>3763</v>
      </c>
      <c r="AR856" s="1">
        <v>9.35</v>
      </c>
      <c r="AT856" s="1">
        <v>30</v>
      </c>
    </row>
    <row r="857" spans="1:46">
      <c r="A857" s="1" t="s">
        <v>3764</v>
      </c>
      <c r="C857" s="1" t="s">
        <v>3764</v>
      </c>
      <c r="D857" s="1" t="s">
        <v>3760</v>
      </c>
      <c r="E857" s="1" t="s">
        <v>1466</v>
      </c>
      <c r="F857" s="1" t="s">
        <v>3754</v>
      </c>
      <c r="G857" s="1" t="s">
        <v>456</v>
      </c>
      <c r="H857" s="2" t="s">
        <v>3761</v>
      </c>
      <c r="I857" s="1">
        <v>29</v>
      </c>
      <c r="J857" s="1">
        <v>0.2</v>
      </c>
      <c r="K857" s="1" t="s">
        <v>2257</v>
      </c>
      <c r="L857" s="1" t="s">
        <v>65</v>
      </c>
      <c r="M857" s="1">
        <v>29.748999999999999</v>
      </c>
      <c r="N857" s="1">
        <v>49</v>
      </c>
      <c r="O857" s="1">
        <v>71.323120000000003</v>
      </c>
      <c r="P857" s="1">
        <v>-160.65808999999999</v>
      </c>
      <c r="Q857" s="1">
        <v>0.38140000000000002</v>
      </c>
      <c r="R857" s="1">
        <v>31.906400000000001</v>
      </c>
      <c r="S857" s="1">
        <v>301.85000000000002</v>
      </c>
      <c r="W857" s="3">
        <v>0.53400000000000003</v>
      </c>
      <c r="X857" s="1" t="s">
        <v>3762</v>
      </c>
      <c r="Y857" s="1">
        <v>5.08</v>
      </c>
      <c r="AA857" s="1">
        <v>1.33</v>
      </c>
      <c r="AB857" s="1">
        <v>8.7899999999999991</v>
      </c>
      <c r="AE857" s="1">
        <v>1.46</v>
      </c>
      <c r="AF857" s="1">
        <v>3.96</v>
      </c>
      <c r="AI857" s="1">
        <v>5</v>
      </c>
      <c r="AJ857" s="1" t="s">
        <v>3762</v>
      </c>
      <c r="AK857" s="1">
        <v>2</v>
      </c>
      <c r="AL857" s="1">
        <v>94.921199999999999</v>
      </c>
      <c r="AM857" s="1" t="s">
        <v>3762</v>
      </c>
      <c r="AP857" s="1" t="s">
        <v>3763</v>
      </c>
      <c r="AR857" s="1">
        <v>9.35</v>
      </c>
      <c r="AT857" s="1">
        <v>30</v>
      </c>
    </row>
    <row r="858" spans="1:46">
      <c r="A858" s="1" t="s">
        <v>3765</v>
      </c>
      <c r="C858" s="1" t="s">
        <v>3765</v>
      </c>
      <c r="D858" s="1" t="s">
        <v>3766</v>
      </c>
      <c r="E858" s="1" t="s">
        <v>1466</v>
      </c>
      <c r="F858" s="1" t="s">
        <v>3754</v>
      </c>
      <c r="G858" s="1" t="s">
        <v>456</v>
      </c>
      <c r="H858" s="2" t="s">
        <v>3767</v>
      </c>
      <c r="I858" s="1">
        <v>29</v>
      </c>
      <c r="J858" s="1">
        <v>0.2</v>
      </c>
      <c r="K858" s="1" t="s">
        <v>78</v>
      </c>
      <c r="L858" s="1" t="s">
        <v>78</v>
      </c>
      <c r="M858" s="1">
        <v>44.679000000000002</v>
      </c>
      <c r="N858" s="1">
        <v>49</v>
      </c>
      <c r="O858" s="1">
        <v>71.323400000000007</v>
      </c>
      <c r="P858" s="1">
        <v>-160.65781000000001</v>
      </c>
      <c r="Q858" s="1">
        <v>0.50470000000000004</v>
      </c>
      <c r="R858" s="1">
        <v>32.156100000000002</v>
      </c>
      <c r="S858" s="1">
        <v>245.66749999999999</v>
      </c>
      <c r="W858" s="3">
        <v>0.436</v>
      </c>
      <c r="X858" s="1" t="s">
        <v>3768</v>
      </c>
      <c r="Y858" s="1">
        <v>0.68</v>
      </c>
      <c r="AA858" s="1">
        <v>1.45</v>
      </c>
      <c r="AB858" s="1">
        <v>23.04</v>
      </c>
      <c r="AE858" s="1">
        <v>2.8</v>
      </c>
      <c r="AF858" s="1">
        <v>4.22</v>
      </c>
      <c r="AI858" s="1">
        <v>1</v>
      </c>
      <c r="AJ858" s="1" t="s">
        <v>3768</v>
      </c>
      <c r="AK858" s="1">
        <v>1.4</v>
      </c>
      <c r="AL858" s="1">
        <v>54.493400000000001</v>
      </c>
      <c r="AM858" s="1" t="s">
        <v>3768</v>
      </c>
      <c r="AP858" s="1" t="s">
        <v>3769</v>
      </c>
      <c r="AQ858" s="1">
        <v>-1.59</v>
      </c>
      <c r="AR858" s="1">
        <v>9.35</v>
      </c>
      <c r="AT858" s="1">
        <v>45</v>
      </c>
    </row>
    <row r="859" spans="1:46">
      <c r="A859" s="1" t="s">
        <v>3770</v>
      </c>
      <c r="C859" s="1" t="s">
        <v>3770</v>
      </c>
      <c r="D859" s="1" t="s">
        <v>3766</v>
      </c>
      <c r="E859" s="1" t="s">
        <v>1466</v>
      </c>
      <c r="F859" s="1" t="s">
        <v>3754</v>
      </c>
      <c r="G859" s="1" t="s">
        <v>456</v>
      </c>
      <c r="H859" s="2" t="s">
        <v>3767</v>
      </c>
      <c r="I859" s="1">
        <v>29</v>
      </c>
      <c r="J859" s="1">
        <v>0.2</v>
      </c>
      <c r="K859" s="1" t="s">
        <v>78</v>
      </c>
      <c r="L859" s="1" t="s">
        <v>78</v>
      </c>
      <c r="M859" s="1">
        <v>44.679000000000002</v>
      </c>
      <c r="N859" s="1">
        <v>49</v>
      </c>
      <c r="O859" s="1">
        <v>71.323400000000007</v>
      </c>
      <c r="P859" s="1">
        <v>-160.65781000000001</v>
      </c>
      <c r="Q859" s="1">
        <v>0.50470000000000004</v>
      </c>
      <c r="R859" s="1">
        <v>32.156100000000002</v>
      </c>
      <c r="S859" s="1">
        <v>245.66749999999999</v>
      </c>
      <c r="W859" s="3">
        <v>0.436</v>
      </c>
      <c r="X859" s="1" t="s">
        <v>3768</v>
      </c>
      <c r="Y859" s="1">
        <v>0.68</v>
      </c>
      <c r="AA859" s="1">
        <v>1.45</v>
      </c>
      <c r="AB859" s="1">
        <v>23.04</v>
      </c>
      <c r="AE859" s="1">
        <v>2.8</v>
      </c>
      <c r="AF859" s="1">
        <v>4.22</v>
      </c>
      <c r="AI859" s="1">
        <v>1</v>
      </c>
      <c r="AJ859" s="1" t="s">
        <v>3768</v>
      </c>
      <c r="AK859" s="1">
        <v>1.4</v>
      </c>
      <c r="AL859" s="1">
        <v>54.493400000000001</v>
      </c>
      <c r="AM859" s="1" t="s">
        <v>3768</v>
      </c>
      <c r="AP859" s="1" t="s">
        <v>3769</v>
      </c>
      <c r="AQ859" s="1">
        <v>-1.59</v>
      </c>
      <c r="AR859" s="1">
        <v>9.35</v>
      </c>
      <c r="AT859" s="1">
        <v>45</v>
      </c>
    </row>
    <row r="860" spans="1:46">
      <c r="A860" s="1" t="s">
        <v>3771</v>
      </c>
      <c r="C860" s="1" t="s">
        <v>3771</v>
      </c>
      <c r="D860" s="1" t="s">
        <v>3772</v>
      </c>
      <c r="E860" s="1" t="s">
        <v>1466</v>
      </c>
      <c r="F860" s="1" t="s">
        <v>3773</v>
      </c>
      <c r="G860" s="1" t="s">
        <v>456</v>
      </c>
      <c r="H860" s="2" t="s">
        <v>3774</v>
      </c>
      <c r="I860" s="1">
        <v>30</v>
      </c>
      <c r="J860" s="1">
        <v>0.2</v>
      </c>
      <c r="K860" s="1" t="s">
        <v>52</v>
      </c>
      <c r="L860" s="1" t="s">
        <v>52</v>
      </c>
      <c r="M860" s="1">
        <v>4.5910000000000002</v>
      </c>
      <c r="N860" s="1">
        <v>48</v>
      </c>
      <c r="O860" s="1">
        <v>71.454480000000004</v>
      </c>
      <c r="P860" s="1">
        <v>-161.03878</v>
      </c>
      <c r="Q860" s="1">
        <v>5.05185</v>
      </c>
      <c r="R860" s="1">
        <v>31.148350000000001</v>
      </c>
      <c r="S860" s="1">
        <v>311.2835</v>
      </c>
      <c r="W860" s="3">
        <v>0.19</v>
      </c>
      <c r="X860" s="1" t="s">
        <v>3775</v>
      </c>
      <c r="Y860" s="1">
        <v>0.14000000000000001</v>
      </c>
      <c r="AA860" s="1">
        <v>0.53</v>
      </c>
      <c r="AB860" s="1">
        <v>2.2999999999999998</v>
      </c>
      <c r="AE860" s="1">
        <v>0.42</v>
      </c>
      <c r="AF860" s="1">
        <v>0.54</v>
      </c>
      <c r="AI860" s="1">
        <v>12</v>
      </c>
      <c r="AJ860" s="1" t="s">
        <v>3775</v>
      </c>
      <c r="AK860" s="1">
        <v>3</v>
      </c>
      <c r="AL860" s="1">
        <v>95.627700000000004</v>
      </c>
      <c r="AM860" s="1" t="s">
        <v>3775</v>
      </c>
      <c r="AP860" s="1" t="s">
        <v>3776</v>
      </c>
      <c r="AQ860" s="1">
        <v>-2.06</v>
      </c>
      <c r="AR860" s="1">
        <v>8.41</v>
      </c>
      <c r="AT860" s="1">
        <v>5</v>
      </c>
    </row>
    <row r="861" spans="1:46">
      <c r="A861" s="1" t="s">
        <v>3777</v>
      </c>
      <c r="C861" s="1" t="s">
        <v>3777</v>
      </c>
      <c r="D861" s="1" t="s">
        <v>3772</v>
      </c>
      <c r="E861" s="1" t="s">
        <v>1466</v>
      </c>
      <c r="F861" s="1" t="s">
        <v>3773</v>
      </c>
      <c r="G861" s="1" t="s">
        <v>456</v>
      </c>
      <c r="H861" s="2" t="s">
        <v>3774</v>
      </c>
      <c r="I861" s="1">
        <v>30</v>
      </c>
      <c r="J861" s="1">
        <v>0.2</v>
      </c>
      <c r="K861" s="1" t="s">
        <v>52</v>
      </c>
      <c r="L861" s="1" t="s">
        <v>52</v>
      </c>
      <c r="M861" s="1">
        <v>4.5910000000000002</v>
      </c>
      <c r="N861" s="1">
        <v>48</v>
      </c>
      <c r="O861" s="1">
        <v>71.454480000000004</v>
      </c>
      <c r="P861" s="1">
        <v>-161.03878</v>
      </c>
      <c r="Q861" s="1">
        <v>5.05185</v>
      </c>
      <c r="R861" s="1">
        <v>31.148350000000001</v>
      </c>
      <c r="S861" s="1">
        <v>311.2835</v>
      </c>
      <c r="W861" s="3">
        <v>0.19</v>
      </c>
      <c r="X861" s="1" t="s">
        <v>3775</v>
      </c>
      <c r="Y861" s="1">
        <v>0.14000000000000001</v>
      </c>
      <c r="AA861" s="1">
        <v>0.53</v>
      </c>
      <c r="AB861" s="1">
        <v>2.2999999999999998</v>
      </c>
      <c r="AE861" s="1">
        <v>0.42</v>
      </c>
      <c r="AF861" s="1">
        <v>0.54</v>
      </c>
      <c r="AI861" s="1">
        <v>12</v>
      </c>
      <c r="AJ861" s="1" t="s">
        <v>3775</v>
      </c>
      <c r="AK861" s="1">
        <v>3</v>
      </c>
      <c r="AL861" s="1">
        <v>95.627700000000004</v>
      </c>
      <c r="AM861" s="1" t="s">
        <v>3775</v>
      </c>
      <c r="AP861" s="1" t="s">
        <v>3776</v>
      </c>
      <c r="AQ861" s="1">
        <v>-2.06</v>
      </c>
      <c r="AR861" s="1">
        <v>8.41</v>
      </c>
      <c r="AT861" s="1">
        <v>5</v>
      </c>
    </row>
    <row r="862" spans="1:46">
      <c r="A862" s="1" t="s">
        <v>3778</v>
      </c>
      <c r="C862" s="1" t="s">
        <v>3778</v>
      </c>
      <c r="D862" s="1" t="s">
        <v>3779</v>
      </c>
      <c r="E862" s="1" t="s">
        <v>1466</v>
      </c>
      <c r="F862" s="1" t="s">
        <v>3773</v>
      </c>
      <c r="G862" s="1" t="s">
        <v>456</v>
      </c>
      <c r="H862" s="2" t="s">
        <v>3780</v>
      </c>
      <c r="I862" s="1">
        <v>30</v>
      </c>
      <c r="J862" s="1">
        <v>0.2</v>
      </c>
      <c r="L862" s="1" t="s">
        <v>65</v>
      </c>
      <c r="M862" s="1">
        <v>9.7850000000000001</v>
      </c>
      <c r="N862" s="1">
        <v>48</v>
      </c>
      <c r="O862" s="1">
        <v>71.454580000000007</v>
      </c>
      <c r="P862" s="1">
        <v>-161.03824</v>
      </c>
      <c r="Q862" s="1">
        <v>5.056</v>
      </c>
      <c r="R862" s="1">
        <v>31.14845</v>
      </c>
      <c r="S862" s="1">
        <v>310.8895</v>
      </c>
      <c r="W862" s="3">
        <v>0.183</v>
      </c>
      <c r="X862" s="1" t="s">
        <v>3781</v>
      </c>
      <c r="Y862" s="1">
        <v>0.13</v>
      </c>
      <c r="AA862" s="1">
        <v>0.52</v>
      </c>
      <c r="AB862" s="1">
        <v>2.2400000000000002</v>
      </c>
      <c r="AE862" s="1">
        <v>0.36</v>
      </c>
      <c r="AF862" s="1">
        <v>0.76</v>
      </c>
      <c r="AI862" s="1">
        <v>11</v>
      </c>
      <c r="AJ862" s="1" t="s">
        <v>3147</v>
      </c>
      <c r="AK862" s="1">
        <v>3</v>
      </c>
      <c r="AL862" s="1">
        <v>95.618200000000002</v>
      </c>
      <c r="AM862" s="1" t="s">
        <v>3781</v>
      </c>
      <c r="AP862" s="1" t="s">
        <v>3782</v>
      </c>
      <c r="AR862" s="1">
        <v>8.41</v>
      </c>
      <c r="AT862" s="1">
        <v>10</v>
      </c>
    </row>
    <row r="863" spans="1:46">
      <c r="A863" s="1" t="s">
        <v>3783</v>
      </c>
      <c r="C863" s="1" t="s">
        <v>3783</v>
      </c>
      <c r="D863" s="1" t="s">
        <v>3779</v>
      </c>
      <c r="E863" s="1" t="s">
        <v>1466</v>
      </c>
      <c r="F863" s="1" t="s">
        <v>3773</v>
      </c>
      <c r="G863" s="1" t="s">
        <v>456</v>
      </c>
      <c r="H863" s="2" t="s">
        <v>3780</v>
      </c>
      <c r="I863" s="1">
        <v>30</v>
      </c>
      <c r="J863" s="1">
        <v>0.2</v>
      </c>
      <c r="L863" s="1" t="s">
        <v>65</v>
      </c>
      <c r="M863" s="1">
        <v>9.7850000000000001</v>
      </c>
      <c r="N863" s="1">
        <v>48</v>
      </c>
      <c r="O863" s="1">
        <v>71.454580000000007</v>
      </c>
      <c r="P863" s="1">
        <v>-161.03824</v>
      </c>
      <c r="Q863" s="1">
        <v>5.056</v>
      </c>
      <c r="R863" s="1">
        <v>31.14845</v>
      </c>
      <c r="S863" s="1">
        <v>310.8895</v>
      </c>
      <c r="W863" s="3">
        <v>0.183</v>
      </c>
      <c r="X863" s="1" t="s">
        <v>3781</v>
      </c>
      <c r="Y863" s="1">
        <v>0.13</v>
      </c>
      <c r="AA863" s="1">
        <v>0.52</v>
      </c>
      <c r="AB863" s="1">
        <v>2.2400000000000002</v>
      </c>
      <c r="AE863" s="1">
        <v>0.36</v>
      </c>
      <c r="AF863" s="1">
        <v>0.76</v>
      </c>
      <c r="AI863" s="1">
        <v>11</v>
      </c>
      <c r="AJ863" s="1" t="s">
        <v>3147</v>
      </c>
      <c r="AK863" s="1">
        <v>3</v>
      </c>
      <c r="AL863" s="1">
        <v>95.618200000000002</v>
      </c>
      <c r="AM863" s="1" t="s">
        <v>3781</v>
      </c>
      <c r="AP863" s="1" t="s">
        <v>3782</v>
      </c>
      <c r="AR863" s="1">
        <v>8.41</v>
      </c>
      <c r="AT863" s="1">
        <v>10</v>
      </c>
    </row>
    <row r="864" spans="1:46">
      <c r="A864" s="1" t="s">
        <v>3784</v>
      </c>
      <c r="C864" s="1" t="s">
        <v>3784</v>
      </c>
      <c r="D864" s="1" t="s">
        <v>3785</v>
      </c>
      <c r="E864" s="1" t="s">
        <v>1466</v>
      </c>
      <c r="F864" s="1" t="s">
        <v>3773</v>
      </c>
      <c r="G864" s="1" t="s">
        <v>456</v>
      </c>
      <c r="H864" s="2" t="s">
        <v>3786</v>
      </c>
      <c r="I864" s="1">
        <v>30</v>
      </c>
      <c r="J864" s="1">
        <v>0.2</v>
      </c>
      <c r="L864" s="1" t="s">
        <v>65</v>
      </c>
      <c r="M864" s="1">
        <v>21.416</v>
      </c>
      <c r="N864" s="1">
        <v>48</v>
      </c>
      <c r="O864" s="1">
        <v>71.454539999999994</v>
      </c>
      <c r="P864" s="1">
        <v>-161.03785999999999</v>
      </c>
      <c r="Q864" s="1">
        <v>4.8910499999999999</v>
      </c>
      <c r="R864" s="1">
        <v>31.304400000000001</v>
      </c>
      <c r="S864" s="1">
        <v>315.267</v>
      </c>
      <c r="W864" s="3">
        <v>0.36299999999999999</v>
      </c>
      <c r="X864" s="1" t="s">
        <v>3787</v>
      </c>
      <c r="Y864" s="1">
        <v>0.28999999999999998</v>
      </c>
      <c r="AA864" s="1">
        <v>0.53</v>
      </c>
      <c r="AB864" s="1">
        <v>1.78</v>
      </c>
      <c r="AE864" s="1">
        <v>0.3</v>
      </c>
      <c r="AF864" s="1">
        <v>1.1000000000000001</v>
      </c>
      <c r="AI864" s="1">
        <v>8</v>
      </c>
      <c r="AJ864" s="1" t="s">
        <v>3787</v>
      </c>
      <c r="AK864" s="1">
        <v>3</v>
      </c>
      <c r="AL864" s="1">
        <v>95.2483</v>
      </c>
      <c r="AM864" s="1" t="s">
        <v>3787</v>
      </c>
      <c r="AP864" s="1" t="s">
        <v>3788</v>
      </c>
      <c r="AR864" s="1">
        <v>8.41</v>
      </c>
      <c r="AS864" s="1" t="s">
        <v>3789</v>
      </c>
      <c r="AT864" s="1">
        <v>22</v>
      </c>
    </row>
    <row r="865" spans="1:46">
      <c r="A865" s="1" t="s">
        <v>3790</v>
      </c>
      <c r="C865" s="1" t="s">
        <v>3790</v>
      </c>
      <c r="D865" s="1" t="s">
        <v>3785</v>
      </c>
      <c r="E865" s="1" t="s">
        <v>1466</v>
      </c>
      <c r="F865" s="1" t="s">
        <v>3773</v>
      </c>
      <c r="G865" s="1" t="s">
        <v>456</v>
      </c>
      <c r="H865" s="2" t="s">
        <v>3786</v>
      </c>
      <c r="I865" s="1">
        <v>30</v>
      </c>
      <c r="J865" s="1">
        <v>0.2</v>
      </c>
      <c r="L865" s="1" t="s">
        <v>65</v>
      </c>
      <c r="M865" s="1">
        <v>21.416</v>
      </c>
      <c r="N865" s="1">
        <v>48</v>
      </c>
      <c r="O865" s="1">
        <v>71.454539999999994</v>
      </c>
      <c r="P865" s="1">
        <v>-161.03785999999999</v>
      </c>
      <c r="Q865" s="1">
        <v>4.8910499999999999</v>
      </c>
      <c r="R865" s="1">
        <v>31.304400000000001</v>
      </c>
      <c r="S865" s="1">
        <v>315.267</v>
      </c>
      <c r="W865" s="3">
        <v>0.36299999999999999</v>
      </c>
      <c r="X865" s="1" t="s">
        <v>3787</v>
      </c>
      <c r="Y865" s="1">
        <v>0.28999999999999998</v>
      </c>
      <c r="AA865" s="1">
        <v>0.53</v>
      </c>
      <c r="AB865" s="1">
        <v>1.78</v>
      </c>
      <c r="AE865" s="1">
        <v>0.3</v>
      </c>
      <c r="AF865" s="1">
        <v>1.1000000000000001</v>
      </c>
      <c r="AI865" s="1">
        <v>8</v>
      </c>
      <c r="AJ865" s="1" t="s">
        <v>3787</v>
      </c>
      <c r="AK865" s="1">
        <v>3</v>
      </c>
      <c r="AL865" s="1">
        <v>95.2483</v>
      </c>
      <c r="AM865" s="1" t="s">
        <v>3787</v>
      </c>
      <c r="AP865" s="1" t="s">
        <v>3788</v>
      </c>
      <c r="AR865" s="1">
        <v>8.41</v>
      </c>
      <c r="AS865" s="1" t="s">
        <v>3789</v>
      </c>
      <c r="AT865" s="1">
        <v>22</v>
      </c>
    </row>
    <row r="866" spans="1:46">
      <c r="A866" s="1" t="s">
        <v>3791</v>
      </c>
      <c r="C866" s="1" t="s">
        <v>3791</v>
      </c>
      <c r="D866" s="1" t="s">
        <v>3792</v>
      </c>
      <c r="E866" s="1" t="s">
        <v>1466</v>
      </c>
      <c r="F866" s="1" t="s">
        <v>3773</v>
      </c>
      <c r="G866" s="1" t="s">
        <v>456</v>
      </c>
      <c r="H866" s="2" t="s">
        <v>3793</v>
      </c>
      <c r="I866" s="1">
        <v>30</v>
      </c>
      <c r="J866" s="1">
        <v>0.2</v>
      </c>
      <c r="K866" s="1" t="s">
        <v>3794</v>
      </c>
      <c r="L866" s="1" t="s">
        <v>65</v>
      </c>
      <c r="M866" s="1">
        <v>30.628</v>
      </c>
      <c r="N866" s="1">
        <v>48</v>
      </c>
      <c r="O866" s="1">
        <v>71.454580000000007</v>
      </c>
      <c r="P866" s="1">
        <v>-161.03822</v>
      </c>
      <c r="Q866" s="1">
        <v>1.6194500000000001</v>
      </c>
      <c r="R866" s="1">
        <v>32.092300000000002</v>
      </c>
      <c r="S866" s="1">
        <v>292.084</v>
      </c>
      <c r="W866" s="3">
        <v>1.18</v>
      </c>
      <c r="X866" s="1" t="s">
        <v>3795</v>
      </c>
      <c r="Y866" s="1">
        <v>1.08</v>
      </c>
      <c r="AA866" s="1">
        <v>1.06</v>
      </c>
      <c r="AB866" s="1">
        <v>11.31</v>
      </c>
      <c r="AE866" s="1">
        <v>1.53</v>
      </c>
      <c r="AF866" s="1">
        <v>2.34</v>
      </c>
      <c r="AI866" s="1">
        <v>6</v>
      </c>
      <c r="AJ866" s="1" t="s">
        <v>3795</v>
      </c>
      <c r="AK866" s="1">
        <v>3</v>
      </c>
      <c r="AL866" s="1">
        <v>92.032799999999995</v>
      </c>
      <c r="AM866" s="1" t="s">
        <v>3795</v>
      </c>
      <c r="AP866" s="1" t="s">
        <v>3796</v>
      </c>
      <c r="AR866" s="1">
        <v>8.41</v>
      </c>
      <c r="AS866" s="1" t="s">
        <v>3797</v>
      </c>
      <c r="AT866" s="1">
        <v>30</v>
      </c>
    </row>
    <row r="867" spans="1:46">
      <c r="A867" s="1" t="s">
        <v>3798</v>
      </c>
      <c r="C867" s="1" t="s">
        <v>3798</v>
      </c>
      <c r="D867" s="1" t="s">
        <v>3792</v>
      </c>
      <c r="E867" s="1" t="s">
        <v>1466</v>
      </c>
      <c r="F867" s="1" t="s">
        <v>3773</v>
      </c>
      <c r="G867" s="1" t="s">
        <v>456</v>
      </c>
      <c r="H867" s="2" t="s">
        <v>3793</v>
      </c>
      <c r="I867" s="1">
        <v>30</v>
      </c>
      <c r="J867" s="1">
        <v>0.2</v>
      </c>
      <c r="K867" s="1" t="s">
        <v>3794</v>
      </c>
      <c r="L867" s="1" t="s">
        <v>65</v>
      </c>
      <c r="M867" s="1">
        <v>30.628</v>
      </c>
      <c r="N867" s="1">
        <v>48</v>
      </c>
      <c r="O867" s="1">
        <v>71.454580000000007</v>
      </c>
      <c r="P867" s="1">
        <v>-161.03822</v>
      </c>
      <c r="Q867" s="1">
        <v>1.6194500000000001</v>
      </c>
      <c r="R867" s="1">
        <v>32.092300000000002</v>
      </c>
      <c r="S867" s="1">
        <v>292.084</v>
      </c>
      <c r="W867" s="3">
        <v>1.18</v>
      </c>
      <c r="X867" s="1" t="s">
        <v>3795</v>
      </c>
      <c r="Y867" s="1">
        <v>1.08</v>
      </c>
      <c r="AA867" s="1">
        <v>1.06</v>
      </c>
      <c r="AB867" s="1">
        <v>11.31</v>
      </c>
      <c r="AE867" s="1">
        <v>1.53</v>
      </c>
      <c r="AF867" s="1">
        <v>2.34</v>
      </c>
      <c r="AI867" s="1">
        <v>6</v>
      </c>
      <c r="AJ867" s="1" t="s">
        <v>3795</v>
      </c>
      <c r="AK867" s="1">
        <v>3</v>
      </c>
      <c r="AL867" s="1">
        <v>92.032799999999995</v>
      </c>
      <c r="AM867" s="1" t="s">
        <v>3795</v>
      </c>
      <c r="AP867" s="1" t="s">
        <v>3796</v>
      </c>
      <c r="AR867" s="1">
        <v>8.41</v>
      </c>
      <c r="AS867" s="1" t="s">
        <v>3797</v>
      </c>
      <c r="AT867" s="1">
        <v>30</v>
      </c>
    </row>
    <row r="868" spans="1:46">
      <c r="A868" s="1" t="s">
        <v>3799</v>
      </c>
      <c r="C868" s="1" t="s">
        <v>3799</v>
      </c>
      <c r="D868" s="1" t="s">
        <v>3800</v>
      </c>
      <c r="E868" s="1" t="s">
        <v>1466</v>
      </c>
      <c r="F868" s="1" t="s">
        <v>3773</v>
      </c>
      <c r="G868" s="1" t="s">
        <v>456</v>
      </c>
      <c r="H868" s="2" t="s">
        <v>3801</v>
      </c>
      <c r="I868" s="1">
        <v>30</v>
      </c>
      <c r="J868" s="1">
        <v>0.2</v>
      </c>
      <c r="K868" s="1" t="s">
        <v>78</v>
      </c>
      <c r="L868" s="1" t="s">
        <v>78</v>
      </c>
      <c r="M868" s="1">
        <v>41.863999999999997</v>
      </c>
      <c r="N868" s="1">
        <v>48</v>
      </c>
      <c r="O868" s="1">
        <v>71.454560000000001</v>
      </c>
      <c r="P868" s="1">
        <v>-161.03799000000001</v>
      </c>
      <c r="Q868" s="1">
        <v>0.62524999999999997</v>
      </c>
      <c r="R868" s="1">
        <v>32.225299999999997</v>
      </c>
      <c r="S868" s="1">
        <v>252.1465</v>
      </c>
      <c r="W868" s="3">
        <v>0.39</v>
      </c>
      <c r="X868" s="1" t="s">
        <v>3802</v>
      </c>
      <c r="Y868" s="1">
        <v>0.44</v>
      </c>
      <c r="AA868" s="1">
        <v>1.31</v>
      </c>
      <c r="AB868" s="1">
        <v>18.78</v>
      </c>
      <c r="AE868" s="1">
        <v>2.48</v>
      </c>
      <c r="AF868" s="1">
        <v>2.96</v>
      </c>
      <c r="AI868" s="1">
        <v>4</v>
      </c>
      <c r="AJ868" s="1" t="s">
        <v>3802</v>
      </c>
      <c r="AK868" s="1">
        <v>3</v>
      </c>
      <c r="AL868" s="1">
        <v>54.697299999999998</v>
      </c>
      <c r="AM868" s="1" t="s">
        <v>3802</v>
      </c>
      <c r="AP868" s="1" t="s">
        <v>3803</v>
      </c>
      <c r="AQ868" s="1">
        <v>-1.57</v>
      </c>
      <c r="AR868" s="1">
        <v>8.41</v>
      </c>
      <c r="AT868" s="1">
        <v>42</v>
      </c>
    </row>
    <row r="869" spans="1:46">
      <c r="A869" s="1" t="s">
        <v>3804</v>
      </c>
      <c r="C869" s="1" t="s">
        <v>3804</v>
      </c>
      <c r="D869" s="1" t="s">
        <v>3800</v>
      </c>
      <c r="E869" s="1" t="s">
        <v>1466</v>
      </c>
      <c r="F869" s="1" t="s">
        <v>3773</v>
      </c>
      <c r="G869" s="1" t="s">
        <v>456</v>
      </c>
      <c r="H869" s="2" t="s">
        <v>3801</v>
      </c>
      <c r="I869" s="1">
        <v>30</v>
      </c>
      <c r="J869" s="1">
        <v>0.2</v>
      </c>
      <c r="K869" s="1" t="s">
        <v>78</v>
      </c>
      <c r="L869" s="1" t="s">
        <v>78</v>
      </c>
      <c r="M869" s="1">
        <v>41.863999999999997</v>
      </c>
      <c r="N869" s="1">
        <v>48</v>
      </c>
      <c r="O869" s="1">
        <v>71.454560000000001</v>
      </c>
      <c r="P869" s="1">
        <v>-161.03799000000001</v>
      </c>
      <c r="Q869" s="1">
        <v>0.62524999999999997</v>
      </c>
      <c r="R869" s="1">
        <v>32.225299999999997</v>
      </c>
      <c r="S869" s="1">
        <v>252.1465</v>
      </c>
      <c r="W869" s="3">
        <v>0.39</v>
      </c>
      <c r="X869" s="1" t="s">
        <v>3802</v>
      </c>
      <c r="Y869" s="1">
        <v>0.44</v>
      </c>
      <c r="AA869" s="1">
        <v>1.31</v>
      </c>
      <c r="AB869" s="1">
        <v>18.78</v>
      </c>
      <c r="AE869" s="1">
        <v>2.48</v>
      </c>
      <c r="AF869" s="1">
        <v>2.96</v>
      </c>
      <c r="AI869" s="1">
        <v>4</v>
      </c>
      <c r="AJ869" s="1" t="s">
        <v>3802</v>
      </c>
      <c r="AK869" s="1">
        <v>3</v>
      </c>
      <c r="AL869" s="1">
        <v>54.697299999999998</v>
      </c>
      <c r="AM869" s="1" t="s">
        <v>3802</v>
      </c>
      <c r="AP869" s="1" t="s">
        <v>3803</v>
      </c>
      <c r="AQ869" s="1">
        <v>-1.57</v>
      </c>
      <c r="AR869" s="1">
        <v>8.41</v>
      </c>
      <c r="AT869" s="1">
        <v>42</v>
      </c>
    </row>
    <row r="870" spans="1:46">
      <c r="A870" s="1" t="s">
        <v>3805</v>
      </c>
      <c r="C870" s="1" t="s">
        <v>3805</v>
      </c>
      <c r="D870" s="1" t="s">
        <v>3806</v>
      </c>
      <c r="E870" s="1" t="s">
        <v>1466</v>
      </c>
      <c r="F870" s="1" t="s">
        <v>3807</v>
      </c>
      <c r="G870" s="1" t="s">
        <v>456</v>
      </c>
      <c r="H870" s="2" t="s">
        <v>3808</v>
      </c>
      <c r="I870" s="1">
        <v>31</v>
      </c>
      <c r="J870" s="1">
        <v>0.2</v>
      </c>
      <c r="K870" s="1" t="s">
        <v>52</v>
      </c>
      <c r="L870" s="1" t="s">
        <v>52</v>
      </c>
      <c r="M870" s="1">
        <v>3.8940000000000001</v>
      </c>
      <c r="N870" s="1">
        <v>48</v>
      </c>
      <c r="O870" s="1">
        <v>71.587869999999995</v>
      </c>
      <c r="P870" s="1">
        <v>-161.40371999999999</v>
      </c>
      <c r="Q870" s="1">
        <v>4.8600000000000003</v>
      </c>
      <c r="R870" s="1">
        <v>31.229949999999999</v>
      </c>
      <c r="S870" s="1">
        <v>310.90249999999997</v>
      </c>
      <c r="W870" s="3">
        <v>0.214</v>
      </c>
      <c r="X870" s="1" t="s">
        <v>3809</v>
      </c>
      <c r="Y870" s="1">
        <v>0.41</v>
      </c>
      <c r="AA870" s="1">
        <v>0.64</v>
      </c>
      <c r="AB870" s="1">
        <v>2.92</v>
      </c>
      <c r="AE870" s="1">
        <v>0.55000000000000004</v>
      </c>
      <c r="AF870" s="1">
        <v>0.82</v>
      </c>
      <c r="AI870" s="1">
        <v>11</v>
      </c>
      <c r="AJ870" s="1" t="s">
        <v>3809</v>
      </c>
      <c r="AL870" s="1">
        <v>95.752399999999994</v>
      </c>
      <c r="AM870" s="1" t="s">
        <v>3809</v>
      </c>
      <c r="AP870" s="1" t="s">
        <v>3810</v>
      </c>
      <c r="AQ870" s="1">
        <v>-2.02</v>
      </c>
      <c r="AR870" s="1">
        <v>11.1</v>
      </c>
      <c r="AT870" s="1">
        <v>5</v>
      </c>
    </row>
    <row r="871" spans="1:46">
      <c r="A871" s="1" t="s">
        <v>3811</v>
      </c>
      <c r="C871" s="1" t="s">
        <v>3811</v>
      </c>
      <c r="D871" s="1" t="s">
        <v>3806</v>
      </c>
      <c r="E871" s="1" t="s">
        <v>1466</v>
      </c>
      <c r="F871" s="1" t="s">
        <v>3807</v>
      </c>
      <c r="G871" s="1" t="s">
        <v>456</v>
      </c>
      <c r="H871" s="2" t="s">
        <v>3808</v>
      </c>
      <c r="I871" s="1">
        <v>31</v>
      </c>
      <c r="J871" s="1">
        <v>0.2</v>
      </c>
      <c r="K871" s="1" t="s">
        <v>52</v>
      </c>
      <c r="L871" s="1" t="s">
        <v>52</v>
      </c>
      <c r="M871" s="1">
        <v>3.8940000000000001</v>
      </c>
      <c r="N871" s="1">
        <v>48</v>
      </c>
      <c r="O871" s="1">
        <v>71.587869999999995</v>
      </c>
      <c r="P871" s="1">
        <v>-161.40371999999999</v>
      </c>
      <c r="Q871" s="1">
        <v>4.8600000000000003</v>
      </c>
      <c r="R871" s="1">
        <v>31.229949999999999</v>
      </c>
      <c r="S871" s="1">
        <v>310.90249999999997</v>
      </c>
      <c r="W871" s="3">
        <v>0.214</v>
      </c>
      <c r="X871" s="1" t="s">
        <v>3809</v>
      </c>
      <c r="Y871" s="1">
        <v>0.41</v>
      </c>
      <c r="AA871" s="1">
        <v>0.64</v>
      </c>
      <c r="AB871" s="1">
        <v>2.92</v>
      </c>
      <c r="AE871" s="1">
        <v>0.55000000000000004</v>
      </c>
      <c r="AF871" s="1">
        <v>0.82</v>
      </c>
      <c r="AI871" s="1">
        <v>11</v>
      </c>
      <c r="AJ871" s="1" t="s">
        <v>3809</v>
      </c>
      <c r="AL871" s="1">
        <v>95.752399999999994</v>
      </c>
      <c r="AM871" s="1" t="s">
        <v>3809</v>
      </c>
      <c r="AP871" s="1" t="s">
        <v>3810</v>
      </c>
      <c r="AQ871" s="1">
        <v>-2.02</v>
      </c>
      <c r="AR871" s="1">
        <v>11.1</v>
      </c>
      <c r="AT871" s="1">
        <v>5</v>
      </c>
    </row>
    <row r="872" spans="1:46">
      <c r="A872" s="1" t="s">
        <v>3812</v>
      </c>
      <c r="C872" s="1" t="s">
        <v>3812</v>
      </c>
      <c r="D872" s="1" t="s">
        <v>3813</v>
      </c>
      <c r="E872" s="1" t="s">
        <v>1466</v>
      </c>
      <c r="F872" s="1" t="s">
        <v>3807</v>
      </c>
      <c r="G872" s="1" t="s">
        <v>456</v>
      </c>
      <c r="H872" s="2" t="s">
        <v>3814</v>
      </c>
      <c r="I872" s="1">
        <v>31</v>
      </c>
      <c r="J872" s="1">
        <v>0.2</v>
      </c>
      <c r="L872" s="1" t="s">
        <v>65</v>
      </c>
      <c r="M872" s="1">
        <v>20.116</v>
      </c>
      <c r="N872" s="1">
        <v>48</v>
      </c>
      <c r="O872" s="1">
        <v>71.58802</v>
      </c>
      <c r="P872" s="1">
        <v>-161.40308999999999</v>
      </c>
      <c r="Q872" s="1">
        <v>4.9390999999999998</v>
      </c>
      <c r="R872" s="1">
        <v>31.282299999999999</v>
      </c>
      <c r="S872" s="1">
        <v>312.16149999999999</v>
      </c>
      <c r="W872" s="3">
        <v>0.30599999999999999</v>
      </c>
      <c r="X872" s="1" t="s">
        <v>3815</v>
      </c>
      <c r="Y872" s="1">
        <v>0.24</v>
      </c>
      <c r="AA872" s="1">
        <v>0.59</v>
      </c>
      <c r="AB872" s="1">
        <v>4.63</v>
      </c>
      <c r="AE872" s="1">
        <v>0.37</v>
      </c>
      <c r="AF872" s="1">
        <v>1.63</v>
      </c>
      <c r="AI872" s="1">
        <v>7</v>
      </c>
      <c r="AJ872" s="1" t="s">
        <v>3815</v>
      </c>
      <c r="AL872" s="1">
        <v>95.248800000000003</v>
      </c>
      <c r="AM872" s="1" t="s">
        <v>3815</v>
      </c>
      <c r="AP872" s="1" t="s">
        <v>3816</v>
      </c>
      <c r="AR872" s="1">
        <v>11.1</v>
      </c>
      <c r="AT872" s="1">
        <v>20</v>
      </c>
    </row>
    <row r="873" spans="1:46">
      <c r="A873" s="1" t="s">
        <v>3817</v>
      </c>
      <c r="C873" s="1" t="s">
        <v>3817</v>
      </c>
      <c r="D873" s="1" t="s">
        <v>3813</v>
      </c>
      <c r="E873" s="1" t="s">
        <v>1466</v>
      </c>
      <c r="F873" s="1" t="s">
        <v>3807</v>
      </c>
      <c r="G873" s="1" t="s">
        <v>456</v>
      </c>
      <c r="H873" s="2" t="s">
        <v>3814</v>
      </c>
      <c r="I873" s="1">
        <v>31</v>
      </c>
      <c r="J873" s="1">
        <v>0.2</v>
      </c>
      <c r="L873" s="1" t="s">
        <v>65</v>
      </c>
      <c r="M873" s="1">
        <v>20.116</v>
      </c>
      <c r="N873" s="1">
        <v>48</v>
      </c>
      <c r="O873" s="1">
        <v>71.58802</v>
      </c>
      <c r="P873" s="1">
        <v>-161.40308999999999</v>
      </c>
      <c r="Q873" s="1">
        <v>4.9390999999999998</v>
      </c>
      <c r="R873" s="1">
        <v>31.282299999999999</v>
      </c>
      <c r="S873" s="1">
        <v>312.16149999999999</v>
      </c>
      <c r="W873" s="3">
        <v>0.30599999999999999</v>
      </c>
      <c r="X873" s="1" t="s">
        <v>3815</v>
      </c>
      <c r="Y873" s="1">
        <v>0.24</v>
      </c>
      <c r="AA873" s="1">
        <v>0.59</v>
      </c>
      <c r="AB873" s="1">
        <v>4.63</v>
      </c>
      <c r="AE873" s="1">
        <v>0.37</v>
      </c>
      <c r="AF873" s="1">
        <v>1.63</v>
      </c>
      <c r="AI873" s="1">
        <v>7</v>
      </c>
      <c r="AJ873" s="1" t="s">
        <v>3815</v>
      </c>
      <c r="AL873" s="1">
        <v>95.248800000000003</v>
      </c>
      <c r="AM873" s="1" t="s">
        <v>3815</v>
      </c>
      <c r="AP873" s="1" t="s">
        <v>3816</v>
      </c>
      <c r="AR873" s="1">
        <v>11.1</v>
      </c>
      <c r="AT873" s="1">
        <v>20</v>
      </c>
    </row>
    <row r="874" spans="1:46">
      <c r="A874" s="1" t="s">
        <v>3818</v>
      </c>
      <c r="C874" s="1" t="s">
        <v>3818</v>
      </c>
      <c r="D874" s="1" t="s">
        <v>3819</v>
      </c>
      <c r="E874" s="1" t="s">
        <v>1466</v>
      </c>
      <c r="F874" s="1" t="s">
        <v>3807</v>
      </c>
      <c r="G874" s="1" t="s">
        <v>456</v>
      </c>
      <c r="H874" s="2" t="s">
        <v>3820</v>
      </c>
      <c r="I874" s="1">
        <v>31</v>
      </c>
      <c r="J874" s="1">
        <v>0.2</v>
      </c>
      <c r="K874" s="1" t="s">
        <v>1488</v>
      </c>
      <c r="L874" s="1" t="s">
        <v>65</v>
      </c>
      <c r="M874" s="1">
        <v>26.808</v>
      </c>
      <c r="N874" s="1">
        <v>48</v>
      </c>
      <c r="O874" s="1">
        <v>71.587890000000002</v>
      </c>
      <c r="P874" s="1">
        <v>-161.40311</v>
      </c>
      <c r="Q874" s="1">
        <v>1.9862500000000001</v>
      </c>
      <c r="R874" s="1">
        <v>31.900099999999998</v>
      </c>
      <c r="S874" s="1">
        <v>338.28899999999999</v>
      </c>
      <c r="W874" s="3">
        <v>1.7290000000000001</v>
      </c>
      <c r="X874" s="1" t="s">
        <v>3821</v>
      </c>
      <c r="Y874" s="1">
        <v>0.26</v>
      </c>
      <c r="AA874" s="1">
        <v>0.81</v>
      </c>
      <c r="AB874" s="1">
        <v>1.94</v>
      </c>
      <c r="AE874" s="1">
        <v>0.95</v>
      </c>
      <c r="AF874" s="1">
        <v>0.9</v>
      </c>
      <c r="AI874" s="1">
        <v>5</v>
      </c>
      <c r="AJ874" s="1" t="s">
        <v>3822</v>
      </c>
      <c r="AL874" s="1">
        <v>92.564999999999998</v>
      </c>
      <c r="AM874" s="1" t="s">
        <v>3821</v>
      </c>
      <c r="AP874" s="1" t="s">
        <v>3823</v>
      </c>
      <c r="AR874" s="1">
        <v>11.1</v>
      </c>
      <c r="AT874" s="1">
        <v>27</v>
      </c>
    </row>
    <row r="875" spans="1:46">
      <c r="A875" s="1" t="s">
        <v>3824</v>
      </c>
      <c r="C875" s="1" t="s">
        <v>3824</v>
      </c>
      <c r="D875" s="1" t="s">
        <v>3819</v>
      </c>
      <c r="E875" s="1" t="s">
        <v>1466</v>
      </c>
      <c r="F875" s="1" t="s">
        <v>3807</v>
      </c>
      <c r="G875" s="1" t="s">
        <v>456</v>
      </c>
      <c r="H875" s="2" t="s">
        <v>3820</v>
      </c>
      <c r="I875" s="1">
        <v>31</v>
      </c>
      <c r="J875" s="1">
        <v>0.2</v>
      </c>
      <c r="K875" s="1" t="s">
        <v>1488</v>
      </c>
      <c r="L875" s="1" t="s">
        <v>65</v>
      </c>
      <c r="M875" s="1">
        <v>26.808</v>
      </c>
      <c r="N875" s="1">
        <v>48</v>
      </c>
      <c r="O875" s="1">
        <v>71.587890000000002</v>
      </c>
      <c r="P875" s="1">
        <v>-161.40311</v>
      </c>
      <c r="Q875" s="1">
        <v>1.9862500000000001</v>
      </c>
      <c r="R875" s="1">
        <v>31.900099999999998</v>
      </c>
      <c r="S875" s="1">
        <v>338.28899999999999</v>
      </c>
      <c r="W875" s="3">
        <v>1.7290000000000001</v>
      </c>
      <c r="X875" s="1" t="s">
        <v>3821</v>
      </c>
      <c r="Y875" s="1">
        <v>0.26</v>
      </c>
      <c r="AA875" s="1">
        <v>0.81</v>
      </c>
      <c r="AB875" s="1">
        <v>1.94</v>
      </c>
      <c r="AE875" s="1">
        <v>0.95</v>
      </c>
      <c r="AF875" s="1">
        <v>0.9</v>
      </c>
      <c r="AI875" s="1">
        <v>5</v>
      </c>
      <c r="AJ875" s="1" t="s">
        <v>3822</v>
      </c>
      <c r="AL875" s="1">
        <v>92.564999999999998</v>
      </c>
      <c r="AM875" s="1" t="s">
        <v>3821</v>
      </c>
      <c r="AP875" s="1" t="s">
        <v>3823</v>
      </c>
      <c r="AR875" s="1">
        <v>11.1</v>
      </c>
      <c r="AT875" s="1">
        <v>27</v>
      </c>
    </row>
    <row r="876" spans="1:46">
      <c r="A876" s="1" t="s">
        <v>3825</v>
      </c>
      <c r="C876" s="1" t="s">
        <v>3825</v>
      </c>
      <c r="D876" s="1" t="s">
        <v>3826</v>
      </c>
      <c r="E876" s="1" t="s">
        <v>1466</v>
      </c>
      <c r="F876" s="1" t="s">
        <v>3807</v>
      </c>
      <c r="G876" s="1" t="s">
        <v>456</v>
      </c>
      <c r="H876" s="2" t="s">
        <v>3827</v>
      </c>
      <c r="I876" s="1">
        <v>31</v>
      </c>
      <c r="J876" s="1">
        <v>0.2</v>
      </c>
      <c r="K876" s="1" t="s">
        <v>3828</v>
      </c>
      <c r="L876" s="1" t="s">
        <v>78</v>
      </c>
      <c r="M876" s="1">
        <v>42.69</v>
      </c>
      <c r="N876" s="1">
        <v>48</v>
      </c>
      <c r="O876" s="1">
        <v>71.587860000000006</v>
      </c>
      <c r="P876" s="1">
        <v>-161.40288000000001</v>
      </c>
      <c r="Q876" s="1">
        <v>0.34549999999999997</v>
      </c>
      <c r="R876" s="1">
        <v>32.296250000000001</v>
      </c>
      <c r="S876" s="1">
        <v>264.55200000000002</v>
      </c>
      <c r="W876" s="3">
        <v>0.318</v>
      </c>
      <c r="X876" s="1" t="s">
        <v>3829</v>
      </c>
      <c r="Y876" s="1">
        <v>0.46</v>
      </c>
      <c r="AA876" s="1">
        <v>1.44</v>
      </c>
      <c r="AB876" s="1">
        <v>17.04</v>
      </c>
      <c r="AE876" s="1">
        <v>3.12</v>
      </c>
      <c r="AF876" s="1">
        <v>3.39</v>
      </c>
      <c r="AI876" s="1">
        <v>1</v>
      </c>
      <c r="AJ876" s="1" t="s">
        <v>3829</v>
      </c>
      <c r="AL876" s="1">
        <v>44.691200000000002</v>
      </c>
      <c r="AM876" s="1" t="s">
        <v>3829</v>
      </c>
      <c r="AP876" s="1" t="s">
        <v>3830</v>
      </c>
      <c r="AQ876" s="1">
        <v>-1.42</v>
      </c>
      <c r="AR876" s="1">
        <v>11.1</v>
      </c>
      <c r="AS876" s="1" t="s">
        <v>3132</v>
      </c>
      <c r="AT876" s="1">
        <v>43</v>
      </c>
    </row>
    <row r="877" spans="1:46">
      <c r="A877" s="1" t="s">
        <v>3831</v>
      </c>
      <c r="C877" s="1" t="s">
        <v>3831</v>
      </c>
      <c r="D877" s="1" t="s">
        <v>3826</v>
      </c>
      <c r="E877" s="1" t="s">
        <v>1466</v>
      </c>
      <c r="F877" s="1" t="s">
        <v>3807</v>
      </c>
      <c r="G877" s="1" t="s">
        <v>456</v>
      </c>
      <c r="H877" s="2" t="s">
        <v>3827</v>
      </c>
      <c r="I877" s="1">
        <v>31</v>
      </c>
      <c r="J877" s="1">
        <v>0.2</v>
      </c>
      <c r="K877" s="1" t="s">
        <v>3828</v>
      </c>
      <c r="L877" s="1" t="s">
        <v>78</v>
      </c>
      <c r="M877" s="1">
        <v>42.69</v>
      </c>
      <c r="N877" s="1">
        <v>48</v>
      </c>
      <c r="O877" s="1">
        <v>71.587860000000006</v>
      </c>
      <c r="P877" s="1">
        <v>-161.40288000000001</v>
      </c>
      <c r="Q877" s="1">
        <v>0.34549999999999997</v>
      </c>
      <c r="R877" s="1">
        <v>32.296250000000001</v>
      </c>
      <c r="S877" s="1">
        <v>264.55200000000002</v>
      </c>
      <c r="W877" s="3">
        <v>0.318</v>
      </c>
      <c r="X877" s="1" t="s">
        <v>3829</v>
      </c>
      <c r="Y877" s="1">
        <v>0.46</v>
      </c>
      <c r="AA877" s="1">
        <v>1.44</v>
      </c>
      <c r="AB877" s="1">
        <v>17.04</v>
      </c>
      <c r="AE877" s="1">
        <v>3.12</v>
      </c>
      <c r="AF877" s="1">
        <v>3.39</v>
      </c>
      <c r="AI877" s="1">
        <v>1</v>
      </c>
      <c r="AJ877" s="1" t="s">
        <v>3829</v>
      </c>
      <c r="AL877" s="1">
        <v>44.691200000000002</v>
      </c>
      <c r="AM877" s="1" t="s">
        <v>3829</v>
      </c>
      <c r="AP877" s="1" t="s">
        <v>3830</v>
      </c>
      <c r="AQ877" s="1">
        <v>-1.42</v>
      </c>
      <c r="AR877" s="1">
        <v>11.1</v>
      </c>
      <c r="AS877" s="1" t="s">
        <v>3132</v>
      </c>
      <c r="AT877" s="1">
        <v>43</v>
      </c>
    </row>
    <row r="878" spans="1:46">
      <c r="A878" s="1" t="s">
        <v>3832</v>
      </c>
      <c r="C878" s="1" t="s">
        <v>3832</v>
      </c>
      <c r="D878" s="1" t="s">
        <v>3833</v>
      </c>
      <c r="E878" s="1" t="s">
        <v>1466</v>
      </c>
      <c r="F878" s="1" t="s">
        <v>3834</v>
      </c>
      <c r="G878" s="1" t="s">
        <v>456</v>
      </c>
      <c r="H878" s="2" t="s">
        <v>3835</v>
      </c>
      <c r="I878" s="1">
        <v>32</v>
      </c>
      <c r="J878" s="1">
        <v>0.2</v>
      </c>
      <c r="K878" s="1" t="s">
        <v>52</v>
      </c>
      <c r="L878" s="1" t="s">
        <v>52</v>
      </c>
      <c r="M878" s="1">
        <v>4.2249999999999996</v>
      </c>
      <c r="N878" s="1">
        <v>45</v>
      </c>
      <c r="O878" s="1">
        <v>71.718900000000005</v>
      </c>
      <c r="P878" s="1">
        <v>-161.77397999999999</v>
      </c>
      <c r="Q878" s="1">
        <v>4.3468</v>
      </c>
      <c r="R878" s="1">
        <v>30.508500000000002</v>
      </c>
      <c r="S878" s="1">
        <v>319.70400000000001</v>
      </c>
      <c r="W878" s="3">
        <v>0.20799999999999999</v>
      </c>
      <c r="X878" s="1" t="s">
        <v>3836</v>
      </c>
      <c r="Y878" s="1">
        <v>0.2</v>
      </c>
      <c r="AA878" s="1">
        <v>1.72</v>
      </c>
      <c r="AB878" s="1">
        <v>6.32</v>
      </c>
      <c r="AE878" s="1">
        <v>0.37</v>
      </c>
      <c r="AF878" s="1">
        <v>0.75</v>
      </c>
      <c r="AI878" s="1">
        <v>12</v>
      </c>
      <c r="AJ878" s="1" t="s">
        <v>3837</v>
      </c>
      <c r="AL878" s="1">
        <v>95.194400000000002</v>
      </c>
      <c r="AM878" s="1" t="s">
        <v>3836</v>
      </c>
      <c r="AP878" s="1" t="s">
        <v>3838</v>
      </c>
      <c r="AQ878" s="1">
        <v>-2.3199999999999998</v>
      </c>
      <c r="AR878" s="1">
        <v>15.71</v>
      </c>
      <c r="AT878" s="1">
        <v>4</v>
      </c>
    </row>
    <row r="879" spans="1:46">
      <c r="A879" s="1" t="s">
        <v>3839</v>
      </c>
      <c r="C879" s="1" t="s">
        <v>3839</v>
      </c>
      <c r="D879" s="1" t="s">
        <v>3840</v>
      </c>
      <c r="E879" s="1" t="s">
        <v>1466</v>
      </c>
      <c r="F879" s="1" t="s">
        <v>3834</v>
      </c>
      <c r="G879" s="1" t="s">
        <v>456</v>
      </c>
      <c r="H879" s="2" t="s">
        <v>3841</v>
      </c>
      <c r="I879" s="1">
        <v>32</v>
      </c>
      <c r="J879" s="1">
        <v>0.2</v>
      </c>
      <c r="L879" s="1" t="s">
        <v>65</v>
      </c>
      <c r="M879" s="1">
        <v>10.1</v>
      </c>
      <c r="N879" s="1">
        <v>45</v>
      </c>
      <c r="O879" s="1">
        <v>71.719170000000005</v>
      </c>
      <c r="P879" s="1">
        <v>-161.77356</v>
      </c>
      <c r="Q879" s="1">
        <v>4.5035499999999997</v>
      </c>
      <c r="R879" s="1">
        <v>30.74455</v>
      </c>
      <c r="S879" s="1">
        <v>316.69450000000001</v>
      </c>
      <c r="W879" s="3">
        <v>0.20699999999999999</v>
      </c>
      <c r="X879" s="1" t="s">
        <v>3842</v>
      </c>
      <c r="Y879" s="1">
        <v>0.22</v>
      </c>
      <c r="AA879" s="1">
        <v>0.65</v>
      </c>
      <c r="AB879" s="1">
        <v>4.91</v>
      </c>
      <c r="AE879" s="1">
        <v>0.41</v>
      </c>
      <c r="AF879" s="1">
        <v>1.43</v>
      </c>
      <c r="AI879" s="1">
        <v>9</v>
      </c>
      <c r="AJ879" s="1" t="s">
        <v>3842</v>
      </c>
      <c r="AL879" s="1">
        <v>95.226600000000005</v>
      </c>
      <c r="AM879" s="1" t="s">
        <v>3842</v>
      </c>
      <c r="AP879" s="1" t="s">
        <v>3843</v>
      </c>
      <c r="AR879" s="1">
        <v>15.71</v>
      </c>
      <c r="AT879" s="1">
        <v>10</v>
      </c>
    </row>
    <row r="880" spans="1:46">
      <c r="A880" s="1" t="s">
        <v>3844</v>
      </c>
      <c r="C880" s="1" t="s">
        <v>3844</v>
      </c>
      <c r="D880" s="1" t="s">
        <v>3845</v>
      </c>
      <c r="E880" s="1" t="s">
        <v>1466</v>
      </c>
      <c r="F880" s="1" t="s">
        <v>3834</v>
      </c>
      <c r="G880" s="1" t="s">
        <v>456</v>
      </c>
      <c r="H880" s="2" t="s">
        <v>3846</v>
      </c>
      <c r="I880" s="1">
        <v>32</v>
      </c>
      <c r="J880" s="1">
        <v>0.2</v>
      </c>
      <c r="L880" s="1" t="s">
        <v>65</v>
      </c>
      <c r="M880" s="1">
        <v>19.13</v>
      </c>
      <c r="N880" s="1">
        <v>45</v>
      </c>
      <c r="O880" s="1">
        <v>71.719220000000007</v>
      </c>
      <c r="P880" s="1">
        <v>-161.77332999999999</v>
      </c>
      <c r="Q880" s="1">
        <v>2.4941499999999999</v>
      </c>
      <c r="R880" s="1">
        <v>31.661449999999999</v>
      </c>
      <c r="S880" s="1">
        <v>348.89</v>
      </c>
      <c r="W880" s="3">
        <v>0.59499999999999997</v>
      </c>
      <c r="X880" s="1" t="s">
        <v>3847</v>
      </c>
      <c r="Y880" s="1">
        <v>0.56999999999999995</v>
      </c>
      <c r="AA880" s="1">
        <v>0.67</v>
      </c>
      <c r="AB880" s="1">
        <v>1.99</v>
      </c>
      <c r="AE880" s="1">
        <v>0.41</v>
      </c>
      <c r="AF880" s="1">
        <v>0.9</v>
      </c>
      <c r="AI880" s="1">
        <v>7</v>
      </c>
      <c r="AJ880" s="1" t="s">
        <v>3847</v>
      </c>
      <c r="AL880" s="1">
        <v>94.315600000000003</v>
      </c>
      <c r="AM880" s="1" t="s">
        <v>3847</v>
      </c>
      <c r="AP880" s="1" t="s">
        <v>3848</v>
      </c>
      <c r="AR880" s="1">
        <v>15.71</v>
      </c>
      <c r="AT880" s="1">
        <v>20</v>
      </c>
    </row>
    <row r="881" spans="1:46">
      <c r="A881" s="1" t="s">
        <v>3849</v>
      </c>
      <c r="C881" s="1" t="s">
        <v>3849</v>
      </c>
      <c r="D881" s="1" t="s">
        <v>3850</v>
      </c>
      <c r="E881" s="1" t="s">
        <v>1466</v>
      </c>
      <c r="F881" s="1" t="s">
        <v>3834</v>
      </c>
      <c r="G881" s="1" t="s">
        <v>456</v>
      </c>
      <c r="H881" s="2" t="s">
        <v>3851</v>
      </c>
      <c r="I881" s="1">
        <v>32</v>
      </c>
      <c r="J881" s="1">
        <v>0.2</v>
      </c>
      <c r="L881" s="1" t="s">
        <v>65</v>
      </c>
      <c r="M881" s="1">
        <v>24.271999999999998</v>
      </c>
      <c r="N881" s="1">
        <v>45</v>
      </c>
      <c r="O881" s="1">
        <v>71.719200000000001</v>
      </c>
      <c r="P881" s="1">
        <v>-161.77350000000001</v>
      </c>
      <c r="Q881" s="1">
        <v>0.92210000000000003</v>
      </c>
      <c r="R881" s="1">
        <v>32.042850000000001</v>
      </c>
      <c r="S881" s="1">
        <v>344.09</v>
      </c>
      <c r="W881" s="3">
        <v>1.1839999999999999</v>
      </c>
      <c r="X881" s="1" t="s">
        <v>3852</v>
      </c>
      <c r="AI881" s="1">
        <v>5</v>
      </c>
      <c r="AJ881" s="1" t="s">
        <v>3852</v>
      </c>
      <c r="AL881" s="1">
        <v>93.2286</v>
      </c>
      <c r="AM881" s="1" t="s">
        <v>3852</v>
      </c>
      <c r="AP881" s="1" t="s">
        <v>3853</v>
      </c>
      <c r="AR881" s="1">
        <v>15.71</v>
      </c>
      <c r="AT881" s="1">
        <v>24</v>
      </c>
    </row>
    <row r="882" spans="1:46">
      <c r="A882" s="1" t="s">
        <v>3854</v>
      </c>
      <c r="C882" s="1" t="s">
        <v>3854</v>
      </c>
      <c r="D882" s="1" t="s">
        <v>3850</v>
      </c>
      <c r="E882" s="1" t="s">
        <v>1466</v>
      </c>
      <c r="F882" s="1" t="s">
        <v>3834</v>
      </c>
      <c r="G882" s="1" t="s">
        <v>456</v>
      </c>
      <c r="H882" s="2" t="s">
        <v>3851</v>
      </c>
      <c r="I882" s="1">
        <v>32</v>
      </c>
      <c r="J882" s="1">
        <v>0.2</v>
      </c>
      <c r="L882" s="1" t="s">
        <v>65</v>
      </c>
      <c r="M882" s="1">
        <v>24.271999999999998</v>
      </c>
      <c r="N882" s="1">
        <v>45</v>
      </c>
      <c r="O882" s="1">
        <v>71.719200000000001</v>
      </c>
      <c r="P882" s="1">
        <v>-161.77350000000001</v>
      </c>
      <c r="Q882" s="1">
        <v>0.92210000000000003</v>
      </c>
      <c r="R882" s="1">
        <v>32.042850000000001</v>
      </c>
      <c r="S882" s="1">
        <v>344.09</v>
      </c>
      <c r="W882" s="3">
        <v>1.1839999999999999</v>
      </c>
      <c r="X882" s="1" t="s">
        <v>3852</v>
      </c>
      <c r="AI882" s="1">
        <v>5</v>
      </c>
      <c r="AJ882" s="1" t="s">
        <v>3852</v>
      </c>
      <c r="AL882" s="1">
        <v>93.2286</v>
      </c>
      <c r="AM882" s="1" t="s">
        <v>3852</v>
      </c>
      <c r="AP882" s="1" t="s">
        <v>3853</v>
      </c>
      <c r="AR882" s="1">
        <v>15.71</v>
      </c>
      <c r="AT882" s="1">
        <v>24</v>
      </c>
    </row>
    <row r="883" spans="1:46">
      <c r="A883" s="1" t="s">
        <v>3855</v>
      </c>
      <c r="C883" s="1" t="s">
        <v>3855</v>
      </c>
      <c r="D883" s="1" t="s">
        <v>3856</v>
      </c>
      <c r="E883" s="1" t="s">
        <v>1466</v>
      </c>
      <c r="F883" s="1" t="s">
        <v>3834</v>
      </c>
      <c r="G883" s="1" t="s">
        <v>456</v>
      </c>
      <c r="H883" s="2" t="s">
        <v>3857</v>
      </c>
      <c r="I883" s="1">
        <v>32</v>
      </c>
      <c r="J883" s="1">
        <v>0.2</v>
      </c>
      <c r="L883" s="1" t="s">
        <v>65</v>
      </c>
      <c r="M883" s="1">
        <v>29.683</v>
      </c>
      <c r="N883" s="1">
        <v>45</v>
      </c>
      <c r="O883" s="1">
        <v>71.719260000000006</v>
      </c>
      <c r="P883" s="1">
        <v>-161.77350000000001</v>
      </c>
      <c r="Q883" s="1">
        <v>0.12305000000000001</v>
      </c>
      <c r="R883" s="1">
        <v>32.118450000000003</v>
      </c>
      <c r="S883" s="1">
        <v>283.185</v>
      </c>
      <c r="W883" s="3">
        <v>0.24399999999999999</v>
      </c>
      <c r="X883" s="1" t="s">
        <v>3858</v>
      </c>
      <c r="Y883" s="1">
        <v>0.35</v>
      </c>
      <c r="AA883" s="1">
        <v>1.38</v>
      </c>
      <c r="AB883" s="1">
        <v>13.89</v>
      </c>
      <c r="AE883" s="1">
        <v>2.4500000000000002</v>
      </c>
      <c r="AF883" s="1">
        <v>3.78</v>
      </c>
      <c r="AI883" s="1">
        <v>3</v>
      </c>
      <c r="AJ883" s="1" t="s">
        <v>3858</v>
      </c>
      <c r="AL883" s="1">
        <v>56.157899999999998</v>
      </c>
      <c r="AM883" s="1" t="s">
        <v>3858</v>
      </c>
      <c r="AP883" s="1" t="s">
        <v>3859</v>
      </c>
      <c r="AR883" s="1">
        <v>15.71</v>
      </c>
      <c r="AS883" s="1" t="s">
        <v>3860</v>
      </c>
      <c r="AT883" s="1">
        <v>30</v>
      </c>
    </row>
    <row r="884" spans="1:46">
      <c r="A884" s="1" t="s">
        <v>3861</v>
      </c>
      <c r="C884" s="1" t="s">
        <v>3861</v>
      </c>
      <c r="D884" s="1" t="s">
        <v>3862</v>
      </c>
      <c r="E884" s="1" t="s">
        <v>1466</v>
      </c>
      <c r="F884" s="1" t="s">
        <v>3834</v>
      </c>
      <c r="G884" s="1" t="s">
        <v>456</v>
      </c>
      <c r="H884" s="2" t="s">
        <v>3863</v>
      </c>
      <c r="I884" s="1">
        <v>32</v>
      </c>
      <c r="J884" s="1">
        <v>0.2</v>
      </c>
      <c r="K884" s="1" t="s">
        <v>78</v>
      </c>
      <c r="L884" s="1" t="s">
        <v>78</v>
      </c>
      <c r="M884" s="1">
        <v>41.918999999999997</v>
      </c>
      <c r="N884" s="1">
        <v>45</v>
      </c>
      <c r="O884" s="1">
        <v>71.719319999999996</v>
      </c>
      <c r="P884" s="1">
        <v>-161.77368000000001</v>
      </c>
      <c r="Q884" s="1">
        <v>0.12454999999999999</v>
      </c>
      <c r="R884" s="1">
        <v>32.120350000000002</v>
      </c>
      <c r="S884" s="1">
        <v>283.60750000000002</v>
      </c>
      <c r="W884" s="3">
        <v>0.27100000000000002</v>
      </c>
      <c r="X884" s="1" t="s">
        <v>3864</v>
      </c>
      <c r="Y884" s="1">
        <v>0.37</v>
      </c>
      <c r="AA884" s="1">
        <v>1.4</v>
      </c>
      <c r="AB884" s="1">
        <v>9.65</v>
      </c>
      <c r="AE884" s="1">
        <v>2.46</v>
      </c>
      <c r="AF884" s="1">
        <v>4.04</v>
      </c>
      <c r="AI884" s="1">
        <v>1</v>
      </c>
      <c r="AJ884" s="1" t="s">
        <v>3864</v>
      </c>
      <c r="AL884" s="1">
        <v>54.463799999999999</v>
      </c>
      <c r="AM884" s="1" t="s">
        <v>3864</v>
      </c>
      <c r="AP884" s="1" t="s">
        <v>3865</v>
      </c>
      <c r="AQ884" s="1">
        <v>-1.62</v>
      </c>
      <c r="AR884" s="1">
        <v>15.71</v>
      </c>
      <c r="AS884" s="1" t="s">
        <v>3132</v>
      </c>
      <c r="AT884" s="1">
        <v>42</v>
      </c>
    </row>
    <row r="885" spans="1:46">
      <c r="A885" s="1" t="s">
        <v>3866</v>
      </c>
      <c r="C885" s="1" t="s">
        <v>3866</v>
      </c>
      <c r="D885" s="1" t="s">
        <v>3867</v>
      </c>
      <c r="E885" s="1" t="s">
        <v>1466</v>
      </c>
      <c r="F885" s="1" t="s">
        <v>3868</v>
      </c>
      <c r="G885" s="1" t="s">
        <v>456</v>
      </c>
      <c r="H885" s="2" t="s">
        <v>3869</v>
      </c>
      <c r="I885" s="1">
        <v>33</v>
      </c>
      <c r="J885" s="1">
        <v>0.2</v>
      </c>
      <c r="K885" s="1" t="s">
        <v>52</v>
      </c>
      <c r="L885" s="1" t="s">
        <v>52</v>
      </c>
      <c r="M885" s="1">
        <v>5.3680000000000003</v>
      </c>
      <c r="N885" s="1">
        <v>43</v>
      </c>
      <c r="O885" s="1">
        <v>71.849369999999993</v>
      </c>
      <c r="P885" s="1">
        <v>-162.16470000000001</v>
      </c>
      <c r="Q885" s="1">
        <v>4.1124999999999998</v>
      </c>
      <c r="R885" s="1">
        <v>30.364100000000001</v>
      </c>
      <c r="S885" s="1">
        <v>325.78449999999998</v>
      </c>
      <c r="W885" s="3">
        <v>0.33700000000000002</v>
      </c>
      <c r="X885" s="1" t="s">
        <v>3870</v>
      </c>
      <c r="Y885" s="1">
        <v>0.33</v>
      </c>
      <c r="AA885" s="1">
        <v>0.74</v>
      </c>
      <c r="AB885" s="1">
        <v>7.05</v>
      </c>
      <c r="AE885" s="1">
        <v>0.76</v>
      </c>
      <c r="AF885" s="1">
        <v>1.41</v>
      </c>
      <c r="AI885" s="1">
        <v>9</v>
      </c>
      <c r="AJ885" s="1" t="s">
        <v>3870</v>
      </c>
      <c r="AK885" s="1">
        <v>2.5</v>
      </c>
      <c r="AL885" s="1">
        <v>94.466200000000001</v>
      </c>
      <c r="AM885" s="1" t="s">
        <v>3870</v>
      </c>
      <c r="AP885" s="1" t="s">
        <v>3871</v>
      </c>
      <c r="AQ885" s="1">
        <v>-2.29</v>
      </c>
      <c r="AR885" s="1">
        <v>10.029999999999999</v>
      </c>
      <c r="AT885" s="1">
        <v>5</v>
      </c>
    </row>
    <row r="886" spans="1:46">
      <c r="A886" s="1" t="s">
        <v>3872</v>
      </c>
      <c r="C886" s="1" t="s">
        <v>3872</v>
      </c>
      <c r="D886" s="1" t="s">
        <v>3873</v>
      </c>
      <c r="E886" s="1" t="s">
        <v>1466</v>
      </c>
      <c r="F886" s="1" t="s">
        <v>3868</v>
      </c>
      <c r="G886" s="1" t="s">
        <v>456</v>
      </c>
      <c r="H886" s="2" t="s">
        <v>3874</v>
      </c>
      <c r="I886" s="1">
        <v>33</v>
      </c>
      <c r="J886" s="1">
        <v>0.2</v>
      </c>
      <c r="K886" s="1" t="s">
        <v>2257</v>
      </c>
      <c r="L886" s="1" t="s">
        <v>65</v>
      </c>
      <c r="M886" s="1">
        <v>20.231000000000002</v>
      </c>
      <c r="N886" s="1">
        <v>43</v>
      </c>
      <c r="O886" s="1">
        <v>71.84984</v>
      </c>
      <c r="P886" s="1">
        <v>-162.16201000000001</v>
      </c>
      <c r="Q886" s="1">
        <v>4.5143000000000004</v>
      </c>
      <c r="R886" s="1">
        <v>31.137599999999999</v>
      </c>
      <c r="S886" s="1">
        <v>325.9855</v>
      </c>
      <c r="W886" s="3">
        <v>0.30499999999999999</v>
      </c>
      <c r="X886" s="1" t="s">
        <v>3875</v>
      </c>
      <c r="Y886" s="1">
        <v>0.3</v>
      </c>
      <c r="AA886" s="1">
        <v>0.65</v>
      </c>
      <c r="AB886" s="1">
        <v>3.45</v>
      </c>
      <c r="AE886" s="1">
        <v>0.53</v>
      </c>
      <c r="AF886" s="1">
        <v>2.33</v>
      </c>
      <c r="AI886" s="1">
        <v>5</v>
      </c>
      <c r="AJ886" s="1" t="s">
        <v>3875</v>
      </c>
      <c r="AK886" s="1">
        <v>2.5</v>
      </c>
      <c r="AL886" s="1">
        <v>95.388300000000001</v>
      </c>
      <c r="AM886" s="1" t="s">
        <v>3875</v>
      </c>
      <c r="AP886" s="1" t="s">
        <v>3876</v>
      </c>
      <c r="AR886" s="1">
        <v>10.029999999999999</v>
      </c>
      <c r="AT886" s="1">
        <v>20</v>
      </c>
    </row>
    <row r="887" spans="1:46">
      <c r="A887" s="1" t="s">
        <v>3877</v>
      </c>
      <c r="C887" s="1" t="s">
        <v>3877</v>
      </c>
      <c r="D887" s="1" t="s">
        <v>3878</v>
      </c>
      <c r="E887" s="1" t="s">
        <v>1466</v>
      </c>
      <c r="F887" s="1" t="s">
        <v>3868</v>
      </c>
      <c r="G887" s="1" t="s">
        <v>456</v>
      </c>
      <c r="H887" s="2" t="s">
        <v>3879</v>
      </c>
      <c r="I887" s="1">
        <v>33</v>
      </c>
      <c r="J887" s="1">
        <v>0.2</v>
      </c>
      <c r="K887" s="1" t="s">
        <v>1488</v>
      </c>
      <c r="L887" s="1" t="s">
        <v>65</v>
      </c>
      <c r="M887" s="1">
        <v>29.847000000000001</v>
      </c>
      <c r="N887" s="1">
        <v>43</v>
      </c>
      <c r="O887" s="1">
        <v>71.850040000000007</v>
      </c>
      <c r="P887" s="1">
        <v>-162.16095999999999</v>
      </c>
      <c r="Q887" s="1">
        <v>-0.21684999999999999</v>
      </c>
      <c r="R887" s="1">
        <v>31.8872</v>
      </c>
      <c r="S887" s="1">
        <v>328.74250000000001</v>
      </c>
      <c r="W887" s="3">
        <v>2.0270000000000001</v>
      </c>
      <c r="X887" s="1" t="s">
        <v>3880</v>
      </c>
      <c r="Y887" s="1">
        <v>4.68</v>
      </c>
      <c r="AA887" s="1">
        <v>1.1200000000000001</v>
      </c>
      <c r="AB887" s="1">
        <v>2.87</v>
      </c>
      <c r="AE887" s="1">
        <v>0.82</v>
      </c>
      <c r="AF887" s="1">
        <v>7.29</v>
      </c>
      <c r="AI887" s="1">
        <v>3</v>
      </c>
      <c r="AJ887" s="1" t="s">
        <v>3880</v>
      </c>
      <c r="AK887" s="1">
        <v>1.9</v>
      </c>
      <c r="AL887" s="1">
        <v>60.312899999999999</v>
      </c>
      <c r="AM887" s="1" t="s">
        <v>3880</v>
      </c>
      <c r="AP887" s="1" t="s">
        <v>3881</v>
      </c>
      <c r="AR887" s="1">
        <v>10.029999999999999</v>
      </c>
      <c r="AT887" s="1">
        <v>30</v>
      </c>
    </row>
    <row r="888" spans="1:46">
      <c r="A888" s="1" t="s">
        <v>3882</v>
      </c>
      <c r="C888" s="1" t="s">
        <v>3882</v>
      </c>
      <c r="D888" s="1" t="s">
        <v>3883</v>
      </c>
      <c r="E888" s="1" t="s">
        <v>1466</v>
      </c>
      <c r="F888" s="1" t="s">
        <v>3868</v>
      </c>
      <c r="G888" s="1" t="s">
        <v>456</v>
      </c>
      <c r="H888" s="2" t="s">
        <v>3884</v>
      </c>
      <c r="I888" s="1">
        <v>33</v>
      </c>
      <c r="J888" s="1">
        <v>0.2</v>
      </c>
      <c r="K888" s="1" t="s">
        <v>78</v>
      </c>
      <c r="L888" s="1" t="s">
        <v>78</v>
      </c>
      <c r="M888" s="1">
        <v>37.15</v>
      </c>
      <c r="N888" s="1">
        <v>43</v>
      </c>
      <c r="O888" s="1">
        <v>71.850279999999998</v>
      </c>
      <c r="P888" s="1">
        <v>-162.16002</v>
      </c>
      <c r="Q888" s="1">
        <v>-0.20935000000000001</v>
      </c>
      <c r="R888" s="1">
        <v>31.902450000000002</v>
      </c>
      <c r="S888" s="1">
        <v>318.84550000000002</v>
      </c>
      <c r="W888" s="3">
        <v>1.4319999999999999</v>
      </c>
      <c r="X888" s="1" t="s">
        <v>3885</v>
      </c>
      <c r="Y888" s="1">
        <v>2</v>
      </c>
      <c r="AA888" s="1">
        <v>1.25</v>
      </c>
      <c r="AB888" s="1">
        <v>3.04</v>
      </c>
      <c r="AE888" s="1">
        <v>1.5</v>
      </c>
      <c r="AF888" s="1">
        <v>5.43</v>
      </c>
      <c r="AI888" s="1">
        <v>1</v>
      </c>
      <c r="AJ888" s="1" t="s">
        <v>3885</v>
      </c>
      <c r="AK888" s="1">
        <v>1.9</v>
      </c>
      <c r="AL888" s="1">
        <v>44.085599999999999</v>
      </c>
      <c r="AM888" s="1" t="s">
        <v>3885</v>
      </c>
      <c r="AP888" s="1" t="s">
        <v>3886</v>
      </c>
      <c r="AQ888" s="1">
        <v>-1.75</v>
      </c>
      <c r="AR888" s="1">
        <v>10.029999999999999</v>
      </c>
      <c r="AS888" s="1" t="s">
        <v>3887</v>
      </c>
      <c r="AT888" s="1">
        <v>38</v>
      </c>
    </row>
    <row r="889" spans="1:46">
      <c r="A889" s="1" t="s">
        <v>3888</v>
      </c>
      <c r="C889" s="1" t="s">
        <v>3888</v>
      </c>
      <c r="D889" s="1" t="s">
        <v>3889</v>
      </c>
      <c r="E889" s="1" t="s">
        <v>1466</v>
      </c>
      <c r="F889" s="1" t="s">
        <v>3890</v>
      </c>
      <c r="G889" s="1" t="s">
        <v>456</v>
      </c>
      <c r="H889" s="2" t="s">
        <v>3891</v>
      </c>
      <c r="I889" s="1">
        <v>79</v>
      </c>
      <c r="J889" s="1">
        <v>0.2</v>
      </c>
      <c r="K889" s="1" t="s">
        <v>52</v>
      </c>
      <c r="L889" s="1" t="s">
        <v>52</v>
      </c>
      <c r="M889" s="1">
        <v>5.2590000000000003</v>
      </c>
      <c r="N889" s="1">
        <v>36</v>
      </c>
      <c r="O889" s="1">
        <v>71.022599999999997</v>
      </c>
      <c r="P889" s="1">
        <v>-164.87700000000001</v>
      </c>
      <c r="Q889" s="1">
        <v>7.1485000000000003</v>
      </c>
      <c r="R889" s="1">
        <v>31.951499999999999</v>
      </c>
      <c r="S889" s="1">
        <v>295.9545</v>
      </c>
      <c r="W889" s="3">
        <v>1.2290000000000001</v>
      </c>
      <c r="X889" s="1" t="s">
        <v>3892</v>
      </c>
      <c r="Y889" s="1">
        <v>0.6</v>
      </c>
      <c r="AA889" s="1">
        <v>0.37</v>
      </c>
      <c r="AB889" s="1">
        <v>1.78</v>
      </c>
      <c r="AE889" s="1">
        <v>0.28999999999999998</v>
      </c>
      <c r="AF889" s="1">
        <v>0.09</v>
      </c>
      <c r="AI889" s="1">
        <v>9</v>
      </c>
      <c r="AJ889" s="1" t="s">
        <v>3892</v>
      </c>
      <c r="AL889" s="1">
        <v>91.195300000000003</v>
      </c>
      <c r="AM889" s="1" t="s">
        <v>3892</v>
      </c>
      <c r="AP889" s="1" t="s">
        <v>3893</v>
      </c>
      <c r="AQ889" s="1">
        <v>-1.36</v>
      </c>
      <c r="AR889" s="1">
        <v>19.38</v>
      </c>
      <c r="AS889" s="1" t="s">
        <v>3894</v>
      </c>
      <c r="AT889" s="1">
        <v>5</v>
      </c>
    </row>
    <row r="890" spans="1:46">
      <c r="A890" s="1" t="s">
        <v>3895</v>
      </c>
      <c r="C890" s="1" t="s">
        <v>3895</v>
      </c>
      <c r="D890" s="1" t="s">
        <v>3896</v>
      </c>
      <c r="E890" s="1" t="s">
        <v>1466</v>
      </c>
      <c r="F890" s="1" t="s">
        <v>3890</v>
      </c>
      <c r="G890" s="1" t="s">
        <v>456</v>
      </c>
      <c r="H890" s="2" t="s">
        <v>3897</v>
      </c>
      <c r="I890" s="1">
        <v>79</v>
      </c>
      <c r="J890" s="1">
        <v>0.2</v>
      </c>
      <c r="L890" s="1" t="s">
        <v>65</v>
      </c>
      <c r="M890" s="1">
        <v>20.122</v>
      </c>
      <c r="N890" s="1">
        <v>36</v>
      </c>
      <c r="O890" s="1">
        <v>71.022679999999994</v>
      </c>
      <c r="P890" s="1">
        <v>-164.87656000000001</v>
      </c>
      <c r="Q890" s="1">
        <v>7.0662500000000001</v>
      </c>
      <c r="R890" s="1">
        <v>31.955950000000001</v>
      </c>
      <c r="S890" s="1">
        <v>293.43799999999999</v>
      </c>
      <c r="W890" s="3">
        <v>1.1040000000000001</v>
      </c>
      <c r="X890" s="1" t="s">
        <v>3898</v>
      </c>
      <c r="Y890" s="1">
        <v>1.44</v>
      </c>
      <c r="AA890" s="1">
        <v>0.43</v>
      </c>
      <c r="AB890" s="1">
        <v>1.78</v>
      </c>
      <c r="AE890" s="1">
        <v>0.25</v>
      </c>
      <c r="AF890" s="1">
        <v>0.11</v>
      </c>
      <c r="AI890" s="1">
        <v>5</v>
      </c>
      <c r="AJ890" s="1" t="s">
        <v>3898</v>
      </c>
      <c r="AL890" s="1">
        <v>92.0672</v>
      </c>
      <c r="AM890" s="1" t="s">
        <v>3898</v>
      </c>
      <c r="AP890" s="1" t="s">
        <v>3899</v>
      </c>
      <c r="AR890" s="1">
        <v>19.38</v>
      </c>
      <c r="AS890" s="1" t="s">
        <v>3900</v>
      </c>
      <c r="AT890" s="1">
        <v>20</v>
      </c>
    </row>
    <row r="891" spans="1:46">
      <c r="A891" s="1" t="s">
        <v>3901</v>
      </c>
      <c r="C891" s="1" t="s">
        <v>3901</v>
      </c>
      <c r="D891" s="1" t="s">
        <v>3902</v>
      </c>
      <c r="E891" s="1" t="s">
        <v>1466</v>
      </c>
      <c r="F891" s="1" t="s">
        <v>3890</v>
      </c>
      <c r="G891" s="1" t="s">
        <v>456</v>
      </c>
      <c r="H891" s="2" t="s">
        <v>3903</v>
      </c>
      <c r="I891" s="1">
        <v>79</v>
      </c>
      <c r="J891" s="1">
        <v>0.2</v>
      </c>
      <c r="L891" s="1" t="s">
        <v>78</v>
      </c>
      <c r="M891" s="1">
        <v>30.376999999999999</v>
      </c>
      <c r="N891" s="1">
        <v>36</v>
      </c>
      <c r="O891" s="1">
        <v>71.022620000000003</v>
      </c>
      <c r="P891" s="1">
        <v>-164.87663000000001</v>
      </c>
      <c r="Q891" s="1">
        <v>3.96895</v>
      </c>
      <c r="R891" s="1">
        <v>32.369199999999999</v>
      </c>
      <c r="S891" s="1">
        <v>258.72449999999998</v>
      </c>
      <c r="W891" s="3">
        <v>0.503</v>
      </c>
      <c r="X891" s="1" t="s">
        <v>834</v>
      </c>
      <c r="Y891" s="1">
        <v>0.93</v>
      </c>
      <c r="AA891" s="1">
        <v>1.1399999999999999</v>
      </c>
      <c r="AB891" s="1">
        <v>11.77</v>
      </c>
      <c r="AE891" s="1">
        <v>2.12</v>
      </c>
      <c r="AF891" s="1">
        <v>1.38</v>
      </c>
      <c r="AI891" s="1">
        <v>4</v>
      </c>
      <c r="AJ891" s="1" t="s">
        <v>829</v>
      </c>
      <c r="AL891" s="1">
        <v>77.349699999999999</v>
      </c>
      <c r="AM891" s="1" t="s">
        <v>834</v>
      </c>
      <c r="AP891" s="1" t="s">
        <v>3904</v>
      </c>
      <c r="AR891" s="1">
        <v>19.38</v>
      </c>
      <c r="AS891" s="1" t="s">
        <v>3905</v>
      </c>
      <c r="AT891" s="1">
        <v>30</v>
      </c>
    </row>
    <row r="892" spans="1:46">
      <c r="A892" s="1" t="s">
        <v>3906</v>
      </c>
      <c r="C892" s="1" t="s">
        <v>3906</v>
      </c>
      <c r="D892" s="1" t="s">
        <v>3907</v>
      </c>
      <c r="E892" s="1" t="s">
        <v>1466</v>
      </c>
      <c r="F892" s="1" t="s">
        <v>3890</v>
      </c>
      <c r="G892" s="1" t="s">
        <v>456</v>
      </c>
      <c r="H892" s="2" t="s">
        <v>3908</v>
      </c>
      <c r="I892" s="1">
        <v>79</v>
      </c>
      <c r="J892" s="1">
        <v>0.2</v>
      </c>
      <c r="K892" s="1" t="s">
        <v>78</v>
      </c>
      <c r="L892" s="1" t="s">
        <v>78</v>
      </c>
      <c r="M892" s="1">
        <v>33.604999999999997</v>
      </c>
      <c r="N892" s="1">
        <v>36</v>
      </c>
      <c r="O892" s="1">
        <v>71.02243</v>
      </c>
      <c r="P892" s="1">
        <v>-164.8768</v>
      </c>
      <c r="Q892" s="1">
        <v>3.8690500000000001</v>
      </c>
      <c r="R892" s="1">
        <v>32.382550000000002</v>
      </c>
      <c r="S892" s="1">
        <v>256.31400000000002</v>
      </c>
      <c r="W892" s="3">
        <v>0.49399999999999999</v>
      </c>
      <c r="X892" s="1" t="s">
        <v>838</v>
      </c>
      <c r="Y892" s="1">
        <v>0.84</v>
      </c>
      <c r="AA892" s="1">
        <v>1.26</v>
      </c>
      <c r="AB892" s="1">
        <v>14.97</v>
      </c>
      <c r="AE892" s="1">
        <v>2.27</v>
      </c>
      <c r="AF892" s="1">
        <v>1.6</v>
      </c>
      <c r="AI892" s="1">
        <v>1</v>
      </c>
      <c r="AJ892" s="1" t="s">
        <v>838</v>
      </c>
      <c r="AL892" s="1">
        <v>74.088700000000003</v>
      </c>
      <c r="AM892" s="1" t="s">
        <v>838</v>
      </c>
      <c r="AP892" s="1" t="s">
        <v>3909</v>
      </c>
      <c r="AQ892" s="1">
        <v>-1.3</v>
      </c>
      <c r="AR892" s="1">
        <v>19.38</v>
      </c>
      <c r="AS892" s="1" t="s">
        <v>3910</v>
      </c>
      <c r="AT892" s="1">
        <v>34</v>
      </c>
    </row>
    <row r="893" spans="1:46">
      <c r="A893" s="1" t="s">
        <v>3911</v>
      </c>
      <c r="C893" s="1" t="s">
        <v>3911</v>
      </c>
      <c r="D893" s="1" t="s">
        <v>3912</v>
      </c>
      <c r="E893" s="1" t="s">
        <v>1466</v>
      </c>
      <c r="F893" s="1" t="s">
        <v>3913</v>
      </c>
      <c r="G893" s="1" t="s">
        <v>456</v>
      </c>
      <c r="H893" s="2" t="s">
        <v>3914</v>
      </c>
      <c r="I893" s="1">
        <v>77</v>
      </c>
      <c r="J893" s="1">
        <v>0.2</v>
      </c>
      <c r="K893" s="1" t="s">
        <v>52</v>
      </c>
      <c r="L893" s="1" t="s">
        <v>52</v>
      </c>
      <c r="M893" s="1">
        <v>4.68</v>
      </c>
      <c r="N893" s="1">
        <v>44</v>
      </c>
      <c r="O893" s="1">
        <v>71.118300000000005</v>
      </c>
      <c r="P893" s="1">
        <v>-163.80356</v>
      </c>
      <c r="Q893" s="1">
        <v>5.8632999999999997</v>
      </c>
      <c r="R893" s="1">
        <v>31.7059</v>
      </c>
      <c r="S893" s="1">
        <v>303.01400000000001</v>
      </c>
      <c r="W893" s="3">
        <v>0.22600000000000001</v>
      </c>
      <c r="X893" s="1" t="s">
        <v>3915</v>
      </c>
      <c r="Y893" s="1">
        <v>0.27</v>
      </c>
      <c r="AA893" s="1">
        <v>0.79</v>
      </c>
      <c r="AB893" s="1">
        <v>2.2799999999999998</v>
      </c>
      <c r="AE893" s="1">
        <v>0.92</v>
      </c>
      <c r="AF893" s="1">
        <v>0.66</v>
      </c>
      <c r="AI893" s="1">
        <v>10</v>
      </c>
      <c r="AJ893" s="1" t="s">
        <v>3916</v>
      </c>
      <c r="AK893" s="1">
        <v>2.4</v>
      </c>
      <c r="AL893" s="1">
        <v>94.752600000000001</v>
      </c>
      <c r="AM893" s="1" t="s">
        <v>3915</v>
      </c>
      <c r="AP893" s="1" t="s">
        <v>3917</v>
      </c>
      <c r="AQ893" s="1">
        <v>-1.88</v>
      </c>
      <c r="AR893" s="1">
        <v>18.47</v>
      </c>
      <c r="AT893" s="1">
        <v>5</v>
      </c>
    </row>
    <row r="894" spans="1:46">
      <c r="A894" s="1" t="s">
        <v>3918</v>
      </c>
      <c r="C894" s="1" t="s">
        <v>3918</v>
      </c>
      <c r="D894" s="1" t="s">
        <v>3919</v>
      </c>
      <c r="E894" s="1" t="s">
        <v>1466</v>
      </c>
      <c r="F894" s="1" t="s">
        <v>3913</v>
      </c>
      <c r="G894" s="1" t="s">
        <v>456</v>
      </c>
      <c r="H894" s="2" t="s">
        <v>3920</v>
      </c>
      <c r="I894" s="1">
        <v>77</v>
      </c>
      <c r="J894" s="1">
        <v>0.2</v>
      </c>
      <c r="L894" s="1" t="s">
        <v>65</v>
      </c>
      <c r="M894" s="1">
        <v>19.556999999999999</v>
      </c>
      <c r="N894" s="1">
        <v>44</v>
      </c>
      <c r="O894" s="1">
        <v>71.118359999999996</v>
      </c>
      <c r="P894" s="1">
        <v>-163.80371</v>
      </c>
      <c r="Q894" s="1">
        <v>5.3929</v>
      </c>
      <c r="R894" s="1">
        <v>31.747900000000001</v>
      </c>
      <c r="S894" s="1">
        <v>307.68799999999999</v>
      </c>
      <c r="W894" s="3">
        <v>0.59799999999999998</v>
      </c>
      <c r="X894" s="1" t="s">
        <v>3921</v>
      </c>
      <c r="Y894" s="1">
        <v>0.47</v>
      </c>
      <c r="AA894" s="1">
        <v>0.64</v>
      </c>
      <c r="AB894" s="1">
        <v>2.13</v>
      </c>
      <c r="AE894" s="1">
        <v>1.53</v>
      </c>
      <c r="AF894" s="1">
        <v>0.22</v>
      </c>
      <c r="AI894" s="1">
        <v>6</v>
      </c>
      <c r="AJ894" s="1" t="s">
        <v>3922</v>
      </c>
      <c r="AK894" s="1">
        <v>2.4</v>
      </c>
      <c r="AL894" s="1">
        <v>94.627899999999997</v>
      </c>
      <c r="AM894" s="1" t="s">
        <v>3921</v>
      </c>
      <c r="AP894" s="1" t="s">
        <v>3923</v>
      </c>
      <c r="AR894" s="1">
        <v>18.47</v>
      </c>
      <c r="AT894" s="1">
        <v>20</v>
      </c>
    </row>
    <row r="895" spans="1:46">
      <c r="A895" s="1" t="s">
        <v>3924</v>
      </c>
      <c r="C895" s="1" t="s">
        <v>3924</v>
      </c>
      <c r="D895" s="1" t="s">
        <v>3925</v>
      </c>
      <c r="E895" s="1" t="s">
        <v>1466</v>
      </c>
      <c r="F895" s="1" t="s">
        <v>3913</v>
      </c>
      <c r="G895" s="1" t="s">
        <v>456</v>
      </c>
      <c r="H895" s="2" t="s">
        <v>3926</v>
      </c>
      <c r="I895" s="1">
        <v>77</v>
      </c>
      <c r="J895" s="1">
        <v>0.2</v>
      </c>
      <c r="K895" s="1" t="s">
        <v>1488</v>
      </c>
      <c r="L895" s="1" t="s">
        <v>65</v>
      </c>
      <c r="M895" s="1">
        <v>32.472999999999999</v>
      </c>
      <c r="N895" s="1">
        <v>44</v>
      </c>
      <c r="O895" s="1">
        <v>71.118399999999994</v>
      </c>
      <c r="P895" s="1">
        <v>-163.80356</v>
      </c>
      <c r="Q895" s="1">
        <v>1.2821499999999999</v>
      </c>
      <c r="R895" s="1">
        <v>32.4756</v>
      </c>
      <c r="S895" s="1">
        <v>279.89800000000002</v>
      </c>
      <c r="W895" s="3">
        <v>0.495</v>
      </c>
      <c r="X895" s="1" t="s">
        <v>3927</v>
      </c>
      <c r="Y895" s="1">
        <v>1.68</v>
      </c>
      <c r="AA895" s="1">
        <v>1.34</v>
      </c>
      <c r="AB895" s="1">
        <v>7.71</v>
      </c>
      <c r="AE895" s="1">
        <v>3.12</v>
      </c>
      <c r="AF895" s="1">
        <v>3.56</v>
      </c>
      <c r="AI895" s="1">
        <v>3</v>
      </c>
      <c r="AJ895" s="1" t="s">
        <v>3928</v>
      </c>
      <c r="AK895" s="1">
        <v>2</v>
      </c>
      <c r="AL895" s="1">
        <v>80.652799999999999</v>
      </c>
      <c r="AM895" s="1" t="s">
        <v>3927</v>
      </c>
      <c r="AP895" s="1" t="s">
        <v>3929</v>
      </c>
      <c r="AR895" s="1">
        <v>18.47</v>
      </c>
      <c r="AT895" s="1">
        <v>32</v>
      </c>
    </row>
    <row r="896" spans="1:46">
      <c r="A896" s="1" t="s">
        <v>3930</v>
      </c>
      <c r="C896" s="1" t="s">
        <v>3930</v>
      </c>
      <c r="D896" s="1" t="s">
        <v>3931</v>
      </c>
      <c r="E896" s="1" t="s">
        <v>1466</v>
      </c>
      <c r="F896" s="1" t="s">
        <v>3913</v>
      </c>
      <c r="G896" s="1" t="s">
        <v>456</v>
      </c>
      <c r="H896" s="2" t="s">
        <v>3932</v>
      </c>
      <c r="I896" s="1">
        <v>77</v>
      </c>
      <c r="J896" s="1">
        <v>0.2</v>
      </c>
      <c r="K896" s="1" t="s">
        <v>78</v>
      </c>
      <c r="L896" s="1" t="s">
        <v>78</v>
      </c>
      <c r="M896" s="1">
        <v>40.738</v>
      </c>
      <c r="N896" s="1">
        <v>44</v>
      </c>
      <c r="O896" s="1">
        <v>71.118440000000007</v>
      </c>
      <c r="P896" s="1">
        <v>-163.80356</v>
      </c>
      <c r="Q896" s="1">
        <v>1.3535999999999999</v>
      </c>
      <c r="R896" s="1">
        <v>32.490650000000002</v>
      </c>
      <c r="S896" s="1">
        <v>274.73500000000001</v>
      </c>
      <c r="W896" s="3">
        <v>0.77800000000000002</v>
      </c>
      <c r="X896" s="1" t="s">
        <v>3933</v>
      </c>
      <c r="Y896" s="1">
        <v>1.56</v>
      </c>
      <c r="AA896" s="1">
        <v>1.54</v>
      </c>
      <c r="AB896" s="1">
        <v>9.6</v>
      </c>
      <c r="AE896" s="1">
        <v>4.34</v>
      </c>
      <c r="AF896" s="1">
        <v>4.0599999999999996</v>
      </c>
      <c r="AI896" s="1">
        <v>1</v>
      </c>
      <c r="AJ896" s="1" t="s">
        <v>3933</v>
      </c>
      <c r="AK896" s="1">
        <v>2</v>
      </c>
      <c r="AL896" s="1">
        <v>71.802800000000005</v>
      </c>
      <c r="AM896" s="1" t="s">
        <v>3933</v>
      </c>
      <c r="AP896" s="1" t="s">
        <v>3934</v>
      </c>
      <c r="AQ896" s="1">
        <v>-1.03</v>
      </c>
      <c r="AR896" s="1">
        <v>18.47</v>
      </c>
      <c r="AT896" s="1">
        <v>40</v>
      </c>
    </row>
    <row r="897" spans="1:46">
      <c r="A897" s="1" t="s">
        <v>3935</v>
      </c>
      <c r="C897" s="1" t="s">
        <v>3935</v>
      </c>
      <c r="D897" s="1" t="s">
        <v>3936</v>
      </c>
      <c r="E897" s="1" t="s">
        <v>1466</v>
      </c>
      <c r="F897" s="1" t="s">
        <v>3937</v>
      </c>
      <c r="G897" s="1" t="s">
        <v>456</v>
      </c>
      <c r="H897" s="2" t="s">
        <v>3938</v>
      </c>
      <c r="I897" s="1">
        <v>76</v>
      </c>
      <c r="J897" s="1">
        <v>0.2</v>
      </c>
      <c r="K897" s="1" t="s">
        <v>52</v>
      </c>
      <c r="L897" s="1" t="s">
        <v>52</v>
      </c>
      <c r="M897" s="1">
        <v>4.7300000000000004</v>
      </c>
      <c r="N897" s="1">
        <v>45</v>
      </c>
      <c r="O897" s="1">
        <v>71.241200000000006</v>
      </c>
      <c r="P897" s="1">
        <v>-163.40602999999999</v>
      </c>
      <c r="Q897" s="1">
        <v>6.0010000000000003</v>
      </c>
      <c r="R897" s="1">
        <v>31.698650000000001</v>
      </c>
      <c r="S897" s="1">
        <v>301.66000000000003</v>
      </c>
      <c r="W897" s="3">
        <v>0.20100000000000001</v>
      </c>
      <c r="X897" s="1" t="s">
        <v>3939</v>
      </c>
      <c r="Y897" s="1">
        <v>0.16</v>
      </c>
      <c r="AA897" s="1">
        <v>0.64</v>
      </c>
      <c r="AB897" s="1">
        <v>3.3</v>
      </c>
      <c r="AE897" s="1">
        <v>0.27</v>
      </c>
      <c r="AF897" s="1">
        <v>0.66</v>
      </c>
      <c r="AI897" s="1">
        <v>11</v>
      </c>
      <c r="AJ897" s="1" t="s">
        <v>3939</v>
      </c>
      <c r="AK897" s="1">
        <v>2.1</v>
      </c>
      <c r="AL897" s="1">
        <v>95.072299999999998</v>
      </c>
      <c r="AM897" s="1" t="s">
        <v>3939</v>
      </c>
      <c r="AP897" s="1" t="s">
        <v>3940</v>
      </c>
      <c r="AQ897" s="1">
        <v>-1.7</v>
      </c>
      <c r="AR897" s="1">
        <v>21.49</v>
      </c>
      <c r="AT897" s="1">
        <v>5</v>
      </c>
    </row>
    <row r="898" spans="1:46">
      <c r="A898" s="1" t="s">
        <v>3941</v>
      </c>
      <c r="C898" s="1" t="s">
        <v>3941</v>
      </c>
      <c r="D898" s="1" t="s">
        <v>3942</v>
      </c>
      <c r="E898" s="1" t="s">
        <v>1466</v>
      </c>
      <c r="F898" s="1" t="s">
        <v>3937</v>
      </c>
      <c r="G898" s="1" t="s">
        <v>456</v>
      </c>
      <c r="H898" s="2" t="s">
        <v>3943</v>
      </c>
      <c r="I898" s="1">
        <v>76</v>
      </c>
      <c r="J898" s="1">
        <v>0.2</v>
      </c>
      <c r="L898" s="1" t="s">
        <v>65</v>
      </c>
      <c r="M898" s="1">
        <v>19.224</v>
      </c>
      <c r="N898" s="1">
        <v>45</v>
      </c>
      <c r="O898" s="1">
        <v>71.241119999999995</v>
      </c>
      <c r="P898" s="1">
        <v>-163.40552</v>
      </c>
      <c r="Q898" s="1">
        <v>5.9168000000000003</v>
      </c>
      <c r="R898" s="1">
        <v>31.724599999999999</v>
      </c>
      <c r="S898" s="1">
        <v>303.09699999999998</v>
      </c>
      <c r="W898" s="3">
        <v>0.35499999999999998</v>
      </c>
      <c r="X898" s="1" t="s">
        <v>758</v>
      </c>
      <c r="Y898" s="1">
        <v>0.51</v>
      </c>
      <c r="AA898" s="1">
        <v>0.55000000000000004</v>
      </c>
      <c r="AB898" s="1">
        <v>3.1</v>
      </c>
      <c r="AE898" s="1">
        <v>0.38</v>
      </c>
      <c r="AF898" s="1">
        <v>0.23</v>
      </c>
      <c r="AI898" s="1">
        <v>7</v>
      </c>
      <c r="AJ898" s="1" t="s">
        <v>758</v>
      </c>
      <c r="AK898" s="1">
        <v>2.1</v>
      </c>
      <c r="AL898" s="1">
        <v>95.014200000000002</v>
      </c>
      <c r="AM898" s="1" t="s">
        <v>758</v>
      </c>
      <c r="AP898" s="1" t="s">
        <v>3944</v>
      </c>
      <c r="AR898" s="1">
        <v>21.49</v>
      </c>
      <c r="AT898" s="1">
        <v>20</v>
      </c>
    </row>
    <row r="899" spans="1:46">
      <c r="A899" s="1" t="s">
        <v>3945</v>
      </c>
      <c r="C899" s="1" t="s">
        <v>3945</v>
      </c>
      <c r="D899" s="1" t="s">
        <v>3946</v>
      </c>
      <c r="E899" s="1" t="s">
        <v>1466</v>
      </c>
      <c r="F899" s="1" t="s">
        <v>3937</v>
      </c>
      <c r="G899" s="1" t="s">
        <v>456</v>
      </c>
      <c r="H899" s="2" t="s">
        <v>3947</v>
      </c>
      <c r="I899" s="1">
        <v>76</v>
      </c>
      <c r="J899" s="1">
        <v>0.2</v>
      </c>
      <c r="K899" s="1" t="s">
        <v>3948</v>
      </c>
      <c r="L899" s="1" t="s">
        <v>65</v>
      </c>
      <c r="M899" s="1">
        <v>30.027000000000001</v>
      </c>
      <c r="N899" s="1">
        <v>45</v>
      </c>
      <c r="O899" s="1">
        <v>71.241140000000001</v>
      </c>
      <c r="P899" s="1">
        <v>-163.40528</v>
      </c>
      <c r="Q899" s="1">
        <v>4.4779</v>
      </c>
      <c r="R899" s="1">
        <v>31.898499999999999</v>
      </c>
      <c r="S899" s="1">
        <v>315.20699999999999</v>
      </c>
      <c r="W899" s="3">
        <v>1.3720000000000001</v>
      </c>
      <c r="X899" s="1" t="s">
        <v>762</v>
      </c>
      <c r="Y899" s="1">
        <v>0.98</v>
      </c>
      <c r="AA899" s="1">
        <v>0.54</v>
      </c>
      <c r="AB899" s="1">
        <v>2.92</v>
      </c>
      <c r="AE899" s="1">
        <v>0.38</v>
      </c>
      <c r="AF899" s="1">
        <v>1.2</v>
      </c>
      <c r="AI899" s="1">
        <v>5</v>
      </c>
      <c r="AJ899" s="1" t="s">
        <v>762</v>
      </c>
      <c r="AK899" s="1">
        <v>2.1</v>
      </c>
      <c r="AL899" s="1">
        <v>93.660300000000007</v>
      </c>
      <c r="AM899" s="1" t="s">
        <v>762</v>
      </c>
      <c r="AP899" s="1" t="s">
        <v>3949</v>
      </c>
      <c r="AR899" s="1">
        <v>21.49</v>
      </c>
      <c r="AT899" s="1">
        <v>30</v>
      </c>
    </row>
    <row r="900" spans="1:46">
      <c r="A900" s="1" t="s">
        <v>3950</v>
      </c>
      <c r="C900" s="1" t="s">
        <v>3950</v>
      </c>
      <c r="D900" s="1" t="s">
        <v>3951</v>
      </c>
      <c r="E900" s="1" t="s">
        <v>1466</v>
      </c>
      <c r="F900" s="1" t="s">
        <v>3937</v>
      </c>
      <c r="G900" s="1" t="s">
        <v>456</v>
      </c>
      <c r="H900" s="2" t="s">
        <v>3952</v>
      </c>
      <c r="I900" s="1">
        <v>76</v>
      </c>
      <c r="J900" s="1">
        <v>0.2</v>
      </c>
      <c r="K900" s="1" t="s">
        <v>78</v>
      </c>
      <c r="L900" s="1" t="s">
        <v>78</v>
      </c>
      <c r="M900" s="1">
        <v>40.234999999999999</v>
      </c>
      <c r="N900" s="1">
        <v>45</v>
      </c>
      <c r="O900" s="1">
        <v>71.241200000000006</v>
      </c>
      <c r="P900" s="1">
        <v>-163.40455</v>
      </c>
      <c r="Q900" s="1">
        <v>1.3287</v>
      </c>
      <c r="R900" s="1">
        <v>32.453000000000003</v>
      </c>
      <c r="S900" s="1">
        <v>260.697</v>
      </c>
      <c r="W900" s="3">
        <v>0.45400000000000001</v>
      </c>
      <c r="X900" s="1" t="s">
        <v>766</v>
      </c>
      <c r="Y900" s="1">
        <v>0.75</v>
      </c>
      <c r="AA900" s="1">
        <v>1.56</v>
      </c>
      <c r="AB900" s="1">
        <v>17.45</v>
      </c>
      <c r="AE900" s="1">
        <v>4.59</v>
      </c>
      <c r="AF900" s="1">
        <v>3.76</v>
      </c>
      <c r="AI900" s="1">
        <v>2</v>
      </c>
      <c r="AJ900" s="1" t="s">
        <v>3953</v>
      </c>
      <c r="AK900" s="1">
        <v>2.1</v>
      </c>
      <c r="AL900" s="1">
        <v>69.252700000000004</v>
      </c>
      <c r="AM900" s="1" t="s">
        <v>766</v>
      </c>
      <c r="AP900" s="1" t="s">
        <v>3954</v>
      </c>
      <c r="AQ900" s="1">
        <v>-1.02</v>
      </c>
      <c r="AR900" s="1">
        <v>21.49</v>
      </c>
      <c r="AS900" s="1" t="s">
        <v>3955</v>
      </c>
      <c r="AT900" s="1">
        <v>40</v>
      </c>
    </row>
    <row r="901" spans="1:46">
      <c r="A901" s="1" t="s">
        <v>3956</v>
      </c>
      <c r="C901" s="1" t="s">
        <v>3956</v>
      </c>
      <c r="D901" s="1" t="s">
        <v>3957</v>
      </c>
      <c r="E901" s="1" t="s">
        <v>1466</v>
      </c>
      <c r="F901" s="1" t="s">
        <v>2151</v>
      </c>
      <c r="G901" s="1" t="s">
        <v>456</v>
      </c>
      <c r="H901" s="2" t="s">
        <v>3958</v>
      </c>
      <c r="I901" s="1">
        <v>15</v>
      </c>
      <c r="J901" s="1">
        <v>0.2</v>
      </c>
      <c r="L901" s="1" t="s">
        <v>65</v>
      </c>
      <c r="M901" s="1">
        <v>10.172000000000001</v>
      </c>
      <c r="N901" s="1">
        <v>33</v>
      </c>
      <c r="O901" s="1">
        <v>70.087040000000002</v>
      </c>
      <c r="P901" s="1">
        <v>-163.96018000000001</v>
      </c>
      <c r="Q901" s="1">
        <v>9.8925999999999998</v>
      </c>
      <c r="R901" s="1">
        <v>30.557950000000002</v>
      </c>
      <c r="S901" s="1">
        <v>282.69299999999998</v>
      </c>
      <c r="W901" s="3">
        <v>1.03</v>
      </c>
      <c r="X901" s="1" t="s">
        <v>3959</v>
      </c>
      <c r="Y901" s="1">
        <v>1.38</v>
      </c>
      <c r="AA901" s="1">
        <v>0.45</v>
      </c>
      <c r="AB901" s="1">
        <v>4.5999999999999996</v>
      </c>
      <c r="AE901" s="1">
        <v>0.23</v>
      </c>
      <c r="AF901" s="1">
        <v>0.11</v>
      </c>
      <c r="AI901" s="1">
        <v>7</v>
      </c>
      <c r="AJ901" s="1" t="s">
        <v>3959</v>
      </c>
      <c r="AK901" s="1">
        <v>3</v>
      </c>
      <c r="AL901" s="1">
        <v>91.306799999999996</v>
      </c>
      <c r="AM901" s="1" t="s">
        <v>3959</v>
      </c>
      <c r="AP901" s="1" t="s">
        <v>3960</v>
      </c>
      <c r="AR901" s="1">
        <v>3.16</v>
      </c>
      <c r="AS901" s="1" t="s">
        <v>3961</v>
      </c>
      <c r="AT901" s="1">
        <v>10</v>
      </c>
    </row>
    <row r="902" spans="1:46">
      <c r="A902" s="1" t="s">
        <v>3962</v>
      </c>
      <c r="C902" s="1" t="s">
        <v>3962</v>
      </c>
      <c r="D902" s="1" t="s">
        <v>3963</v>
      </c>
      <c r="E902" s="1" t="s">
        <v>1466</v>
      </c>
      <c r="F902" s="1" t="s">
        <v>3964</v>
      </c>
      <c r="G902" s="1" t="s">
        <v>456</v>
      </c>
      <c r="H902" s="2" t="s">
        <v>3965</v>
      </c>
      <c r="I902" s="1">
        <v>24</v>
      </c>
      <c r="J902" s="1">
        <v>0.2</v>
      </c>
      <c r="K902" s="1" t="s">
        <v>52</v>
      </c>
      <c r="L902" s="1" t="s">
        <v>52</v>
      </c>
      <c r="M902" s="1">
        <v>4.726</v>
      </c>
      <c r="N902" s="1">
        <v>54</v>
      </c>
      <c r="O902" s="1">
        <v>71.192580000000007</v>
      </c>
      <c r="P902" s="1">
        <v>-160.26984999999999</v>
      </c>
      <c r="Q902" s="1">
        <v>5.05105</v>
      </c>
      <c r="R902" s="1">
        <v>31.073699999999999</v>
      </c>
      <c r="S902" s="1">
        <v>314.22050000000002</v>
      </c>
      <c r="W902" s="3">
        <v>0.214</v>
      </c>
      <c r="X902" s="1" t="s">
        <v>3277</v>
      </c>
      <c r="Y902" s="1">
        <v>0.17</v>
      </c>
      <c r="AA902" s="1">
        <v>0.53</v>
      </c>
      <c r="AB902" s="1">
        <v>1.87</v>
      </c>
      <c r="AE902" s="1">
        <v>1.1000000000000001</v>
      </c>
      <c r="AF902" s="1">
        <v>0.48</v>
      </c>
      <c r="AI902" s="1">
        <v>11</v>
      </c>
      <c r="AJ902" s="1" t="s">
        <v>3277</v>
      </c>
      <c r="AK902" s="1">
        <v>1.5</v>
      </c>
      <c r="AL902" s="1">
        <v>95.331800000000001</v>
      </c>
      <c r="AM902" s="1" t="s">
        <v>3277</v>
      </c>
      <c r="AP902" s="1" t="s">
        <v>3966</v>
      </c>
      <c r="AQ902" s="1">
        <v>-2.08</v>
      </c>
      <c r="AR902" s="1">
        <v>15.71</v>
      </c>
      <c r="AT902" s="1">
        <v>5</v>
      </c>
    </row>
    <row r="903" spans="1:46">
      <c r="A903" s="1" t="s">
        <v>3967</v>
      </c>
      <c r="C903" s="1" t="s">
        <v>3967</v>
      </c>
      <c r="D903" s="1" t="s">
        <v>3968</v>
      </c>
      <c r="E903" s="1" t="s">
        <v>1466</v>
      </c>
      <c r="F903" s="1" t="s">
        <v>3964</v>
      </c>
      <c r="G903" s="1" t="s">
        <v>456</v>
      </c>
      <c r="H903" s="2" t="s">
        <v>3969</v>
      </c>
      <c r="I903" s="1">
        <v>24</v>
      </c>
      <c r="J903" s="1">
        <v>0.2</v>
      </c>
      <c r="K903" s="1" t="s">
        <v>3970</v>
      </c>
      <c r="L903" s="1" t="s">
        <v>65</v>
      </c>
      <c r="M903" s="1">
        <v>30.338999999999999</v>
      </c>
      <c r="N903" s="1">
        <v>54</v>
      </c>
      <c r="O903" s="1">
        <v>71.193420000000003</v>
      </c>
      <c r="P903" s="1">
        <v>-160.27037999999999</v>
      </c>
      <c r="Q903" s="1">
        <v>1.1472</v>
      </c>
      <c r="R903" s="1">
        <v>31.940999999999999</v>
      </c>
      <c r="S903" s="1">
        <v>304.48950000000002</v>
      </c>
      <c r="W903" s="3">
        <v>0.51</v>
      </c>
      <c r="X903" s="1" t="s">
        <v>390</v>
      </c>
      <c r="Y903" s="1">
        <v>0.31</v>
      </c>
      <c r="AA903" s="1">
        <v>1.0900000000000001</v>
      </c>
      <c r="AB903" s="1">
        <v>7.84</v>
      </c>
      <c r="AE903" s="1">
        <v>1.32</v>
      </c>
      <c r="AF903" s="1">
        <v>2.2000000000000002</v>
      </c>
      <c r="AI903" s="1">
        <v>6</v>
      </c>
      <c r="AJ903" s="1" t="s">
        <v>388</v>
      </c>
      <c r="AK903" s="1">
        <v>1.5</v>
      </c>
      <c r="AL903" s="1">
        <v>95.263599999999997</v>
      </c>
      <c r="AM903" s="1" t="s">
        <v>390</v>
      </c>
      <c r="AP903" s="1" t="s">
        <v>3971</v>
      </c>
      <c r="AR903" s="1">
        <v>15.71</v>
      </c>
      <c r="AS903" s="1" t="s">
        <v>3972</v>
      </c>
      <c r="AT903" s="1">
        <v>30</v>
      </c>
    </row>
    <row r="904" spans="1:46">
      <c r="A904" s="1" t="s">
        <v>3973</v>
      </c>
      <c r="C904" s="1" t="s">
        <v>3973</v>
      </c>
      <c r="D904" s="1" t="s">
        <v>3974</v>
      </c>
      <c r="E904" s="1" t="s">
        <v>1466</v>
      </c>
      <c r="F904" s="1" t="s">
        <v>3964</v>
      </c>
      <c r="G904" s="1" t="s">
        <v>456</v>
      </c>
      <c r="H904" s="2" t="s">
        <v>3975</v>
      </c>
      <c r="I904" s="1">
        <v>24</v>
      </c>
      <c r="J904" s="1">
        <v>0.2</v>
      </c>
      <c r="K904" s="1" t="s">
        <v>78</v>
      </c>
      <c r="L904" s="1" t="s">
        <v>78</v>
      </c>
      <c r="M904" s="1">
        <v>48.898000000000003</v>
      </c>
      <c r="N904" s="1">
        <v>54</v>
      </c>
      <c r="O904" s="1">
        <v>71.193799999999996</v>
      </c>
      <c r="P904" s="1">
        <v>-160.27036000000001</v>
      </c>
      <c r="Q904" s="1">
        <v>0.37035000000000001</v>
      </c>
      <c r="R904" s="1">
        <v>32.302599999999998</v>
      </c>
      <c r="S904" s="1">
        <v>258.14350000000002</v>
      </c>
      <c r="W904" s="3">
        <v>0.30199999999999999</v>
      </c>
      <c r="X904" s="1" t="s">
        <v>400</v>
      </c>
      <c r="Y904" s="1">
        <v>0.35</v>
      </c>
      <c r="AA904" s="1">
        <v>1.63</v>
      </c>
      <c r="AB904" s="1">
        <v>21.41</v>
      </c>
      <c r="AE904" s="1">
        <v>3.38</v>
      </c>
      <c r="AF904" s="1">
        <v>4.07</v>
      </c>
      <c r="AI904" s="1">
        <v>1</v>
      </c>
      <c r="AJ904" s="1" t="s">
        <v>400</v>
      </c>
      <c r="AK904" s="1">
        <v>1.5</v>
      </c>
      <c r="AL904" s="1">
        <v>64.417100000000005</v>
      </c>
      <c r="AM904" s="1" t="s">
        <v>400</v>
      </c>
      <c r="AP904" s="1" t="s">
        <v>3976</v>
      </c>
      <c r="AQ904" s="1">
        <v>-1.5</v>
      </c>
      <c r="AR904" s="1">
        <v>15.71</v>
      </c>
      <c r="AS904" s="1" t="s">
        <v>3977</v>
      </c>
      <c r="AT904" s="1">
        <v>48</v>
      </c>
    </row>
    <row r="905" spans="1:46">
      <c r="A905" s="1" t="s">
        <v>3978</v>
      </c>
      <c r="C905" s="1" t="s">
        <v>3978</v>
      </c>
      <c r="D905" s="1" t="s">
        <v>3979</v>
      </c>
      <c r="E905" s="1" t="s">
        <v>1466</v>
      </c>
      <c r="F905" s="1" t="s">
        <v>3980</v>
      </c>
      <c r="G905" s="1" t="s">
        <v>456</v>
      </c>
      <c r="H905" s="2" t="s">
        <v>3981</v>
      </c>
      <c r="I905" s="1">
        <v>25</v>
      </c>
      <c r="J905" s="1">
        <v>0.2</v>
      </c>
      <c r="K905" s="1" t="s">
        <v>52</v>
      </c>
      <c r="L905" s="1" t="s">
        <v>52</v>
      </c>
      <c r="M905" s="1">
        <v>4.657</v>
      </c>
      <c r="N905" s="1">
        <v>51</v>
      </c>
      <c r="O905" s="1">
        <v>71.360140000000001</v>
      </c>
      <c r="P905" s="1">
        <v>-159.6953</v>
      </c>
      <c r="Q905" s="1">
        <v>3.83995</v>
      </c>
      <c r="R905" s="1">
        <v>30.417950000000001</v>
      </c>
      <c r="S905" s="1">
        <v>329.28149999999999</v>
      </c>
      <c r="W905" s="3">
        <v>0.185</v>
      </c>
      <c r="X905" s="1" t="s">
        <v>1803</v>
      </c>
      <c r="Y905" s="1">
        <v>0.22</v>
      </c>
      <c r="AA905" s="1">
        <v>0.63</v>
      </c>
      <c r="AB905" s="1">
        <v>3.49</v>
      </c>
      <c r="AE905" s="1">
        <v>0.71</v>
      </c>
      <c r="AF905" s="1">
        <v>0.81</v>
      </c>
      <c r="AI905" s="1">
        <v>12</v>
      </c>
      <c r="AJ905" s="1" t="s">
        <v>3982</v>
      </c>
      <c r="AK905" s="1">
        <v>3</v>
      </c>
      <c r="AL905" s="1">
        <v>95.434200000000004</v>
      </c>
      <c r="AM905" s="1" t="s">
        <v>1803</v>
      </c>
      <c r="AP905" s="1" t="s">
        <v>3983</v>
      </c>
      <c r="AQ905" s="1">
        <v>-2.0699999999999998</v>
      </c>
      <c r="AR905" s="1">
        <v>11.23</v>
      </c>
      <c r="AT905" s="1">
        <v>5</v>
      </c>
    </row>
    <row r="906" spans="1:46">
      <c r="A906" s="1" t="s">
        <v>3984</v>
      </c>
      <c r="C906" s="1" t="s">
        <v>3984</v>
      </c>
      <c r="D906" s="1" t="s">
        <v>3985</v>
      </c>
      <c r="E906" s="1" t="s">
        <v>1466</v>
      </c>
      <c r="F906" s="1" t="s">
        <v>3980</v>
      </c>
      <c r="G906" s="1" t="s">
        <v>456</v>
      </c>
      <c r="H906" s="2" t="s">
        <v>3986</v>
      </c>
      <c r="I906" s="1">
        <v>25</v>
      </c>
      <c r="J906" s="1">
        <v>0.2</v>
      </c>
      <c r="L906" s="1" t="s">
        <v>65</v>
      </c>
      <c r="M906" s="1">
        <v>10.535</v>
      </c>
      <c r="N906" s="1">
        <v>51</v>
      </c>
      <c r="O906" s="1">
        <v>71.360299999999995</v>
      </c>
      <c r="P906" s="1">
        <v>-159.69489999999999</v>
      </c>
      <c r="Q906" s="1">
        <v>3.8484500000000001</v>
      </c>
      <c r="R906" s="1">
        <v>30.42155</v>
      </c>
      <c r="S906" s="1">
        <v>328.8485</v>
      </c>
      <c r="W906" s="3">
        <v>0.217</v>
      </c>
      <c r="X906" s="1" t="s">
        <v>1808</v>
      </c>
      <c r="Y906" s="1">
        <v>0.18</v>
      </c>
      <c r="AA906" s="1">
        <v>0.51</v>
      </c>
      <c r="AB906" s="1">
        <v>2.52</v>
      </c>
      <c r="AE906" s="1">
        <v>0.33</v>
      </c>
      <c r="AF906" s="1">
        <v>0.48</v>
      </c>
      <c r="AI906" s="1">
        <v>9</v>
      </c>
      <c r="AJ906" s="1" t="s">
        <v>1808</v>
      </c>
      <c r="AK906" s="1">
        <v>3</v>
      </c>
      <c r="AL906" s="1">
        <v>95.4649</v>
      </c>
      <c r="AM906" s="1" t="s">
        <v>1808</v>
      </c>
      <c r="AP906" s="1" t="s">
        <v>3987</v>
      </c>
      <c r="AR906" s="1">
        <v>11.23</v>
      </c>
      <c r="AT906" s="1">
        <v>10</v>
      </c>
    </row>
    <row r="907" spans="1:46">
      <c r="A907" s="1" t="s">
        <v>3988</v>
      </c>
      <c r="C907" s="1" t="s">
        <v>3988</v>
      </c>
      <c r="D907" s="1" t="s">
        <v>3989</v>
      </c>
      <c r="E907" s="1" t="s">
        <v>1466</v>
      </c>
      <c r="F907" s="1" t="s">
        <v>3980</v>
      </c>
      <c r="G907" s="1" t="s">
        <v>456</v>
      </c>
      <c r="H907" s="2" t="s">
        <v>3990</v>
      </c>
      <c r="I907" s="1">
        <v>25</v>
      </c>
      <c r="J907" s="1">
        <v>0.2</v>
      </c>
      <c r="L907" s="1" t="s">
        <v>65</v>
      </c>
      <c r="M907" s="1">
        <v>20.132999999999999</v>
      </c>
      <c r="N907" s="1">
        <v>51</v>
      </c>
      <c r="O907" s="1">
        <v>71.360479999999995</v>
      </c>
      <c r="P907" s="1">
        <v>-159.69452000000001</v>
      </c>
      <c r="Q907" s="1">
        <v>1.9307000000000001</v>
      </c>
      <c r="R907" s="1">
        <v>30.901450000000001</v>
      </c>
      <c r="S907" s="1">
        <v>391.18650000000002</v>
      </c>
      <c r="W907" s="3">
        <v>0.20599999999999999</v>
      </c>
      <c r="X907" s="1" t="s">
        <v>1236</v>
      </c>
      <c r="Y907" s="1">
        <v>0.19</v>
      </c>
      <c r="AA907" s="1">
        <v>0.56000000000000005</v>
      </c>
      <c r="AB907" s="1">
        <v>3.18</v>
      </c>
      <c r="AE907" s="1">
        <v>0.34</v>
      </c>
      <c r="AF907" s="1">
        <v>0.25</v>
      </c>
      <c r="AI907" s="1">
        <v>7</v>
      </c>
      <c r="AJ907" s="1" t="s">
        <v>1236</v>
      </c>
      <c r="AK907" s="1">
        <v>3</v>
      </c>
      <c r="AL907" s="1">
        <v>95.783000000000001</v>
      </c>
      <c r="AM907" s="1" t="s">
        <v>1236</v>
      </c>
      <c r="AP907" s="1" t="s">
        <v>3991</v>
      </c>
      <c r="AR907" s="1">
        <v>11.23</v>
      </c>
      <c r="AT907" s="1">
        <v>20</v>
      </c>
    </row>
    <row r="908" spans="1:46">
      <c r="A908" s="1" t="s">
        <v>3992</v>
      </c>
      <c r="C908" s="1" t="s">
        <v>3992</v>
      </c>
      <c r="D908" s="1" t="s">
        <v>3993</v>
      </c>
      <c r="E908" s="1" t="s">
        <v>1466</v>
      </c>
      <c r="F908" s="1" t="s">
        <v>3980</v>
      </c>
      <c r="G908" s="1" t="s">
        <v>456</v>
      </c>
      <c r="H908" s="2" t="s">
        <v>3994</v>
      </c>
      <c r="I908" s="1">
        <v>25</v>
      </c>
      <c r="J908" s="1">
        <v>0.2</v>
      </c>
      <c r="L908" s="1" t="s">
        <v>78</v>
      </c>
      <c r="M908" s="1">
        <v>41.274000000000001</v>
      </c>
      <c r="N908" s="1">
        <v>51</v>
      </c>
      <c r="O908" s="1">
        <v>71.360780000000005</v>
      </c>
      <c r="P908" s="1">
        <v>-159.69414</v>
      </c>
      <c r="Q908" s="1">
        <v>0.14035</v>
      </c>
      <c r="R908" s="1">
        <v>32.318150000000003</v>
      </c>
      <c r="S908" s="1">
        <v>270.76150000000001</v>
      </c>
      <c r="W908" s="3">
        <v>0.51700000000000002</v>
      </c>
      <c r="X908" s="1" t="s">
        <v>1247</v>
      </c>
      <c r="Y908" s="1">
        <v>0.43</v>
      </c>
      <c r="AA908" s="1">
        <v>1.4</v>
      </c>
      <c r="AB908" s="1">
        <v>10.57</v>
      </c>
      <c r="AE908" s="1">
        <v>2.82</v>
      </c>
      <c r="AF908" s="1">
        <v>3.75</v>
      </c>
      <c r="AI908" s="1">
        <v>3</v>
      </c>
      <c r="AJ908" s="1" t="s">
        <v>1247</v>
      </c>
      <c r="AK908" s="1">
        <v>3</v>
      </c>
      <c r="AL908" s="1">
        <v>66.773899999999998</v>
      </c>
      <c r="AM908" s="1" t="s">
        <v>1247</v>
      </c>
      <c r="AP908" s="1" t="s">
        <v>3995</v>
      </c>
      <c r="AR908" s="1">
        <v>11.23</v>
      </c>
      <c r="AS908" s="1" t="s">
        <v>3996</v>
      </c>
      <c r="AT908" s="1">
        <v>40</v>
      </c>
    </row>
    <row r="909" spans="1:46">
      <c r="A909" s="1" t="s">
        <v>3997</v>
      </c>
      <c r="C909" s="1" t="s">
        <v>3997</v>
      </c>
      <c r="D909" s="1" t="s">
        <v>3998</v>
      </c>
      <c r="E909" s="1" t="s">
        <v>1466</v>
      </c>
      <c r="F909" s="1" t="s">
        <v>3980</v>
      </c>
      <c r="G909" s="1" t="s">
        <v>456</v>
      </c>
      <c r="H909" s="2" t="s">
        <v>3999</v>
      </c>
      <c r="I909" s="1">
        <v>25</v>
      </c>
      <c r="J909" s="1">
        <v>0.2</v>
      </c>
      <c r="K909" s="1" t="s">
        <v>78</v>
      </c>
      <c r="L909" s="1" t="s">
        <v>78</v>
      </c>
      <c r="M909" s="1">
        <v>46.738999999999997</v>
      </c>
      <c r="N909" s="1">
        <v>51</v>
      </c>
      <c r="O909" s="1">
        <v>71.360939999999999</v>
      </c>
      <c r="P909" s="1">
        <v>-159.69385</v>
      </c>
      <c r="Q909" s="1">
        <v>0.14244999999999999</v>
      </c>
      <c r="R909" s="1">
        <v>32.319800000000001</v>
      </c>
      <c r="S909" s="1">
        <v>270.7525</v>
      </c>
      <c r="W909" s="3">
        <v>0.41099999999999998</v>
      </c>
      <c r="X909" s="1" t="s">
        <v>1251</v>
      </c>
      <c r="Y909" s="1">
        <v>0.51</v>
      </c>
      <c r="AA909" s="1">
        <v>1.43</v>
      </c>
      <c r="AB909" s="1">
        <v>10.84</v>
      </c>
      <c r="AE909" s="1">
        <v>2.71</v>
      </c>
      <c r="AF909" s="1">
        <v>3.93</v>
      </c>
      <c r="AI909" s="1">
        <v>1</v>
      </c>
      <c r="AJ909" s="1" t="s">
        <v>1251</v>
      </c>
      <c r="AK909" s="1">
        <v>1</v>
      </c>
      <c r="AL909" s="1">
        <v>61.731699999999996</v>
      </c>
      <c r="AM909" s="1" t="s">
        <v>1251</v>
      </c>
      <c r="AP909" s="1" t="s">
        <v>4000</v>
      </c>
      <c r="AQ909" s="1">
        <v>-1.47</v>
      </c>
      <c r="AR909" s="1">
        <v>11.23</v>
      </c>
      <c r="AS909" s="1" t="s">
        <v>4001</v>
      </c>
      <c r="AT909" s="1">
        <v>48</v>
      </c>
    </row>
    <row r="910" spans="1:46">
      <c r="A910" s="1" t="s">
        <v>4002</v>
      </c>
      <c r="C910" s="1" t="s">
        <v>4002</v>
      </c>
      <c r="D910" s="1" t="s">
        <v>4003</v>
      </c>
      <c r="E910" s="1" t="s">
        <v>1466</v>
      </c>
      <c r="F910" s="1" t="s">
        <v>4004</v>
      </c>
      <c r="G910" s="1" t="s">
        <v>456</v>
      </c>
      <c r="H910" s="2" t="s">
        <v>4005</v>
      </c>
      <c r="I910" s="1">
        <v>16</v>
      </c>
      <c r="J910" s="1">
        <v>0.2</v>
      </c>
      <c r="K910" s="1" t="s">
        <v>52</v>
      </c>
      <c r="L910" s="1" t="s">
        <v>52</v>
      </c>
      <c r="M910" s="1">
        <v>5.2030000000000003</v>
      </c>
      <c r="N910" s="1">
        <v>32</v>
      </c>
      <c r="O910" s="1">
        <v>70.26782</v>
      </c>
      <c r="P910" s="1">
        <v>-163.40315000000001</v>
      </c>
      <c r="Q910" s="1">
        <v>9.7062500000000007</v>
      </c>
      <c r="R910" s="1">
        <v>30.4358</v>
      </c>
      <c r="S910" s="1">
        <v>284.25299999999999</v>
      </c>
      <c r="W910" s="3">
        <v>0.56899999999999995</v>
      </c>
      <c r="X910" s="1" t="s">
        <v>3003</v>
      </c>
      <c r="Y910" s="1">
        <v>1.31</v>
      </c>
      <c r="AA910" s="1">
        <v>0.44</v>
      </c>
      <c r="AB910" s="1">
        <v>4.0999999999999996</v>
      </c>
      <c r="AE910" s="1">
        <v>0.14000000000000001</v>
      </c>
      <c r="AF910" s="1">
        <v>0.08</v>
      </c>
      <c r="AI910" s="1">
        <v>7</v>
      </c>
      <c r="AJ910" s="1" t="s">
        <v>3003</v>
      </c>
      <c r="AK910" s="1">
        <v>1</v>
      </c>
      <c r="AL910" s="1">
        <v>91.054699999999997</v>
      </c>
      <c r="AM910" s="1" t="s">
        <v>3003</v>
      </c>
      <c r="AP910" s="1" t="s">
        <v>4006</v>
      </c>
      <c r="AQ910" s="1">
        <v>-2.02</v>
      </c>
      <c r="AR910" s="1">
        <v>9.58</v>
      </c>
      <c r="AT910" s="1">
        <v>5</v>
      </c>
    </row>
    <row r="911" spans="1:46">
      <c r="A911" s="1" t="s">
        <v>4007</v>
      </c>
      <c r="C911" s="1" t="s">
        <v>4007</v>
      </c>
      <c r="D911" s="1" t="s">
        <v>4008</v>
      </c>
      <c r="E911" s="1" t="s">
        <v>1466</v>
      </c>
      <c r="F911" s="1" t="s">
        <v>4004</v>
      </c>
      <c r="G911" s="1" t="s">
        <v>456</v>
      </c>
      <c r="H911" s="2" t="s">
        <v>4009</v>
      </c>
      <c r="I911" s="1">
        <v>16</v>
      </c>
      <c r="J911" s="1">
        <v>0.2</v>
      </c>
      <c r="L911" s="1" t="s">
        <v>65</v>
      </c>
      <c r="M911" s="1">
        <v>12.117000000000001</v>
      </c>
      <c r="N911" s="1">
        <v>32</v>
      </c>
      <c r="O911" s="1">
        <v>70.267669999999995</v>
      </c>
      <c r="P911" s="1">
        <v>-163.40431000000001</v>
      </c>
      <c r="Q911" s="1">
        <v>9.6408500000000004</v>
      </c>
      <c r="R911" s="1">
        <v>30.5289</v>
      </c>
      <c r="S911" s="1">
        <v>280.9855</v>
      </c>
      <c r="W911" s="3">
        <v>1.135</v>
      </c>
      <c r="X911" s="1" t="s">
        <v>3014</v>
      </c>
      <c r="Y911" s="1">
        <v>1.78</v>
      </c>
      <c r="AA911" s="1">
        <v>0.43</v>
      </c>
      <c r="AB911" s="1">
        <v>3.99</v>
      </c>
      <c r="AE911" s="1">
        <v>0.28999999999999998</v>
      </c>
      <c r="AF911" s="1">
        <v>0.43</v>
      </c>
      <c r="AI911" s="1">
        <v>5</v>
      </c>
      <c r="AJ911" s="1" t="s">
        <v>3014</v>
      </c>
      <c r="AK911" s="1">
        <v>1</v>
      </c>
      <c r="AL911" s="1">
        <v>90.806899999999999</v>
      </c>
      <c r="AM911" s="1" t="s">
        <v>3014</v>
      </c>
      <c r="AP911" s="1" t="s">
        <v>4010</v>
      </c>
      <c r="AR911" s="1">
        <v>9.58</v>
      </c>
      <c r="AT911" s="1">
        <v>11</v>
      </c>
    </row>
    <row r="912" spans="1:46">
      <c r="A912" s="1" t="s">
        <v>4011</v>
      </c>
      <c r="C912" s="1" t="s">
        <v>4011</v>
      </c>
      <c r="D912" s="1" t="s">
        <v>4012</v>
      </c>
      <c r="E912" s="1" t="s">
        <v>1466</v>
      </c>
      <c r="F912" s="1" t="s">
        <v>4004</v>
      </c>
      <c r="G912" s="1" t="s">
        <v>456</v>
      </c>
      <c r="H912" s="2" t="s">
        <v>4013</v>
      </c>
      <c r="I912" s="1">
        <v>16</v>
      </c>
      <c r="J912" s="1">
        <v>0.2</v>
      </c>
      <c r="L912" s="1" t="s">
        <v>65</v>
      </c>
      <c r="M912" s="1">
        <v>19.581</v>
      </c>
      <c r="N912" s="1">
        <v>32</v>
      </c>
      <c r="O912" s="1">
        <v>70.267539999999997</v>
      </c>
      <c r="P912" s="1">
        <v>-163.40571</v>
      </c>
      <c r="Q912" s="1">
        <v>8.1043500000000002</v>
      </c>
      <c r="R912" s="1">
        <v>30.7026</v>
      </c>
      <c r="S912" s="1">
        <v>261.76900000000001</v>
      </c>
      <c r="W912" s="3">
        <v>1.4550000000000001</v>
      </c>
      <c r="X912" s="1" t="s">
        <v>3026</v>
      </c>
      <c r="Y912" s="1">
        <v>2.34</v>
      </c>
      <c r="AA912" s="1">
        <v>0.49</v>
      </c>
      <c r="AB912" s="1">
        <v>4.72</v>
      </c>
      <c r="AE912" s="1">
        <v>0.14000000000000001</v>
      </c>
      <c r="AF912" s="1">
        <v>0.26</v>
      </c>
      <c r="AI912" s="1">
        <v>3</v>
      </c>
      <c r="AJ912" s="1" t="s">
        <v>3026</v>
      </c>
      <c r="AK912" s="1">
        <v>1</v>
      </c>
      <c r="AL912" s="1">
        <v>90.002099999999999</v>
      </c>
      <c r="AM912" s="1" t="s">
        <v>3026</v>
      </c>
      <c r="AP912" s="1" t="s">
        <v>4014</v>
      </c>
      <c r="AR912" s="1">
        <v>9.58</v>
      </c>
      <c r="AT912" s="1">
        <v>20</v>
      </c>
    </row>
    <row r="913" spans="1:46">
      <c r="A913" s="1" t="s">
        <v>4015</v>
      </c>
      <c r="C913" s="1" t="s">
        <v>4015</v>
      </c>
      <c r="D913" s="1" t="s">
        <v>4016</v>
      </c>
      <c r="E913" s="1" t="s">
        <v>1466</v>
      </c>
      <c r="F913" s="1" t="s">
        <v>4004</v>
      </c>
      <c r="G913" s="1" t="s">
        <v>456</v>
      </c>
      <c r="H913" s="2" t="s">
        <v>4017</v>
      </c>
      <c r="I913" s="1">
        <v>16</v>
      </c>
      <c r="J913" s="1">
        <v>0.2</v>
      </c>
      <c r="K913" s="1" t="s">
        <v>78</v>
      </c>
      <c r="L913" s="1" t="s">
        <v>78</v>
      </c>
      <c r="M913" s="1">
        <v>26.957999999999998</v>
      </c>
      <c r="N913" s="1">
        <v>32</v>
      </c>
      <c r="O913" s="1">
        <v>70.267499999999998</v>
      </c>
      <c r="P913" s="1">
        <v>-163.40696</v>
      </c>
      <c r="Q913" s="1">
        <v>3.9058000000000002</v>
      </c>
      <c r="R913" s="1">
        <v>31.081399999999999</v>
      </c>
      <c r="S913" s="1">
        <v>243.07599999999999</v>
      </c>
      <c r="W913" s="3">
        <v>0.47299999999999998</v>
      </c>
      <c r="X913" s="1" t="s">
        <v>4018</v>
      </c>
      <c r="Y913" s="1">
        <v>0.89</v>
      </c>
      <c r="AA913" s="1">
        <v>1.1200000000000001</v>
      </c>
      <c r="AB913" s="1">
        <v>18.23</v>
      </c>
      <c r="AE913" s="1">
        <v>2.82</v>
      </c>
      <c r="AF913" s="1">
        <v>1.57</v>
      </c>
      <c r="AI913" s="1">
        <v>2</v>
      </c>
      <c r="AJ913" s="1" t="s">
        <v>4019</v>
      </c>
      <c r="AK913" s="1">
        <v>1</v>
      </c>
      <c r="AL913" s="1">
        <v>82.8489</v>
      </c>
      <c r="AM913" s="1" t="s">
        <v>4018</v>
      </c>
      <c r="AP913" s="1" t="s">
        <v>4020</v>
      </c>
      <c r="AQ913" s="1">
        <v>-1.76</v>
      </c>
      <c r="AR913" s="1">
        <v>9.58</v>
      </c>
      <c r="AS913" s="1" t="s">
        <v>4021</v>
      </c>
      <c r="AT913" s="1">
        <v>27</v>
      </c>
    </row>
    <row r="914" spans="1:46">
      <c r="A914" s="1" t="s">
        <v>4022</v>
      </c>
      <c r="C914" s="1" t="s">
        <v>4022</v>
      </c>
      <c r="D914" s="1" t="s">
        <v>4023</v>
      </c>
      <c r="E914" s="1" t="s">
        <v>1466</v>
      </c>
      <c r="F914" s="1" t="s">
        <v>4024</v>
      </c>
      <c r="G914" s="1" t="s">
        <v>456</v>
      </c>
      <c r="H914" s="2" t="s">
        <v>4025</v>
      </c>
      <c r="I914" s="1">
        <v>17</v>
      </c>
      <c r="J914" s="1">
        <v>0.2</v>
      </c>
      <c r="K914" s="1" t="s">
        <v>52</v>
      </c>
      <c r="L914" s="1" t="s">
        <v>52</v>
      </c>
      <c r="M914" s="1">
        <v>6.1840000000000002</v>
      </c>
      <c r="N914" s="1">
        <v>33</v>
      </c>
      <c r="O914" s="1">
        <v>70.389340000000004</v>
      </c>
      <c r="P914" s="1">
        <v>-163.01937000000001</v>
      </c>
      <c r="Q914" s="1">
        <v>9.468</v>
      </c>
      <c r="R914" s="1">
        <v>30.89425</v>
      </c>
      <c r="S914" s="1">
        <v>285.72399999999999</v>
      </c>
      <c r="W914" s="3">
        <v>1.1100000000000001</v>
      </c>
      <c r="X914" s="1" t="s">
        <v>4026</v>
      </c>
      <c r="Y914" s="1">
        <v>1.43</v>
      </c>
      <c r="AA914" s="1">
        <v>0.42</v>
      </c>
      <c r="AB914" s="1">
        <v>3.79</v>
      </c>
      <c r="AE914" s="1">
        <v>0.28999999999999998</v>
      </c>
      <c r="AF914" s="1">
        <v>0.3</v>
      </c>
      <c r="AI914" s="1">
        <v>10</v>
      </c>
      <c r="AJ914" s="1" t="s">
        <v>4027</v>
      </c>
      <c r="AK914" s="1">
        <v>1.3</v>
      </c>
      <c r="AL914" s="1">
        <v>90.041200000000003</v>
      </c>
      <c r="AM914" s="1" t="s">
        <v>4026</v>
      </c>
      <c r="AP914" s="1" t="s">
        <v>4028</v>
      </c>
      <c r="AQ914" s="1">
        <v>-1.89</v>
      </c>
      <c r="AR914" s="1">
        <v>3.35</v>
      </c>
      <c r="AT914" s="1">
        <v>6</v>
      </c>
    </row>
    <row r="915" spans="1:46">
      <c r="A915" s="1" t="s">
        <v>4029</v>
      </c>
      <c r="C915" s="1" t="s">
        <v>4029</v>
      </c>
      <c r="D915" s="1" t="s">
        <v>4030</v>
      </c>
      <c r="E915" s="1" t="s">
        <v>1466</v>
      </c>
      <c r="F915" s="1" t="s">
        <v>4024</v>
      </c>
      <c r="G915" s="1" t="s">
        <v>456</v>
      </c>
      <c r="H915" s="2" t="s">
        <v>4031</v>
      </c>
      <c r="I915" s="1">
        <v>17</v>
      </c>
      <c r="J915" s="1">
        <v>0.2</v>
      </c>
      <c r="L915" s="1" t="s">
        <v>65</v>
      </c>
      <c r="M915" s="1">
        <v>20.459</v>
      </c>
      <c r="N915" s="1">
        <v>33</v>
      </c>
      <c r="O915" s="1">
        <v>70.389480000000006</v>
      </c>
      <c r="P915" s="1">
        <v>-163.02173999999999</v>
      </c>
      <c r="Q915" s="1">
        <v>8.3383000000000003</v>
      </c>
      <c r="R915" s="1">
        <v>30.914249999999999</v>
      </c>
      <c r="S915" s="1">
        <v>278.89400000000001</v>
      </c>
      <c r="W915" s="3">
        <v>1.681</v>
      </c>
      <c r="X915" s="1" t="s">
        <v>4032</v>
      </c>
      <c r="Y915" s="1">
        <v>2</v>
      </c>
      <c r="AA915" s="1">
        <v>0.54</v>
      </c>
      <c r="AB915" s="1">
        <v>5.32</v>
      </c>
      <c r="AE915" s="1">
        <v>0.37</v>
      </c>
      <c r="AF915" s="1">
        <v>0.44</v>
      </c>
      <c r="AI915" s="1">
        <v>5</v>
      </c>
      <c r="AJ915" s="1" t="s">
        <v>4032</v>
      </c>
      <c r="AK915" s="1">
        <v>1.3</v>
      </c>
      <c r="AL915" s="1">
        <v>89.742699999999999</v>
      </c>
      <c r="AM915" s="1" t="s">
        <v>4032</v>
      </c>
      <c r="AP915" s="1" t="s">
        <v>4033</v>
      </c>
      <c r="AR915" s="1">
        <v>3.35</v>
      </c>
      <c r="AT915" s="1">
        <v>20</v>
      </c>
    </row>
    <row r="916" spans="1:46">
      <c r="A916" s="1" t="s">
        <v>4034</v>
      </c>
      <c r="C916" s="1" t="s">
        <v>4034</v>
      </c>
      <c r="D916" s="1" t="s">
        <v>4035</v>
      </c>
      <c r="E916" s="1" t="s">
        <v>1466</v>
      </c>
      <c r="F916" s="1" t="s">
        <v>4024</v>
      </c>
      <c r="G916" s="1" t="s">
        <v>456</v>
      </c>
      <c r="H916" s="2" t="s">
        <v>4036</v>
      </c>
      <c r="I916" s="1">
        <v>17</v>
      </c>
      <c r="J916" s="1">
        <v>0.2</v>
      </c>
      <c r="K916" s="1" t="s">
        <v>1488</v>
      </c>
      <c r="L916" s="1" t="s">
        <v>78</v>
      </c>
      <c r="M916" s="1">
        <v>25.135000000000002</v>
      </c>
      <c r="N916" s="1">
        <v>33</v>
      </c>
      <c r="O916" s="1">
        <v>70.389359999999996</v>
      </c>
      <c r="P916" s="1">
        <v>-163.02233000000001</v>
      </c>
      <c r="Q916" s="1">
        <v>4.4316000000000004</v>
      </c>
      <c r="R916" s="1">
        <v>31.321449999999999</v>
      </c>
      <c r="S916" s="1">
        <v>258.76049999999998</v>
      </c>
      <c r="W916" s="3">
        <v>0.63300000000000001</v>
      </c>
      <c r="X916" s="1" t="s">
        <v>4037</v>
      </c>
      <c r="Y916" s="1">
        <v>1.06</v>
      </c>
      <c r="AA916" s="1">
        <v>0.96</v>
      </c>
      <c r="AB916" s="1">
        <v>15.66</v>
      </c>
      <c r="AE916" s="1">
        <v>2.02</v>
      </c>
      <c r="AF916" s="1">
        <v>1.39</v>
      </c>
      <c r="AI916" s="1">
        <v>3</v>
      </c>
      <c r="AJ916" s="1" t="s">
        <v>4038</v>
      </c>
      <c r="AK916" s="1">
        <v>1.3</v>
      </c>
      <c r="AL916" s="1">
        <v>86.658299999999997</v>
      </c>
      <c r="AM916" s="1" t="s">
        <v>4037</v>
      </c>
      <c r="AP916" s="1" t="s">
        <v>4039</v>
      </c>
      <c r="AQ916" s="1">
        <v>-1.8</v>
      </c>
      <c r="AR916" s="1">
        <v>3.35</v>
      </c>
      <c r="AT916" s="1">
        <v>24</v>
      </c>
    </row>
    <row r="917" spans="1:46">
      <c r="A917" s="1" t="s">
        <v>4040</v>
      </c>
      <c r="C917" s="1" t="s">
        <v>4040</v>
      </c>
      <c r="D917" s="1" t="s">
        <v>4041</v>
      </c>
      <c r="E917" s="1" t="s">
        <v>1466</v>
      </c>
      <c r="F917" s="1" t="s">
        <v>4024</v>
      </c>
      <c r="G917" s="1" t="s">
        <v>456</v>
      </c>
      <c r="H917" s="2" t="s">
        <v>4042</v>
      </c>
      <c r="I917" s="1">
        <v>17</v>
      </c>
      <c r="J917" s="1">
        <v>0.2</v>
      </c>
      <c r="K917" s="1" t="s">
        <v>78</v>
      </c>
      <c r="L917" s="1" t="s">
        <v>78</v>
      </c>
      <c r="M917" s="1">
        <v>27.515000000000001</v>
      </c>
      <c r="N917" s="1">
        <v>33</v>
      </c>
      <c r="O917" s="1">
        <v>70.389259999999993</v>
      </c>
      <c r="P917" s="1">
        <v>-163.02379999999999</v>
      </c>
      <c r="Q917" s="1">
        <v>4.3874000000000004</v>
      </c>
      <c r="R917" s="1">
        <v>31.3262</v>
      </c>
      <c r="S917" s="1">
        <v>258.44600000000003</v>
      </c>
      <c r="W917" s="3">
        <v>0.63100000000000001</v>
      </c>
      <c r="X917" s="1" t="s">
        <v>4037</v>
      </c>
      <c r="Y917" s="1">
        <v>1.06</v>
      </c>
      <c r="AA917" s="1">
        <v>0.96</v>
      </c>
      <c r="AB917" s="1">
        <v>15.66</v>
      </c>
      <c r="AE917" s="1">
        <v>2.02</v>
      </c>
      <c r="AF917" s="1">
        <v>1.39</v>
      </c>
      <c r="AI917" s="1">
        <v>1</v>
      </c>
      <c r="AJ917" s="1" t="s">
        <v>4037</v>
      </c>
      <c r="AK917" s="1">
        <v>1.3</v>
      </c>
      <c r="AL917" s="1">
        <v>83.643600000000006</v>
      </c>
      <c r="AM917" s="1" t="s">
        <v>4037</v>
      </c>
      <c r="AP917" s="1" t="s">
        <v>4043</v>
      </c>
      <c r="AQ917" s="1">
        <v>-1.8</v>
      </c>
      <c r="AR917" s="1">
        <v>3.35</v>
      </c>
      <c r="AS917" s="1" t="s">
        <v>4044</v>
      </c>
      <c r="AT917" s="1">
        <v>28</v>
      </c>
    </row>
    <row r="918" spans="1:46">
      <c r="A918" s="1" t="s">
        <v>4045</v>
      </c>
      <c r="C918" s="1" t="s">
        <v>4045</v>
      </c>
      <c r="D918" s="1" t="s">
        <v>4046</v>
      </c>
      <c r="E918" s="1" t="s">
        <v>1466</v>
      </c>
      <c r="F918" s="1" t="s">
        <v>4047</v>
      </c>
      <c r="G918" s="1" t="s">
        <v>456</v>
      </c>
      <c r="H918" s="2" t="s">
        <v>4048</v>
      </c>
      <c r="I918" s="1">
        <v>18</v>
      </c>
      <c r="J918" s="1">
        <v>0.2</v>
      </c>
      <c r="K918" s="1" t="s">
        <v>52</v>
      </c>
      <c r="L918" s="1" t="s">
        <v>52</v>
      </c>
      <c r="M918" s="1">
        <v>4.1719999999999997</v>
      </c>
      <c r="N918" s="1">
        <v>37</v>
      </c>
      <c r="O918" s="1">
        <v>70.509640000000005</v>
      </c>
      <c r="P918" s="1">
        <v>-162.64090999999999</v>
      </c>
      <c r="Q918" s="1">
        <v>9.4697999999999993</v>
      </c>
      <c r="R918" s="1">
        <v>31.011849999999999</v>
      </c>
      <c r="S918" s="1">
        <v>287.46100000000001</v>
      </c>
      <c r="W918" s="3">
        <v>1.3819999999999999</v>
      </c>
      <c r="X918" s="1" t="s">
        <v>4049</v>
      </c>
      <c r="Y918" s="1">
        <v>1.63</v>
      </c>
      <c r="AA918" s="1">
        <v>0.39</v>
      </c>
      <c r="AB918" s="1">
        <v>3</v>
      </c>
      <c r="AE918" s="1">
        <v>0.23</v>
      </c>
      <c r="AF918" s="1">
        <v>0.17</v>
      </c>
      <c r="AI918" s="1">
        <v>9</v>
      </c>
      <c r="AJ918" s="1" t="s">
        <v>4049</v>
      </c>
      <c r="AK918" s="1">
        <v>3</v>
      </c>
      <c r="AL918" s="1">
        <v>89.3416</v>
      </c>
      <c r="AM918" s="1" t="s">
        <v>4049</v>
      </c>
      <c r="AP918" s="1" t="s">
        <v>4050</v>
      </c>
      <c r="AQ918" s="1">
        <v>-1.99</v>
      </c>
      <c r="AR918" s="1">
        <v>3.61</v>
      </c>
      <c r="AT918" s="1">
        <v>4</v>
      </c>
    </row>
    <row r="919" spans="1:46">
      <c r="A919" s="1" t="s">
        <v>4051</v>
      </c>
      <c r="C919" s="1" t="s">
        <v>4051</v>
      </c>
      <c r="D919" s="1" t="s">
        <v>4052</v>
      </c>
      <c r="E919" s="1" t="s">
        <v>1466</v>
      </c>
      <c r="F919" s="1" t="s">
        <v>4047</v>
      </c>
      <c r="G919" s="1" t="s">
        <v>456</v>
      </c>
      <c r="H919" s="2" t="s">
        <v>4053</v>
      </c>
      <c r="I919" s="1">
        <v>18</v>
      </c>
      <c r="J919" s="1">
        <v>0.2</v>
      </c>
      <c r="L919" s="1" t="s">
        <v>65</v>
      </c>
      <c r="M919" s="1">
        <v>20.763000000000002</v>
      </c>
      <c r="N919" s="1">
        <v>37</v>
      </c>
      <c r="O919" s="1">
        <v>70.509399999999999</v>
      </c>
      <c r="P919" s="1">
        <v>-162.642</v>
      </c>
      <c r="Q919" s="1">
        <v>8.4704499999999996</v>
      </c>
      <c r="R919" s="1">
        <v>31.08465</v>
      </c>
      <c r="S919" s="1">
        <v>287.08749999999998</v>
      </c>
      <c r="W919" s="3">
        <v>1.2410000000000001</v>
      </c>
      <c r="X919" s="1" t="s">
        <v>4054</v>
      </c>
      <c r="Y919" s="1">
        <v>1.75</v>
      </c>
      <c r="AA919" s="1">
        <v>0.41</v>
      </c>
      <c r="AB919" s="1">
        <v>3.65</v>
      </c>
      <c r="AE919" s="1">
        <v>0.27</v>
      </c>
      <c r="AF919" s="1">
        <v>0.61</v>
      </c>
      <c r="AI919" s="1">
        <v>5</v>
      </c>
      <c r="AJ919" s="1" t="s">
        <v>4054</v>
      </c>
      <c r="AK919" s="1">
        <v>3</v>
      </c>
      <c r="AL919" s="1">
        <v>90.039599999999993</v>
      </c>
      <c r="AM919" s="1" t="s">
        <v>4054</v>
      </c>
      <c r="AP919" s="1" t="s">
        <v>4055</v>
      </c>
      <c r="AR919" s="1">
        <v>3.61</v>
      </c>
      <c r="AT919" s="1">
        <v>20</v>
      </c>
    </row>
    <row r="920" spans="1:46">
      <c r="A920" s="1" t="s">
        <v>4056</v>
      </c>
      <c r="C920" s="1" t="s">
        <v>4056</v>
      </c>
      <c r="D920" s="1" t="s">
        <v>4057</v>
      </c>
      <c r="E920" s="1" t="s">
        <v>1466</v>
      </c>
      <c r="F920" s="1" t="s">
        <v>4047</v>
      </c>
      <c r="G920" s="1" t="s">
        <v>456</v>
      </c>
      <c r="H920" s="2" t="s">
        <v>4058</v>
      </c>
      <c r="I920" s="1">
        <v>18</v>
      </c>
      <c r="J920" s="1">
        <v>0.2</v>
      </c>
      <c r="K920" s="1" t="s">
        <v>1488</v>
      </c>
      <c r="L920" s="1" t="s">
        <v>65</v>
      </c>
      <c r="M920" s="1">
        <v>23.783999999999999</v>
      </c>
      <c r="N920" s="1">
        <v>37</v>
      </c>
      <c r="O920" s="1">
        <v>70.509240000000005</v>
      </c>
      <c r="P920" s="1">
        <v>-162.64202</v>
      </c>
      <c r="Q920" s="1">
        <v>4.5639500000000002</v>
      </c>
      <c r="R920" s="1">
        <v>31.3353</v>
      </c>
      <c r="S920" s="1">
        <v>256.73</v>
      </c>
      <c r="W920" s="3">
        <v>0.56599999999999995</v>
      </c>
      <c r="X920" s="1" t="s">
        <v>4054</v>
      </c>
      <c r="Y920" s="1">
        <v>1.75</v>
      </c>
      <c r="AA920" s="1">
        <v>0.41</v>
      </c>
      <c r="AB920" s="1">
        <v>3.65</v>
      </c>
      <c r="AE920" s="1">
        <v>0.27</v>
      </c>
      <c r="AF920" s="1">
        <v>0.61</v>
      </c>
      <c r="AI920" s="1">
        <v>4</v>
      </c>
      <c r="AJ920" s="1" t="s">
        <v>4059</v>
      </c>
      <c r="AK920" s="1">
        <v>3</v>
      </c>
      <c r="AL920" s="1">
        <v>89.639600000000002</v>
      </c>
      <c r="AM920" s="1" t="s">
        <v>4054</v>
      </c>
      <c r="AP920" s="1" t="s">
        <v>4060</v>
      </c>
      <c r="AR920" s="1">
        <v>3.61</v>
      </c>
      <c r="AT920" s="1">
        <v>24</v>
      </c>
    </row>
    <row r="921" spans="1:46">
      <c r="A921" s="1" t="s">
        <v>4061</v>
      </c>
      <c r="C921" s="1" t="s">
        <v>4061</v>
      </c>
      <c r="D921" s="1" t="s">
        <v>4062</v>
      </c>
      <c r="E921" s="1" t="s">
        <v>1466</v>
      </c>
      <c r="F921" s="1" t="s">
        <v>4047</v>
      </c>
      <c r="G921" s="1" t="s">
        <v>456</v>
      </c>
      <c r="H921" s="2" t="s">
        <v>4063</v>
      </c>
      <c r="I921" s="1">
        <v>18</v>
      </c>
      <c r="J921" s="1">
        <v>0.2</v>
      </c>
      <c r="K921" s="1" t="s">
        <v>78</v>
      </c>
      <c r="L921" s="1" t="s">
        <v>78</v>
      </c>
      <c r="M921" s="1">
        <v>29.207000000000001</v>
      </c>
      <c r="N921" s="1">
        <v>37</v>
      </c>
      <c r="O921" s="1">
        <v>70.509180000000001</v>
      </c>
      <c r="P921" s="1">
        <v>-162.64198999999999</v>
      </c>
      <c r="Q921" s="1">
        <v>4.5351999999999997</v>
      </c>
      <c r="R921" s="1">
        <v>31.376999999999999</v>
      </c>
      <c r="S921" s="1">
        <v>252.05350000000001</v>
      </c>
      <c r="W921" s="3">
        <v>0.40400000000000003</v>
      </c>
      <c r="X921" s="1" t="s">
        <v>262</v>
      </c>
      <c r="Y921" s="1">
        <v>0.8</v>
      </c>
      <c r="AA921" s="1">
        <v>1.01</v>
      </c>
      <c r="AB921" s="1">
        <v>15.03</v>
      </c>
      <c r="AE921" s="1">
        <v>2.61</v>
      </c>
      <c r="AF921" s="1">
        <v>1.4</v>
      </c>
      <c r="AI921" s="1">
        <v>1</v>
      </c>
      <c r="AJ921" s="1" t="s">
        <v>262</v>
      </c>
      <c r="AK921" s="1">
        <v>3</v>
      </c>
      <c r="AL921" s="1">
        <v>88.3566</v>
      </c>
      <c r="AM921" s="1" t="s">
        <v>262</v>
      </c>
      <c r="AP921" s="1" t="s">
        <v>4064</v>
      </c>
      <c r="AQ921" s="1">
        <v>-1.68</v>
      </c>
      <c r="AR921" s="1">
        <v>3.61</v>
      </c>
      <c r="AT921" s="1">
        <v>31</v>
      </c>
    </row>
    <row r="922" spans="1:46">
      <c r="A922" s="1" t="s">
        <v>4065</v>
      </c>
      <c r="C922" s="1" t="s">
        <v>4065</v>
      </c>
      <c r="D922" s="1" t="s">
        <v>4066</v>
      </c>
      <c r="E922" s="1" t="s">
        <v>1466</v>
      </c>
      <c r="F922" s="1" t="s">
        <v>4067</v>
      </c>
      <c r="G922" s="1" t="s">
        <v>456</v>
      </c>
      <c r="H922" s="2" t="s">
        <v>4068</v>
      </c>
      <c r="I922" s="1">
        <v>19</v>
      </c>
      <c r="J922" s="1">
        <v>0.2</v>
      </c>
      <c r="K922" s="1" t="s">
        <v>52</v>
      </c>
      <c r="L922" s="1" t="s">
        <v>52</v>
      </c>
      <c r="M922" s="1">
        <v>4.8609999999999998</v>
      </c>
      <c r="N922" s="1">
        <v>41</v>
      </c>
      <c r="O922" s="1">
        <v>70.626369999999994</v>
      </c>
      <c r="P922" s="1">
        <v>-162.24476000000001</v>
      </c>
      <c r="Q922" s="1">
        <v>9.1705000000000005</v>
      </c>
      <c r="R922" s="1">
        <v>31.22485</v>
      </c>
      <c r="S922" s="1">
        <v>289.90249999999997</v>
      </c>
      <c r="W922" s="3">
        <v>1.623</v>
      </c>
      <c r="X922" s="1" t="s">
        <v>4069</v>
      </c>
      <c r="Y922" s="1">
        <v>1.8</v>
      </c>
      <c r="AA922" s="1">
        <v>0.38</v>
      </c>
      <c r="AB922" s="1">
        <v>1.78</v>
      </c>
      <c r="AE922" s="1">
        <v>0.3</v>
      </c>
      <c r="AF922" s="1">
        <v>0.27</v>
      </c>
      <c r="AI922" s="1">
        <v>9</v>
      </c>
      <c r="AJ922" s="1" t="s">
        <v>4069</v>
      </c>
      <c r="AL922" s="1">
        <v>89.406599999999997</v>
      </c>
      <c r="AM922" s="1" t="s">
        <v>4069</v>
      </c>
      <c r="AP922" s="1" t="s">
        <v>4070</v>
      </c>
      <c r="AQ922" s="1">
        <v>-1.64</v>
      </c>
      <c r="AR922" s="1">
        <v>13.31</v>
      </c>
      <c r="AT922" s="1">
        <v>5</v>
      </c>
    </row>
    <row r="923" spans="1:46">
      <c r="A923" s="1" t="s">
        <v>4071</v>
      </c>
      <c r="C923" s="1" t="s">
        <v>4071</v>
      </c>
      <c r="D923" s="1" t="s">
        <v>4072</v>
      </c>
      <c r="E923" s="1" t="s">
        <v>1466</v>
      </c>
      <c r="F923" s="1" t="s">
        <v>4067</v>
      </c>
      <c r="G923" s="1" t="s">
        <v>456</v>
      </c>
      <c r="H923" s="2" t="s">
        <v>4073</v>
      </c>
      <c r="I923" s="1">
        <v>19</v>
      </c>
      <c r="J923" s="1">
        <v>0.2</v>
      </c>
      <c r="K923" s="1" t="s">
        <v>2199</v>
      </c>
      <c r="L923" s="1" t="s">
        <v>65</v>
      </c>
      <c r="M923" s="1">
        <v>20.274999999999999</v>
      </c>
      <c r="N923" s="1">
        <v>41</v>
      </c>
      <c r="O923" s="1">
        <v>70.626239999999996</v>
      </c>
      <c r="P923" s="1">
        <v>-162.24556000000001</v>
      </c>
      <c r="Q923" s="1">
        <v>7.8042999999999996</v>
      </c>
      <c r="R923" s="1">
        <v>31.4481</v>
      </c>
      <c r="S923" s="1">
        <v>297.55399999999997</v>
      </c>
      <c r="W923" s="3">
        <v>1.05</v>
      </c>
      <c r="X923" s="1" t="s">
        <v>4074</v>
      </c>
      <c r="Y923" s="1">
        <v>1.66</v>
      </c>
      <c r="AA923" s="1">
        <v>0.41</v>
      </c>
      <c r="AB923" s="1">
        <v>1.78</v>
      </c>
      <c r="AE923" s="1">
        <v>0.34</v>
      </c>
      <c r="AF923" s="1">
        <v>0.27</v>
      </c>
      <c r="AI923" s="1">
        <v>6</v>
      </c>
      <c r="AJ923" s="1" t="s">
        <v>4075</v>
      </c>
      <c r="AL923" s="1">
        <v>91.958299999999994</v>
      </c>
      <c r="AM923" s="1" t="s">
        <v>4074</v>
      </c>
      <c r="AP923" s="1" t="s">
        <v>4076</v>
      </c>
      <c r="AR923" s="1">
        <v>13.31</v>
      </c>
      <c r="AS923" s="1" t="s">
        <v>4077</v>
      </c>
      <c r="AT923" s="1">
        <v>20</v>
      </c>
    </row>
    <row r="924" spans="1:46">
      <c r="A924" s="1" t="s">
        <v>4078</v>
      </c>
      <c r="C924" s="1" t="s">
        <v>4078</v>
      </c>
      <c r="D924" s="1" t="s">
        <v>4079</v>
      </c>
      <c r="E924" s="1" t="s">
        <v>1466</v>
      </c>
      <c r="F924" s="1" t="s">
        <v>4067</v>
      </c>
      <c r="G924" s="1" t="s">
        <v>456</v>
      </c>
      <c r="H924" s="2" t="s">
        <v>4080</v>
      </c>
      <c r="I924" s="1">
        <v>19</v>
      </c>
      <c r="J924" s="1">
        <v>0.2</v>
      </c>
      <c r="K924" s="1" t="s">
        <v>78</v>
      </c>
      <c r="L924" s="1" t="s">
        <v>78</v>
      </c>
      <c r="M924" s="1">
        <v>36.033000000000001</v>
      </c>
      <c r="N924" s="1">
        <v>41</v>
      </c>
      <c r="O924" s="1">
        <v>70.626459999999994</v>
      </c>
      <c r="P924" s="1">
        <v>-162.24511000000001</v>
      </c>
      <c r="Q924" s="1">
        <v>5.1329000000000002</v>
      </c>
      <c r="R924" s="1">
        <v>31.533049999999999</v>
      </c>
      <c r="S924" s="1">
        <v>242.38849999999999</v>
      </c>
      <c r="W924" s="3">
        <v>0.496</v>
      </c>
      <c r="X924" s="1" t="s">
        <v>4081</v>
      </c>
      <c r="Y924" s="1">
        <v>0.7</v>
      </c>
      <c r="AA924" s="1">
        <v>1.55</v>
      </c>
      <c r="AB924" s="1">
        <v>13.61</v>
      </c>
      <c r="AE924" s="1">
        <v>4.87</v>
      </c>
      <c r="AF924" s="1">
        <v>2.13</v>
      </c>
      <c r="AI924" s="1">
        <v>2</v>
      </c>
      <c r="AJ924" s="1" t="s">
        <v>4082</v>
      </c>
      <c r="AL924" s="1">
        <v>76.190299999999993</v>
      </c>
      <c r="AM924" s="1" t="s">
        <v>4081</v>
      </c>
      <c r="AP924" s="1" t="s">
        <v>4083</v>
      </c>
      <c r="AQ924" s="1">
        <v>-1.63</v>
      </c>
      <c r="AR924" s="1">
        <v>13.31</v>
      </c>
      <c r="AS924" s="1" t="s">
        <v>3516</v>
      </c>
      <c r="AT924" s="1">
        <v>36</v>
      </c>
    </row>
    <row r="925" spans="1:46">
      <c r="A925" s="1" t="s">
        <v>4084</v>
      </c>
      <c r="C925" s="1" t="s">
        <v>4084</v>
      </c>
      <c r="D925" s="1" t="s">
        <v>4085</v>
      </c>
      <c r="E925" s="1" t="s">
        <v>1466</v>
      </c>
      <c r="F925" s="1" t="s">
        <v>4086</v>
      </c>
      <c r="G925" s="1" t="s">
        <v>456</v>
      </c>
      <c r="H925" s="2" t="s">
        <v>4087</v>
      </c>
      <c r="I925" s="1">
        <v>20</v>
      </c>
      <c r="J925" s="1">
        <v>0.2</v>
      </c>
      <c r="K925" s="1" t="s">
        <v>52</v>
      </c>
      <c r="L925" s="1" t="s">
        <v>52</v>
      </c>
      <c r="M925" s="1">
        <v>4.5590000000000002</v>
      </c>
      <c r="N925" s="1">
        <v>42</v>
      </c>
      <c r="O925" s="1">
        <v>70.725560000000002</v>
      </c>
      <c r="P925" s="1">
        <v>-161.93612999999999</v>
      </c>
      <c r="Q925" s="1">
        <v>8.9314</v>
      </c>
      <c r="R925" s="1">
        <v>31.329000000000001</v>
      </c>
      <c r="S925" s="1">
        <v>289.65600000000001</v>
      </c>
      <c r="W925" s="3">
        <v>1.07</v>
      </c>
      <c r="X925" s="1" t="s">
        <v>4088</v>
      </c>
      <c r="Y925" s="1">
        <v>1.47</v>
      </c>
      <c r="AA925" s="1">
        <v>0.34</v>
      </c>
      <c r="AB925" s="1">
        <v>1.78</v>
      </c>
      <c r="AE925" s="1">
        <v>0.39</v>
      </c>
      <c r="AF925" s="1">
        <v>0.33</v>
      </c>
      <c r="AI925" s="1">
        <v>9</v>
      </c>
      <c r="AJ925" s="1" t="s">
        <v>4088</v>
      </c>
      <c r="AK925" s="1">
        <v>5</v>
      </c>
      <c r="AL925" s="1">
        <v>90.614000000000004</v>
      </c>
      <c r="AM925" s="1" t="s">
        <v>4088</v>
      </c>
      <c r="AP925" s="1" t="s">
        <v>4089</v>
      </c>
      <c r="AQ925" s="1">
        <v>-1.64</v>
      </c>
      <c r="AR925" s="1">
        <v>17.34</v>
      </c>
      <c r="AT925" s="1">
        <v>5</v>
      </c>
    </row>
    <row r="926" spans="1:46">
      <c r="A926" s="1" t="s">
        <v>4090</v>
      </c>
      <c r="C926" s="1" t="s">
        <v>4090</v>
      </c>
      <c r="D926" s="1" t="s">
        <v>4091</v>
      </c>
      <c r="E926" s="1" t="s">
        <v>1466</v>
      </c>
      <c r="F926" s="1" t="s">
        <v>4086</v>
      </c>
      <c r="G926" s="1" t="s">
        <v>456</v>
      </c>
      <c r="H926" s="2" t="s">
        <v>4092</v>
      </c>
      <c r="I926" s="1">
        <v>20</v>
      </c>
      <c r="J926" s="1">
        <v>0.2</v>
      </c>
      <c r="L926" s="1" t="s">
        <v>65</v>
      </c>
      <c r="M926" s="1">
        <v>20.268999999999998</v>
      </c>
      <c r="N926" s="1">
        <v>42</v>
      </c>
      <c r="O926" s="1">
        <v>70.725620000000006</v>
      </c>
      <c r="P926" s="1">
        <v>-161.93706</v>
      </c>
      <c r="Q926" s="1">
        <v>7.3430999999999997</v>
      </c>
      <c r="R926" s="1">
        <v>31.488800000000001</v>
      </c>
      <c r="S926" s="1">
        <v>296.20150000000001</v>
      </c>
      <c r="W926" s="3">
        <v>1.006</v>
      </c>
      <c r="X926" s="1" t="s">
        <v>2931</v>
      </c>
      <c r="Y926" s="1">
        <v>1.72</v>
      </c>
      <c r="AA926" s="1">
        <v>0.39</v>
      </c>
      <c r="AB926" s="1">
        <v>1.79</v>
      </c>
      <c r="AE926" s="1">
        <v>0.34</v>
      </c>
      <c r="AF926" s="1">
        <v>0.44</v>
      </c>
      <c r="AI926" s="1">
        <v>5</v>
      </c>
      <c r="AJ926" s="1" t="s">
        <v>2931</v>
      </c>
      <c r="AK926" s="1">
        <v>5</v>
      </c>
      <c r="AL926" s="1">
        <v>91.469499999999996</v>
      </c>
      <c r="AM926" s="1" t="s">
        <v>2931</v>
      </c>
      <c r="AP926" s="1" t="s">
        <v>4093</v>
      </c>
      <c r="AR926" s="1">
        <v>17.34</v>
      </c>
      <c r="AT926" s="1">
        <v>20</v>
      </c>
    </row>
    <row r="927" spans="1:46">
      <c r="A927" s="1" t="s">
        <v>4094</v>
      </c>
      <c r="C927" s="1" t="s">
        <v>4094</v>
      </c>
      <c r="D927" s="1" t="s">
        <v>4095</v>
      </c>
      <c r="E927" s="1" t="s">
        <v>1466</v>
      </c>
      <c r="F927" s="1" t="s">
        <v>4086</v>
      </c>
      <c r="G927" s="1" t="s">
        <v>456</v>
      </c>
      <c r="H927" s="2" t="s">
        <v>4096</v>
      </c>
      <c r="I927" s="1">
        <v>20</v>
      </c>
      <c r="J927" s="1">
        <v>0.2</v>
      </c>
      <c r="L927" s="1" t="s">
        <v>65</v>
      </c>
      <c r="M927" s="1">
        <v>30.356999999999999</v>
      </c>
      <c r="N927" s="1">
        <v>42</v>
      </c>
      <c r="O927" s="1">
        <v>70.725740000000002</v>
      </c>
      <c r="P927" s="1">
        <v>-161.93701999999999</v>
      </c>
      <c r="Q927" s="1">
        <v>4.3693</v>
      </c>
      <c r="R927" s="1">
        <v>31.783999999999999</v>
      </c>
      <c r="S927" s="1">
        <v>258.93200000000002</v>
      </c>
      <c r="W927" s="3">
        <v>0.39100000000000001</v>
      </c>
      <c r="X927" s="1" t="s">
        <v>4097</v>
      </c>
      <c r="Y927" s="1">
        <v>0.65</v>
      </c>
      <c r="AA927" s="1">
        <v>0.82</v>
      </c>
      <c r="AB927" s="1">
        <v>15.06</v>
      </c>
      <c r="AE927" s="1">
        <v>2.13</v>
      </c>
      <c r="AF927" s="1">
        <v>2.81</v>
      </c>
      <c r="AI927" s="1">
        <v>3</v>
      </c>
      <c r="AJ927" s="1" t="s">
        <v>4097</v>
      </c>
      <c r="AK927" s="1">
        <v>5</v>
      </c>
      <c r="AL927" s="1">
        <v>84.601100000000002</v>
      </c>
      <c r="AM927" s="1" t="s">
        <v>4097</v>
      </c>
      <c r="AP927" s="1" t="s">
        <v>4098</v>
      </c>
      <c r="AR927" s="1">
        <v>17.34</v>
      </c>
      <c r="AT927" s="1">
        <v>30</v>
      </c>
    </row>
    <row r="928" spans="1:46">
      <c r="A928" s="1" t="s">
        <v>4099</v>
      </c>
      <c r="C928" s="1" t="s">
        <v>4099</v>
      </c>
      <c r="D928" s="1" t="s">
        <v>4100</v>
      </c>
      <c r="E928" s="1" t="s">
        <v>1466</v>
      </c>
      <c r="F928" s="1" t="s">
        <v>4086</v>
      </c>
      <c r="G928" s="1" t="s">
        <v>456</v>
      </c>
      <c r="H928" s="2" t="s">
        <v>4101</v>
      </c>
      <c r="I928" s="1">
        <v>20</v>
      </c>
      <c r="J928" s="1">
        <v>0.2</v>
      </c>
      <c r="K928" s="1" t="s">
        <v>78</v>
      </c>
      <c r="L928" s="1" t="s">
        <v>78</v>
      </c>
      <c r="M928" s="1">
        <v>39.232999999999997</v>
      </c>
      <c r="N928" s="1">
        <v>42</v>
      </c>
      <c r="O928" s="1">
        <v>70.725759999999994</v>
      </c>
      <c r="P928" s="1">
        <v>-161.93727999999999</v>
      </c>
      <c r="Q928" s="1">
        <v>4.3545999999999996</v>
      </c>
      <c r="R928" s="1">
        <v>31.78295</v>
      </c>
      <c r="S928" s="1">
        <v>259.30099999999999</v>
      </c>
      <c r="W928" s="3">
        <v>0.38200000000000001</v>
      </c>
      <c r="X928" s="1" t="s">
        <v>4102</v>
      </c>
      <c r="Y928" s="1">
        <v>0.7</v>
      </c>
      <c r="AA928" s="1">
        <v>0.87</v>
      </c>
      <c r="AB928" s="1">
        <v>15.57</v>
      </c>
      <c r="AE928" s="1">
        <v>2.08</v>
      </c>
      <c r="AF928" s="1">
        <v>1.27</v>
      </c>
      <c r="AI928" s="1">
        <v>1</v>
      </c>
      <c r="AJ928" s="1" t="s">
        <v>4102</v>
      </c>
      <c r="AK928" s="1">
        <v>5</v>
      </c>
      <c r="AL928" s="1">
        <v>81.773099999999999</v>
      </c>
      <c r="AM928" s="1" t="s">
        <v>4102</v>
      </c>
      <c r="AP928" s="1" t="s">
        <v>4103</v>
      </c>
      <c r="AQ928" s="1">
        <v>-1.64</v>
      </c>
      <c r="AR928" s="1">
        <v>17.34</v>
      </c>
      <c r="AS928" s="1" t="s">
        <v>4077</v>
      </c>
      <c r="AT928" s="1">
        <v>39</v>
      </c>
    </row>
    <row r="929" spans="1:46">
      <c r="A929" s="1" t="s">
        <v>4104</v>
      </c>
      <c r="C929" s="1" t="s">
        <v>4104</v>
      </c>
      <c r="D929" s="1" t="s">
        <v>4105</v>
      </c>
      <c r="E929" s="1" t="s">
        <v>1466</v>
      </c>
      <c r="F929" s="1" t="s">
        <v>4106</v>
      </c>
      <c r="G929" s="1" t="s">
        <v>456</v>
      </c>
      <c r="H929" s="2" t="s">
        <v>4107</v>
      </c>
      <c r="I929" s="1">
        <v>22</v>
      </c>
      <c r="J929" s="1">
        <v>0.2</v>
      </c>
      <c r="K929" s="1" t="s">
        <v>52</v>
      </c>
      <c r="L929" s="1" t="s">
        <v>52</v>
      </c>
      <c r="M929" s="1">
        <v>5.0380000000000003</v>
      </c>
      <c r="N929" s="1">
        <v>45</v>
      </c>
      <c r="O929" s="1">
        <v>70.960080000000005</v>
      </c>
      <c r="P929" s="1">
        <v>-161.12831</v>
      </c>
      <c r="Q929" s="1">
        <v>6.1524000000000001</v>
      </c>
      <c r="R929" s="1">
        <v>31.716550000000002</v>
      </c>
      <c r="S929" s="1">
        <v>303.012</v>
      </c>
      <c r="W929" s="3">
        <v>0.24299999999999999</v>
      </c>
      <c r="X929" s="1" t="s">
        <v>3348</v>
      </c>
      <c r="Y929" s="1">
        <v>0.38</v>
      </c>
      <c r="AA929" s="1">
        <v>0.64</v>
      </c>
      <c r="AB929" s="1">
        <v>3.4</v>
      </c>
      <c r="AE929" s="1">
        <v>0.52</v>
      </c>
      <c r="AF929" s="1">
        <v>0.81</v>
      </c>
      <c r="AI929" s="1">
        <v>9</v>
      </c>
      <c r="AJ929" s="1" t="s">
        <v>3348</v>
      </c>
      <c r="AK929" s="1">
        <v>2.4</v>
      </c>
      <c r="AL929" s="1">
        <v>94.968199999999996</v>
      </c>
      <c r="AM929" s="1" t="s">
        <v>3348</v>
      </c>
      <c r="AP929" s="1" t="s">
        <v>4108</v>
      </c>
      <c r="AQ929" s="1">
        <v>-1.81</v>
      </c>
      <c r="AR929" s="1">
        <v>8.41</v>
      </c>
      <c r="AT929" s="1">
        <v>5</v>
      </c>
    </row>
    <row r="930" spans="1:46">
      <c r="A930" s="1" t="s">
        <v>4109</v>
      </c>
      <c r="C930" s="1" t="s">
        <v>4109</v>
      </c>
      <c r="D930" s="1" t="s">
        <v>4110</v>
      </c>
      <c r="E930" s="1" t="s">
        <v>1466</v>
      </c>
      <c r="F930" s="1" t="s">
        <v>4106</v>
      </c>
      <c r="G930" s="1" t="s">
        <v>456</v>
      </c>
      <c r="H930" s="2" t="s">
        <v>4111</v>
      </c>
      <c r="I930" s="1">
        <v>22</v>
      </c>
      <c r="J930" s="1">
        <v>0.2</v>
      </c>
      <c r="L930" s="1" t="s">
        <v>65</v>
      </c>
      <c r="M930" s="1">
        <v>9.1</v>
      </c>
      <c r="N930" s="1">
        <v>45</v>
      </c>
      <c r="O930" s="1">
        <v>70.959980000000002</v>
      </c>
      <c r="P930" s="1">
        <v>-161.12996000000001</v>
      </c>
      <c r="Q930" s="1">
        <v>6.1516999999999999</v>
      </c>
      <c r="R930" s="1">
        <v>31.7134</v>
      </c>
      <c r="S930" s="1">
        <v>303.33249999999998</v>
      </c>
      <c r="W930" s="3">
        <v>0.33300000000000002</v>
      </c>
      <c r="X930" s="1" t="s">
        <v>3353</v>
      </c>
      <c r="Y930" s="1">
        <v>0.26</v>
      </c>
      <c r="AA930" s="1">
        <v>0.64</v>
      </c>
      <c r="AB930" s="1">
        <v>3.46</v>
      </c>
      <c r="AE930" s="1">
        <v>0.48</v>
      </c>
      <c r="AF930" s="1">
        <v>0.27</v>
      </c>
      <c r="AI930" s="1">
        <v>7</v>
      </c>
      <c r="AJ930" s="1" t="s">
        <v>3353</v>
      </c>
      <c r="AK930" s="1">
        <v>2.4</v>
      </c>
      <c r="AL930" s="1">
        <v>95.684200000000004</v>
      </c>
      <c r="AM930" s="1" t="s">
        <v>3353</v>
      </c>
      <c r="AP930" s="1" t="s">
        <v>4112</v>
      </c>
      <c r="AR930" s="1">
        <v>8.41</v>
      </c>
      <c r="AT930" s="1">
        <v>10</v>
      </c>
    </row>
    <row r="931" spans="1:46">
      <c r="A931" s="1" t="s">
        <v>4113</v>
      </c>
      <c r="C931" s="1" t="s">
        <v>4113</v>
      </c>
      <c r="D931" s="1" t="s">
        <v>4114</v>
      </c>
      <c r="E931" s="1" t="s">
        <v>1466</v>
      </c>
      <c r="F931" s="1" t="s">
        <v>4106</v>
      </c>
      <c r="G931" s="1" t="s">
        <v>456</v>
      </c>
      <c r="H931" s="2" t="s">
        <v>4115</v>
      </c>
      <c r="I931" s="1">
        <v>22</v>
      </c>
      <c r="J931" s="1">
        <v>0.2</v>
      </c>
      <c r="L931" s="1" t="s">
        <v>65</v>
      </c>
      <c r="M931" s="1">
        <v>29.841999999999999</v>
      </c>
      <c r="N931" s="1">
        <v>45</v>
      </c>
      <c r="O931" s="1">
        <v>70.960239999999999</v>
      </c>
      <c r="P931" s="1">
        <v>-161.13198</v>
      </c>
      <c r="Q931" s="1">
        <v>4.2161</v>
      </c>
      <c r="R931" s="1">
        <v>32.665199999999999</v>
      </c>
      <c r="S931" s="1">
        <v>272.1105</v>
      </c>
      <c r="W931" s="3">
        <v>0.57599999999999996</v>
      </c>
      <c r="X931" s="1" t="s">
        <v>3363</v>
      </c>
      <c r="Y931" s="1">
        <v>0.81</v>
      </c>
      <c r="AA931" s="1">
        <v>1.21</v>
      </c>
      <c r="AB931" s="1">
        <v>10.65</v>
      </c>
      <c r="AE931" s="1">
        <v>2.5099999999999998</v>
      </c>
      <c r="AF931" s="1">
        <v>2.84</v>
      </c>
      <c r="AI931" s="1">
        <v>3</v>
      </c>
      <c r="AJ931" s="1" t="s">
        <v>3363</v>
      </c>
      <c r="AK931" s="1">
        <v>2.4</v>
      </c>
      <c r="AL931" s="1">
        <v>69.773700000000005</v>
      </c>
      <c r="AM931" s="1" t="s">
        <v>3363</v>
      </c>
      <c r="AP931" s="1" t="s">
        <v>4116</v>
      </c>
      <c r="AR931" s="1">
        <v>8.41</v>
      </c>
      <c r="AS931" s="1" t="s">
        <v>4117</v>
      </c>
      <c r="AT931" s="1">
        <v>30</v>
      </c>
    </row>
    <row r="932" spans="1:46">
      <c r="A932" s="1" t="s">
        <v>4118</v>
      </c>
      <c r="C932" s="1" t="s">
        <v>4118</v>
      </c>
      <c r="D932" s="1" t="s">
        <v>4119</v>
      </c>
      <c r="E932" s="1" t="s">
        <v>1466</v>
      </c>
      <c r="F932" s="1" t="s">
        <v>4106</v>
      </c>
      <c r="G932" s="1" t="s">
        <v>456</v>
      </c>
      <c r="H932" s="2" t="s">
        <v>4120</v>
      </c>
      <c r="I932" s="1">
        <v>22</v>
      </c>
      <c r="J932" s="1">
        <v>0.2</v>
      </c>
      <c r="K932" s="1" t="s">
        <v>78</v>
      </c>
      <c r="L932" s="1" t="s">
        <v>78</v>
      </c>
      <c r="M932" s="1">
        <v>41.607999999999997</v>
      </c>
      <c r="N932" s="1">
        <v>45</v>
      </c>
      <c r="O932" s="1">
        <v>70.960260000000005</v>
      </c>
      <c r="P932" s="1">
        <v>-161.13337000000001</v>
      </c>
      <c r="Q932" s="1">
        <v>4.21305</v>
      </c>
      <c r="R932" s="1">
        <v>32.66825</v>
      </c>
      <c r="S932" s="1">
        <v>270.952</v>
      </c>
      <c r="W932" s="3">
        <v>0.45900000000000002</v>
      </c>
      <c r="X932" s="1" t="s">
        <v>437</v>
      </c>
      <c r="Y932" s="1">
        <v>0.79</v>
      </c>
      <c r="AA932" s="1">
        <v>1.25</v>
      </c>
      <c r="AB932" s="1">
        <v>10.54</v>
      </c>
      <c r="AE932" s="1">
        <v>3.3</v>
      </c>
      <c r="AF932" s="1">
        <v>2.4900000000000002</v>
      </c>
      <c r="AI932" s="1">
        <v>1</v>
      </c>
      <c r="AJ932" s="1" t="s">
        <v>437</v>
      </c>
      <c r="AK932" s="1">
        <v>2.4</v>
      </c>
      <c r="AL932" s="1">
        <v>63.626600000000003</v>
      </c>
      <c r="AM932" s="1" t="s">
        <v>437</v>
      </c>
      <c r="AP932" s="1" t="s">
        <v>4121</v>
      </c>
      <c r="AQ932" s="1">
        <v>-1.02</v>
      </c>
      <c r="AR932" s="1">
        <v>8.41</v>
      </c>
      <c r="AS932" s="1" t="s">
        <v>4122</v>
      </c>
      <c r="AT932" s="1">
        <v>42</v>
      </c>
    </row>
    <row r="933" spans="1:46">
      <c r="A933" s="1" t="s">
        <v>4123</v>
      </c>
      <c r="C933" s="1" t="s">
        <v>4123</v>
      </c>
      <c r="D933" s="1" t="s">
        <v>4124</v>
      </c>
      <c r="E933" s="1" t="s">
        <v>1394</v>
      </c>
      <c r="F933" s="1" t="s">
        <v>4125</v>
      </c>
      <c r="G933" s="1" t="s">
        <v>456</v>
      </c>
      <c r="H933" s="2" t="s">
        <v>4126</v>
      </c>
      <c r="I933" s="1">
        <v>72</v>
      </c>
      <c r="J933" s="1">
        <v>0.2</v>
      </c>
      <c r="K933" s="1">
        <v>2.5</v>
      </c>
      <c r="L933" s="1" t="s">
        <v>52</v>
      </c>
      <c r="M933" s="1">
        <v>2.2509999999999999</v>
      </c>
      <c r="N933" s="1">
        <v>188.2</v>
      </c>
      <c r="O933" s="1">
        <v>73.078999999999994</v>
      </c>
      <c r="P933" s="1">
        <v>-160.5553333</v>
      </c>
      <c r="Q933" s="1">
        <v>3.7183000000000002</v>
      </c>
      <c r="R933" s="1">
        <v>27.851749999999999</v>
      </c>
      <c r="S933" s="1">
        <v>350.07971459999999</v>
      </c>
      <c r="W933" s="3">
        <v>0.37490000000000001</v>
      </c>
      <c r="X933" s="1" t="s">
        <v>4127</v>
      </c>
      <c r="Y933" s="1">
        <v>0.52200000000000002</v>
      </c>
      <c r="Z933" s="1">
        <v>0.186</v>
      </c>
      <c r="AA933" s="1">
        <v>0.501</v>
      </c>
      <c r="AB933" s="1">
        <v>3.5</v>
      </c>
      <c r="AC933" s="1">
        <v>0</v>
      </c>
      <c r="AD933" s="1">
        <v>0</v>
      </c>
      <c r="AE933" s="1">
        <v>0.17</v>
      </c>
      <c r="AF933" s="1">
        <v>0</v>
      </c>
      <c r="AH933" s="8" t="s">
        <v>4128</v>
      </c>
      <c r="AI933" s="8">
        <v>22</v>
      </c>
      <c r="AJ933" s="8" t="s">
        <v>4129</v>
      </c>
      <c r="AK933" s="8">
        <v>3</v>
      </c>
      <c r="AM933" s="1" t="s">
        <v>4127</v>
      </c>
      <c r="AT933" s="8" t="s">
        <v>1607</v>
      </c>
    </row>
    <row r="934" spans="1:46">
      <c r="A934" s="1" t="s">
        <v>4130</v>
      </c>
      <c r="C934" s="1" t="s">
        <v>4130</v>
      </c>
      <c r="D934" s="1" t="s">
        <v>4131</v>
      </c>
      <c r="E934" s="1" t="s">
        <v>1394</v>
      </c>
      <c r="F934" s="1" t="s">
        <v>4125</v>
      </c>
      <c r="G934" s="1" t="s">
        <v>456</v>
      </c>
      <c r="H934" s="2" t="s">
        <v>4126</v>
      </c>
      <c r="I934" s="1">
        <v>72</v>
      </c>
      <c r="J934" s="1">
        <v>0.2</v>
      </c>
      <c r="K934" s="1">
        <v>20</v>
      </c>
      <c r="L934" s="1" t="s">
        <v>65</v>
      </c>
      <c r="M934" s="1">
        <v>20.478000000000002</v>
      </c>
      <c r="N934" s="1">
        <v>188.2</v>
      </c>
      <c r="O934" s="1">
        <v>73.078999999999994</v>
      </c>
      <c r="P934" s="1">
        <v>-160.5553333</v>
      </c>
      <c r="Q934" s="1">
        <v>6.3857999999999997</v>
      </c>
      <c r="R934" s="1">
        <v>30.822150000000001</v>
      </c>
      <c r="S934" s="1">
        <v>318.36593850000003</v>
      </c>
      <c r="W934" s="3">
        <v>0.93240000000000001</v>
      </c>
      <c r="AH934" s="8" t="s">
        <v>4132</v>
      </c>
      <c r="AI934" s="8">
        <v>18</v>
      </c>
      <c r="AJ934" s="8" t="s">
        <v>4133</v>
      </c>
      <c r="AK934" s="8">
        <v>3</v>
      </c>
      <c r="AM934" s="1" t="s">
        <v>4134</v>
      </c>
      <c r="AT934" s="8" t="s">
        <v>1607</v>
      </c>
    </row>
    <row r="935" spans="1:46">
      <c r="A935" s="1" t="s">
        <v>4135</v>
      </c>
      <c r="C935" s="1" t="s">
        <v>4135</v>
      </c>
      <c r="D935" s="1" t="s">
        <v>4136</v>
      </c>
      <c r="E935" s="1" t="s">
        <v>1394</v>
      </c>
      <c r="F935" s="1" t="s">
        <v>4125</v>
      </c>
      <c r="G935" s="1" t="s">
        <v>456</v>
      </c>
      <c r="H935" s="2" t="s">
        <v>4126</v>
      </c>
      <c r="I935" s="1">
        <v>72</v>
      </c>
      <c r="J935" s="1">
        <v>0.2</v>
      </c>
      <c r="K935" s="1">
        <v>50</v>
      </c>
      <c r="L935" s="1" t="s">
        <v>65</v>
      </c>
      <c r="M935" s="1">
        <v>49.697000000000003</v>
      </c>
      <c r="N935" s="1">
        <v>188.2</v>
      </c>
      <c r="O935" s="1">
        <v>73.078999999999994</v>
      </c>
      <c r="P935" s="1">
        <v>-160.5553333</v>
      </c>
      <c r="Q935" s="1">
        <v>2.51545</v>
      </c>
      <c r="R935" s="1">
        <v>31.762699999999999</v>
      </c>
      <c r="S935" s="1">
        <v>333.52834799999999</v>
      </c>
      <c r="W935" s="3">
        <v>0.20100000000000001</v>
      </c>
      <c r="X935" s="1" t="s">
        <v>4137</v>
      </c>
      <c r="Y935" s="1">
        <v>0.09</v>
      </c>
      <c r="Z935" s="1">
        <v>0.108</v>
      </c>
      <c r="AA935" s="1">
        <v>0.98799999999999999</v>
      </c>
      <c r="AB935" s="1">
        <v>7.5</v>
      </c>
      <c r="AC935" s="1">
        <v>2.1</v>
      </c>
      <c r="AD935" s="1">
        <v>0.17</v>
      </c>
      <c r="AE935" s="1">
        <v>1.1100000000000001</v>
      </c>
      <c r="AF935" s="1">
        <v>2.27</v>
      </c>
      <c r="AH935" s="8" t="s">
        <v>4138</v>
      </c>
      <c r="AI935" s="8">
        <v>14</v>
      </c>
      <c r="AJ935" s="8" t="s">
        <v>4139</v>
      </c>
      <c r="AK935" s="8">
        <v>3</v>
      </c>
      <c r="AM935" s="1" t="s">
        <v>4137</v>
      </c>
      <c r="AT935" s="8" t="s">
        <v>1607</v>
      </c>
    </row>
    <row r="936" spans="1:46">
      <c r="A936" s="1" t="s">
        <v>4140</v>
      </c>
      <c r="C936" s="1" t="s">
        <v>4140</v>
      </c>
      <c r="D936" s="1" t="s">
        <v>4141</v>
      </c>
      <c r="E936" s="1" t="s">
        <v>1394</v>
      </c>
      <c r="F936" s="1" t="s">
        <v>4125</v>
      </c>
      <c r="G936" s="1" t="s">
        <v>456</v>
      </c>
      <c r="H936" s="2" t="s">
        <v>4126</v>
      </c>
      <c r="I936" s="1">
        <v>72</v>
      </c>
      <c r="J936" s="1">
        <v>0.2</v>
      </c>
      <c r="K936" s="1">
        <v>100</v>
      </c>
      <c r="L936" s="1" t="s">
        <v>65</v>
      </c>
      <c r="M936" s="1">
        <v>99.730999999999995</v>
      </c>
      <c r="N936" s="1">
        <v>188.2</v>
      </c>
      <c r="O936" s="1">
        <v>73.078999999999994</v>
      </c>
      <c r="P936" s="1">
        <v>-160.5553333</v>
      </c>
      <c r="Q936" s="1">
        <v>0.47075</v>
      </c>
      <c r="R936" s="1">
        <v>32.320549999999997</v>
      </c>
      <c r="S936" s="1">
        <v>290.91728790000002</v>
      </c>
      <c r="W936" s="3">
        <v>0.1918</v>
      </c>
      <c r="X936" s="1" t="s">
        <v>3384</v>
      </c>
      <c r="AA936" s="1">
        <v>1.609</v>
      </c>
      <c r="AB936" s="1">
        <v>20.5</v>
      </c>
      <c r="AC936" s="1">
        <v>7.4</v>
      </c>
      <c r="AD936" s="1">
        <v>0.19</v>
      </c>
      <c r="AE936" s="1">
        <v>2.44</v>
      </c>
      <c r="AF936" s="1">
        <v>7.59</v>
      </c>
      <c r="AH936" s="8" t="s">
        <v>4142</v>
      </c>
      <c r="AI936" s="8">
        <v>10</v>
      </c>
      <c r="AJ936" s="8" t="s">
        <v>4143</v>
      </c>
      <c r="AK936" s="8">
        <v>3</v>
      </c>
      <c r="AM936" s="1" t="s">
        <v>3384</v>
      </c>
      <c r="AT936" s="8" t="s">
        <v>1607</v>
      </c>
    </row>
    <row r="937" spans="1:46">
      <c r="A937" s="1" t="s">
        <v>4144</v>
      </c>
      <c r="C937" s="1" t="s">
        <v>4144</v>
      </c>
      <c r="D937" s="1" t="s">
        <v>4145</v>
      </c>
      <c r="E937" s="1" t="s">
        <v>1394</v>
      </c>
      <c r="F937" s="1" t="s">
        <v>4125</v>
      </c>
      <c r="G937" s="1" t="s">
        <v>456</v>
      </c>
      <c r="H937" s="2" t="s">
        <v>4126</v>
      </c>
      <c r="I937" s="1">
        <v>72</v>
      </c>
      <c r="J937" s="1">
        <v>0.2</v>
      </c>
      <c r="K937" s="1">
        <v>125</v>
      </c>
      <c r="L937" s="1" t="s">
        <v>65</v>
      </c>
      <c r="M937" s="1">
        <v>125.521</v>
      </c>
      <c r="N937" s="1">
        <v>188.2</v>
      </c>
      <c r="O937" s="1">
        <v>73.078999999999994</v>
      </c>
      <c r="P937" s="1">
        <v>-160.5553333</v>
      </c>
      <c r="Q937" s="1">
        <v>-1.2943</v>
      </c>
      <c r="R937" s="1">
        <v>33.167900000000003</v>
      </c>
      <c r="S937" s="1">
        <v>287.4247977</v>
      </c>
      <c r="W937" s="3">
        <v>0.18179999999999999</v>
      </c>
      <c r="AH937" s="8" t="s">
        <v>4146</v>
      </c>
      <c r="AI937" s="8">
        <v>8</v>
      </c>
      <c r="AJ937" s="8" t="s">
        <v>4147</v>
      </c>
      <c r="AK937" s="8">
        <v>5</v>
      </c>
      <c r="AM937" s="1" t="s">
        <v>4148</v>
      </c>
      <c r="AT937" s="8" t="s">
        <v>1607</v>
      </c>
    </row>
    <row r="938" spans="1:46">
      <c r="A938" s="1" t="s">
        <v>4149</v>
      </c>
      <c r="C938" s="1" t="s">
        <v>4149</v>
      </c>
      <c r="D938" s="1" t="s">
        <v>4150</v>
      </c>
      <c r="E938" s="1" t="s">
        <v>1394</v>
      </c>
      <c r="F938" s="1" t="s">
        <v>4125</v>
      </c>
      <c r="G938" s="1" t="s">
        <v>456</v>
      </c>
      <c r="H938" s="2" t="s">
        <v>4126</v>
      </c>
      <c r="I938" s="1">
        <v>72</v>
      </c>
      <c r="J938" s="1">
        <v>0.2</v>
      </c>
      <c r="K938" s="1">
        <v>186</v>
      </c>
      <c r="L938" s="1" t="s">
        <v>78</v>
      </c>
      <c r="M938" s="1">
        <v>186.43600000000001</v>
      </c>
      <c r="N938" s="1">
        <v>188.2</v>
      </c>
      <c r="O938" s="1">
        <v>73.078999999999994</v>
      </c>
      <c r="P938" s="1">
        <v>-160.5553333</v>
      </c>
      <c r="Q938" s="1">
        <v>-6.2050000000000001E-2</v>
      </c>
      <c r="R938" s="1">
        <v>34.490349999999999</v>
      </c>
      <c r="S938" s="1">
        <v>274.15601459999999</v>
      </c>
      <c r="W938" s="3">
        <v>0.19939999999999999</v>
      </c>
      <c r="X938" s="1" t="s">
        <v>664</v>
      </c>
      <c r="AA938" s="1">
        <v>1.159</v>
      </c>
      <c r="AB938" s="1">
        <v>16.5</v>
      </c>
      <c r="AC938" s="1">
        <v>12.9</v>
      </c>
      <c r="AD938" s="1">
        <v>7.0000000000000007E-2</v>
      </c>
      <c r="AE938" s="1">
        <v>0.27</v>
      </c>
      <c r="AF938" s="1">
        <v>12.97</v>
      </c>
      <c r="AH938" s="8" t="s">
        <v>4151</v>
      </c>
      <c r="AI938" s="8">
        <v>4</v>
      </c>
      <c r="AJ938" s="8" t="s">
        <v>4152</v>
      </c>
      <c r="AK938" s="8">
        <v>5</v>
      </c>
      <c r="AM938" s="1" t="s">
        <v>664</v>
      </c>
      <c r="AT938" s="8" t="s">
        <v>1607</v>
      </c>
    </row>
    <row r="939" spans="1:46">
      <c r="A939" s="1" t="s">
        <v>4153</v>
      </c>
      <c r="C939" s="1" t="s">
        <v>4153</v>
      </c>
      <c r="D939" s="1" t="s">
        <v>4154</v>
      </c>
      <c r="E939" s="1" t="s">
        <v>1394</v>
      </c>
      <c r="F939" s="1" t="s">
        <v>4155</v>
      </c>
      <c r="G939" s="1" t="s">
        <v>456</v>
      </c>
      <c r="H939" s="2" t="s">
        <v>4156</v>
      </c>
      <c r="I939" s="1">
        <v>74</v>
      </c>
      <c r="J939" s="1">
        <v>0.2</v>
      </c>
      <c r="K939" s="1">
        <v>5</v>
      </c>
      <c r="L939" s="1" t="s">
        <v>52</v>
      </c>
      <c r="M939" s="1">
        <v>2.5870000000000002</v>
      </c>
      <c r="N939" s="1">
        <v>346</v>
      </c>
      <c r="O939" s="1">
        <v>73.194999999999993</v>
      </c>
      <c r="P939" s="1">
        <v>-160.32849999999999</v>
      </c>
      <c r="Q939" s="1">
        <v>4.0373999999999999</v>
      </c>
      <c r="R939" s="1">
        <v>27.900500000000001</v>
      </c>
      <c r="S939" s="1">
        <v>346.96237680000002</v>
      </c>
      <c r="W939" s="3">
        <v>0.42299999999999999</v>
      </c>
      <c r="Y939" s="1">
        <v>0.54100000000000004</v>
      </c>
      <c r="Z939" s="1">
        <v>0.24</v>
      </c>
      <c r="AA939" s="1">
        <v>0.495</v>
      </c>
      <c r="AB939" s="1">
        <v>3.3</v>
      </c>
      <c r="AC939" s="1">
        <v>0</v>
      </c>
      <c r="AD939" s="1">
        <v>0</v>
      </c>
      <c r="AE939" s="1">
        <v>0.15</v>
      </c>
      <c r="AF939" s="1">
        <v>0</v>
      </c>
      <c r="AH939" s="8" t="s">
        <v>4157</v>
      </c>
      <c r="AI939" s="8">
        <v>23</v>
      </c>
      <c r="AJ939" s="8" t="s">
        <v>4158</v>
      </c>
      <c r="AK939" s="8"/>
      <c r="AM939" s="1" t="s">
        <v>4159</v>
      </c>
      <c r="AT939" s="8" t="s">
        <v>1607</v>
      </c>
    </row>
    <row r="940" spans="1:46">
      <c r="A940" s="1" t="s">
        <v>4160</v>
      </c>
      <c r="C940" s="1" t="s">
        <v>4160</v>
      </c>
      <c r="D940" s="1" t="s">
        <v>4161</v>
      </c>
      <c r="E940" s="1" t="s">
        <v>1394</v>
      </c>
      <c r="F940" s="1" t="s">
        <v>4155</v>
      </c>
      <c r="G940" s="1" t="s">
        <v>456</v>
      </c>
      <c r="H940" s="2" t="s">
        <v>4156</v>
      </c>
      <c r="I940" s="1">
        <v>74</v>
      </c>
      <c r="J940" s="1">
        <v>0.2</v>
      </c>
      <c r="K940" s="1">
        <v>30</v>
      </c>
      <c r="L940" s="1" t="s">
        <v>65</v>
      </c>
      <c r="M940" s="1">
        <v>29.954999999999998</v>
      </c>
      <c r="N940" s="1">
        <v>346</v>
      </c>
      <c r="O940" s="1">
        <v>73.194999999999993</v>
      </c>
      <c r="P940" s="1">
        <v>-160.32849999999999</v>
      </c>
      <c r="Q940" s="1">
        <v>3.1202999999999999</v>
      </c>
      <c r="R940" s="1">
        <v>30.84685</v>
      </c>
      <c r="S940" s="1">
        <v>359.67736350000001</v>
      </c>
      <c r="W940" s="3">
        <v>0.39279999999999998</v>
      </c>
      <c r="Y940" s="1">
        <v>0.38500000000000001</v>
      </c>
      <c r="Z940" s="1">
        <v>0.30199999999999999</v>
      </c>
      <c r="AA940" s="1">
        <v>0.71699999999999997</v>
      </c>
      <c r="AB940" s="1">
        <v>4.8</v>
      </c>
      <c r="AC940" s="1">
        <v>0</v>
      </c>
      <c r="AD940" s="1">
        <v>0.08</v>
      </c>
      <c r="AE940" s="1">
        <v>0.22</v>
      </c>
      <c r="AF940" s="1">
        <v>0.08</v>
      </c>
      <c r="AH940" s="8" t="s">
        <v>4162</v>
      </c>
      <c r="AI940" s="8">
        <v>20</v>
      </c>
      <c r="AJ940" s="8" t="s">
        <v>4163</v>
      </c>
      <c r="AK940" s="8"/>
      <c r="AM940" s="1" t="s">
        <v>4164</v>
      </c>
      <c r="AT940" s="8" t="s">
        <v>1607</v>
      </c>
    </row>
    <row r="941" spans="1:46">
      <c r="A941" s="1" t="s">
        <v>4165</v>
      </c>
      <c r="C941" s="1" t="s">
        <v>4165</v>
      </c>
      <c r="D941" s="1" t="s">
        <v>4166</v>
      </c>
      <c r="E941" s="1" t="s">
        <v>1394</v>
      </c>
      <c r="F941" s="1" t="s">
        <v>4155</v>
      </c>
      <c r="G941" s="1" t="s">
        <v>456</v>
      </c>
      <c r="H941" s="2" t="s">
        <v>4156</v>
      </c>
      <c r="I941" s="1">
        <v>74</v>
      </c>
      <c r="J941" s="1">
        <v>0.2</v>
      </c>
      <c r="K941" s="1">
        <v>140</v>
      </c>
      <c r="L941" s="1" t="s">
        <v>65</v>
      </c>
      <c r="M941" s="1">
        <v>141.017</v>
      </c>
      <c r="N941" s="1">
        <v>346</v>
      </c>
      <c r="O941" s="1">
        <v>73.194999999999993</v>
      </c>
      <c r="P941" s="1">
        <v>-160.32849999999999</v>
      </c>
      <c r="Q941" s="1">
        <v>-0.39079999999999998</v>
      </c>
      <c r="R941" s="1">
        <v>33.066049999999997</v>
      </c>
      <c r="S941" s="1">
        <v>286.02244230000002</v>
      </c>
      <c r="W941" s="3">
        <v>0.18809999999999999</v>
      </c>
      <c r="AH941" s="8" t="s">
        <v>4167</v>
      </c>
      <c r="AI941" s="8">
        <v>12</v>
      </c>
      <c r="AJ941" s="8" t="s">
        <v>4168</v>
      </c>
      <c r="AK941" s="8"/>
      <c r="AM941" s="1" t="s">
        <v>4169</v>
      </c>
      <c r="AT941" s="8" t="s">
        <v>1607</v>
      </c>
    </row>
    <row r="942" spans="1:46">
      <c r="A942" s="1" t="s">
        <v>4170</v>
      </c>
      <c r="C942" s="1" t="s">
        <v>4170</v>
      </c>
      <c r="D942" s="1" t="s">
        <v>4171</v>
      </c>
      <c r="E942" s="1" t="s">
        <v>1394</v>
      </c>
      <c r="F942" s="1" t="s">
        <v>4155</v>
      </c>
      <c r="G942" s="1" t="s">
        <v>456</v>
      </c>
      <c r="H942" s="2" t="s">
        <v>4156</v>
      </c>
      <c r="I942" s="1">
        <v>74</v>
      </c>
      <c r="J942" s="1">
        <v>0.2</v>
      </c>
      <c r="K942" s="1">
        <v>150</v>
      </c>
      <c r="L942" s="1" t="s">
        <v>65</v>
      </c>
      <c r="M942" s="1">
        <v>149.845</v>
      </c>
      <c r="N942" s="1">
        <v>346</v>
      </c>
      <c r="O942" s="1">
        <v>73.194999999999993</v>
      </c>
      <c r="P942" s="1">
        <v>-160.32849999999999</v>
      </c>
      <c r="Q942" s="1">
        <v>-1.14975</v>
      </c>
      <c r="R942" s="1">
        <v>33.282600000000002</v>
      </c>
      <c r="S942" s="1">
        <v>285.53563739999998</v>
      </c>
      <c r="W942" s="3">
        <v>0.17910000000000001</v>
      </c>
      <c r="X942" s="1" t="s">
        <v>3400</v>
      </c>
      <c r="AA942" s="1">
        <v>1.7549999999999999</v>
      </c>
      <c r="AB942" s="1">
        <v>28.6</v>
      </c>
      <c r="AC942" s="1">
        <v>14</v>
      </c>
      <c r="AD942" s="1">
        <v>0.08</v>
      </c>
      <c r="AE942" s="1">
        <v>0.31</v>
      </c>
      <c r="AF942" s="1">
        <v>14.08</v>
      </c>
      <c r="AH942" s="8" t="s">
        <v>4172</v>
      </c>
      <c r="AI942" s="8">
        <v>8</v>
      </c>
      <c r="AJ942" s="8" t="s">
        <v>4173</v>
      </c>
      <c r="AK942" s="8"/>
      <c r="AM942" s="1" t="s">
        <v>3400</v>
      </c>
      <c r="AT942" s="8" t="s">
        <v>1607</v>
      </c>
    </row>
    <row r="943" spans="1:46">
      <c r="A943" s="1" t="s">
        <v>4174</v>
      </c>
      <c r="C943" s="1" t="s">
        <v>4174</v>
      </c>
      <c r="D943" s="1" t="s">
        <v>4175</v>
      </c>
      <c r="E943" s="1" t="s">
        <v>1394</v>
      </c>
      <c r="F943" s="1" t="s">
        <v>4155</v>
      </c>
      <c r="G943" s="1" t="s">
        <v>456</v>
      </c>
      <c r="H943" s="2" t="s">
        <v>4156</v>
      </c>
      <c r="I943" s="1">
        <v>74</v>
      </c>
      <c r="J943" s="1">
        <v>0.2</v>
      </c>
      <c r="K943" s="1">
        <v>160</v>
      </c>
      <c r="L943" s="1" t="s">
        <v>65</v>
      </c>
      <c r="M943" s="1">
        <v>160.72900000000001</v>
      </c>
      <c r="N943" s="1">
        <v>346</v>
      </c>
      <c r="O943" s="1">
        <v>73.194999999999993</v>
      </c>
      <c r="P943" s="1">
        <v>-160.32849999999999</v>
      </c>
      <c r="Q943" s="1">
        <v>-1.1384000000000001</v>
      </c>
      <c r="R943" s="1">
        <v>33.640500000000003</v>
      </c>
      <c r="S943" s="1">
        <v>283.29365519999999</v>
      </c>
      <c r="W943" s="3">
        <v>0.17760000000000001</v>
      </c>
      <c r="AH943" s="8" t="s">
        <v>4176</v>
      </c>
      <c r="AI943" s="8">
        <v>5</v>
      </c>
      <c r="AJ943" s="8" t="s">
        <v>4177</v>
      </c>
      <c r="AK943" s="8"/>
      <c r="AM943" s="1" t="s">
        <v>696</v>
      </c>
      <c r="AT943" s="8" t="s">
        <v>1607</v>
      </c>
    </row>
    <row r="944" spans="1:46">
      <c r="A944" s="1" t="s">
        <v>4178</v>
      </c>
      <c r="C944" s="1" t="s">
        <v>4178</v>
      </c>
      <c r="D944" s="1" t="s">
        <v>4179</v>
      </c>
      <c r="E944" s="1" t="s">
        <v>1394</v>
      </c>
      <c r="F944" s="1" t="s">
        <v>4155</v>
      </c>
      <c r="G944" s="1" t="s">
        <v>456</v>
      </c>
      <c r="H944" s="2" t="s">
        <v>4156</v>
      </c>
      <c r="I944" s="1">
        <v>74</v>
      </c>
      <c r="J944" s="1">
        <v>0.2</v>
      </c>
      <c r="K944" s="1">
        <v>166</v>
      </c>
      <c r="L944" s="1" t="s">
        <v>65</v>
      </c>
      <c r="M944" s="1">
        <v>165.982</v>
      </c>
      <c r="N944" s="1">
        <v>346</v>
      </c>
      <c r="O944" s="1">
        <v>73.194999999999993</v>
      </c>
      <c r="P944" s="1">
        <v>-160.32849999999999</v>
      </c>
      <c r="Q944" s="1">
        <v>-1.0334000000000001</v>
      </c>
      <c r="R944" s="1">
        <v>33.878599999999999</v>
      </c>
      <c r="S944" s="1">
        <v>280.8060375</v>
      </c>
      <c r="W944" s="3">
        <v>0.17910000000000001</v>
      </c>
      <c r="AH944" s="10" t="s">
        <v>4180</v>
      </c>
      <c r="AI944" s="8">
        <v>6</v>
      </c>
      <c r="AJ944" s="8" t="s">
        <v>4181</v>
      </c>
      <c r="AK944" s="8"/>
      <c r="AM944" s="1" t="s">
        <v>692</v>
      </c>
      <c r="AT944" s="8" t="s">
        <v>1607</v>
      </c>
    </row>
    <row r="945" spans="1:46">
      <c r="A945" s="1" t="s">
        <v>4182</v>
      </c>
      <c r="C945" s="1" t="s">
        <v>4182</v>
      </c>
      <c r="D945" s="1" t="s">
        <v>4183</v>
      </c>
      <c r="E945" s="1" t="s">
        <v>1394</v>
      </c>
      <c r="F945" s="1" t="s">
        <v>1433</v>
      </c>
      <c r="G945" s="1" t="s">
        <v>456</v>
      </c>
      <c r="H945" s="2" t="s">
        <v>4184</v>
      </c>
      <c r="I945" s="1">
        <v>56</v>
      </c>
      <c r="J945" s="1">
        <v>0.2</v>
      </c>
      <c r="K945" s="1">
        <v>2</v>
      </c>
      <c r="L945" s="1" t="s">
        <v>52</v>
      </c>
      <c r="M945" s="1">
        <v>2.7160000000000002</v>
      </c>
      <c r="N945" s="1">
        <v>71.5</v>
      </c>
      <c r="O945" s="1">
        <v>72.853999999999999</v>
      </c>
      <c r="P945" s="1">
        <v>-163.1776667</v>
      </c>
      <c r="Q945" s="1">
        <v>2.7118500000000001</v>
      </c>
      <c r="R945" s="1">
        <v>28.9498</v>
      </c>
      <c r="S945" s="1">
        <v>356.02855979999998</v>
      </c>
      <c r="W945" s="3">
        <v>0.24929999999999999</v>
      </c>
      <c r="X945" s="1" t="s">
        <v>4185</v>
      </c>
      <c r="Y945" s="1">
        <v>0.17899999999999999</v>
      </c>
      <c r="Z945" s="1">
        <v>0.112</v>
      </c>
      <c r="AA945" s="1">
        <v>0.68300000000000005</v>
      </c>
      <c r="AB945" s="1">
        <v>4.8</v>
      </c>
      <c r="AC945" s="1">
        <v>0</v>
      </c>
      <c r="AD945" s="1">
        <v>0.01</v>
      </c>
      <c r="AE945" s="1">
        <v>0.11</v>
      </c>
      <c r="AF945" s="1">
        <v>0.01</v>
      </c>
      <c r="AH945" s="8" t="s">
        <v>4186</v>
      </c>
      <c r="AI945" s="8">
        <v>18</v>
      </c>
      <c r="AJ945" s="8" t="s">
        <v>4187</v>
      </c>
      <c r="AK945" s="8">
        <v>4</v>
      </c>
      <c r="AM945" s="1" t="s">
        <v>4185</v>
      </c>
      <c r="AT945" s="8" t="s">
        <v>1607</v>
      </c>
    </row>
    <row r="946" spans="1:46">
      <c r="A946" s="1" t="s">
        <v>4188</v>
      </c>
      <c r="C946" s="1" t="s">
        <v>4188</v>
      </c>
      <c r="D946" s="1" t="s">
        <v>4189</v>
      </c>
      <c r="E946" s="1" t="s">
        <v>1394</v>
      </c>
      <c r="F946" s="1" t="s">
        <v>1433</v>
      </c>
      <c r="G946" s="1" t="s">
        <v>456</v>
      </c>
      <c r="H946" s="2" t="s">
        <v>4184</v>
      </c>
      <c r="I946" s="1">
        <v>56</v>
      </c>
      <c r="J946" s="1">
        <v>0.2</v>
      </c>
      <c r="K946" s="1">
        <v>10</v>
      </c>
      <c r="L946" s="1" t="s">
        <v>65</v>
      </c>
      <c r="M946" s="1">
        <v>9.9990000000000006</v>
      </c>
      <c r="N946" s="1">
        <v>71.5</v>
      </c>
      <c r="O946" s="1">
        <v>72.853999999999999</v>
      </c>
      <c r="P946" s="1">
        <v>-163.1776667</v>
      </c>
      <c r="Q946" s="1">
        <v>3.1562000000000001</v>
      </c>
      <c r="R946" s="1">
        <v>29.487100000000002</v>
      </c>
      <c r="S946" s="1">
        <v>354.2108571</v>
      </c>
      <c r="W946" s="3">
        <v>0.32950000000000002</v>
      </c>
      <c r="Y946" s="1">
        <v>0.27900000000000003</v>
      </c>
      <c r="Z946" s="1">
        <v>0.17499999999999999</v>
      </c>
      <c r="AA946" s="1">
        <v>0.79900000000000004</v>
      </c>
      <c r="AB946" s="1">
        <v>3.7</v>
      </c>
      <c r="AC946" s="1">
        <v>0</v>
      </c>
      <c r="AD946" s="1">
        <v>0.01</v>
      </c>
      <c r="AE946" s="1">
        <v>0.1</v>
      </c>
      <c r="AF946" s="1">
        <v>0.01</v>
      </c>
      <c r="AH946" s="8" t="s">
        <v>4190</v>
      </c>
      <c r="AI946" s="8">
        <v>16</v>
      </c>
      <c r="AJ946" s="8" t="s">
        <v>4191</v>
      </c>
      <c r="AK946" s="8">
        <v>4</v>
      </c>
      <c r="AM946" s="1" t="s">
        <v>4192</v>
      </c>
      <c r="AT946" s="8" t="s">
        <v>1607</v>
      </c>
    </row>
    <row r="947" spans="1:46">
      <c r="A947" s="1" t="s">
        <v>4193</v>
      </c>
      <c r="C947" s="1" t="s">
        <v>4193</v>
      </c>
      <c r="D947" s="1" t="s">
        <v>4194</v>
      </c>
      <c r="E947" s="1" t="s">
        <v>1394</v>
      </c>
      <c r="F947" s="1" t="s">
        <v>1433</v>
      </c>
      <c r="G947" s="1" t="s">
        <v>456</v>
      </c>
      <c r="H947" s="2" t="s">
        <v>4184</v>
      </c>
      <c r="I947" s="1">
        <v>56</v>
      </c>
      <c r="J947" s="1">
        <v>0.2</v>
      </c>
      <c r="K947" s="1">
        <v>20</v>
      </c>
      <c r="L947" s="1" t="s">
        <v>65</v>
      </c>
      <c r="M947" s="1">
        <v>19.933</v>
      </c>
      <c r="N947" s="1">
        <v>71.5</v>
      </c>
      <c r="O947" s="1">
        <v>72.853999999999999</v>
      </c>
      <c r="P947" s="1">
        <v>-163.1776667</v>
      </c>
      <c r="Q947" s="1">
        <v>1.5323</v>
      </c>
      <c r="R947" s="1">
        <v>31.181850000000001</v>
      </c>
      <c r="S947" s="1">
        <v>408.9384465</v>
      </c>
      <c r="W947" s="3">
        <v>0.3861</v>
      </c>
      <c r="AH947" s="8" t="s">
        <v>4195</v>
      </c>
      <c r="AI947" s="8">
        <v>14</v>
      </c>
      <c r="AJ947" s="8" t="s">
        <v>4196</v>
      </c>
      <c r="AK947" s="8">
        <v>4</v>
      </c>
      <c r="AM947" s="1" t="s">
        <v>4197</v>
      </c>
      <c r="AT947" s="8" t="s">
        <v>1607</v>
      </c>
    </row>
    <row r="948" spans="1:46">
      <c r="A948" s="1" t="s">
        <v>4198</v>
      </c>
      <c r="C948" s="1" t="s">
        <v>4198</v>
      </c>
      <c r="D948" s="1" t="s">
        <v>4199</v>
      </c>
      <c r="E948" s="1" t="s">
        <v>1394</v>
      </c>
      <c r="F948" s="1" t="s">
        <v>1433</v>
      </c>
      <c r="G948" s="1" t="s">
        <v>456</v>
      </c>
      <c r="H948" s="2" t="s">
        <v>4184</v>
      </c>
      <c r="I948" s="1">
        <v>56</v>
      </c>
      <c r="J948" s="1">
        <v>0.2</v>
      </c>
      <c r="K948" s="1">
        <v>30</v>
      </c>
      <c r="L948" s="1" t="s">
        <v>65</v>
      </c>
      <c r="M948" s="1">
        <v>29.844000000000001</v>
      </c>
      <c r="N948" s="1">
        <v>71.5</v>
      </c>
      <c r="O948" s="1">
        <v>72.853999999999999</v>
      </c>
      <c r="P948" s="1">
        <v>-163.1776667</v>
      </c>
      <c r="Q948" s="1">
        <v>0.38674999999999998</v>
      </c>
      <c r="R948" s="1">
        <v>31.547799999999999</v>
      </c>
      <c r="S948" s="1">
        <v>398.7468063</v>
      </c>
      <c r="W948" s="3">
        <v>0.32640000000000002</v>
      </c>
      <c r="X948" s="1" t="s">
        <v>4200</v>
      </c>
      <c r="Y948" s="1">
        <v>0.41599999999999998</v>
      </c>
      <c r="Z948" s="1">
        <v>0.17199999999999999</v>
      </c>
      <c r="AA948" s="1">
        <v>0.92100000000000004</v>
      </c>
      <c r="AB948" s="1">
        <v>3.1</v>
      </c>
      <c r="AC948" s="1">
        <v>0.8</v>
      </c>
      <c r="AD948" s="1">
        <v>0.01</v>
      </c>
      <c r="AE948" s="1">
        <v>0.36</v>
      </c>
      <c r="AF948" s="1">
        <v>0.81</v>
      </c>
      <c r="AH948" s="8" t="s">
        <v>4201</v>
      </c>
      <c r="AI948" s="8">
        <v>12</v>
      </c>
      <c r="AJ948" s="8" t="s">
        <v>4202</v>
      </c>
      <c r="AK948" s="8">
        <v>4</v>
      </c>
      <c r="AM948" s="1" t="s">
        <v>4200</v>
      </c>
      <c r="AT948" s="8" t="s">
        <v>1607</v>
      </c>
    </row>
    <row r="949" spans="1:46">
      <c r="A949" s="1" t="s">
        <v>4203</v>
      </c>
      <c r="C949" s="1" t="s">
        <v>4203</v>
      </c>
      <c r="D949" s="1" t="s">
        <v>4204</v>
      </c>
      <c r="E949" s="1" t="s">
        <v>1394</v>
      </c>
      <c r="F949" s="1" t="s">
        <v>1433</v>
      </c>
      <c r="G949" s="1" t="s">
        <v>456</v>
      </c>
      <c r="H949" s="2" t="s">
        <v>4184</v>
      </c>
      <c r="I949" s="1">
        <v>56</v>
      </c>
      <c r="J949" s="1">
        <v>0.2</v>
      </c>
      <c r="K949" s="1">
        <v>40</v>
      </c>
      <c r="L949" s="1" t="s">
        <v>65</v>
      </c>
      <c r="M949" s="1">
        <v>39.927999999999997</v>
      </c>
      <c r="N949" s="1">
        <v>71.5</v>
      </c>
      <c r="O949" s="1">
        <v>72.853999999999999</v>
      </c>
      <c r="P949" s="1">
        <v>-163.1776667</v>
      </c>
      <c r="Q949" s="1">
        <v>0.44945000000000002</v>
      </c>
      <c r="R949" s="1">
        <v>31.981649999999998</v>
      </c>
      <c r="S949" s="1">
        <v>381.3781434</v>
      </c>
      <c r="W949" s="3">
        <v>0.40089999999999998</v>
      </c>
      <c r="AH949" s="8" t="s">
        <v>4205</v>
      </c>
      <c r="AI949" s="8">
        <v>10</v>
      </c>
      <c r="AJ949" s="8" t="s">
        <v>4206</v>
      </c>
      <c r="AK949" s="8">
        <v>4</v>
      </c>
      <c r="AM949" s="1" t="s">
        <v>4207</v>
      </c>
      <c r="AT949" s="8" t="s">
        <v>1607</v>
      </c>
    </row>
    <row r="950" spans="1:46">
      <c r="A950" s="1" t="s">
        <v>4208</v>
      </c>
      <c r="C950" s="1" t="s">
        <v>4208</v>
      </c>
      <c r="D950" s="1" t="s">
        <v>4209</v>
      </c>
      <c r="E950" s="1" t="s">
        <v>1394</v>
      </c>
      <c r="F950" s="1" t="s">
        <v>1433</v>
      </c>
      <c r="G950" s="1" t="s">
        <v>456</v>
      </c>
      <c r="H950" s="2" t="s">
        <v>4184</v>
      </c>
      <c r="I950" s="1">
        <v>56</v>
      </c>
      <c r="J950" s="1">
        <v>0.2</v>
      </c>
      <c r="K950" s="1">
        <v>50</v>
      </c>
      <c r="L950" s="1" t="s">
        <v>65</v>
      </c>
      <c r="M950" s="1">
        <v>50.201000000000001</v>
      </c>
      <c r="N950" s="1">
        <v>71.5</v>
      </c>
      <c r="O950" s="1">
        <v>72.853999999999999</v>
      </c>
      <c r="P950" s="1">
        <v>-163.1776667</v>
      </c>
      <c r="Q950" s="1">
        <v>-0.94159999999999999</v>
      </c>
      <c r="R950" s="1">
        <v>32.281300000000002</v>
      </c>
      <c r="S950" s="1">
        <v>298.6793697</v>
      </c>
      <c r="W950" s="3">
        <v>0.27760000000000001</v>
      </c>
      <c r="X950" s="1" t="s">
        <v>4210</v>
      </c>
      <c r="Y950" s="1">
        <v>0.255</v>
      </c>
      <c r="Z950" s="1">
        <v>0.20100000000000001</v>
      </c>
      <c r="AA950" s="1">
        <v>1.79</v>
      </c>
      <c r="AB950" s="1">
        <v>25.3</v>
      </c>
      <c r="AC950" s="1">
        <v>8.6999999999999993</v>
      </c>
      <c r="AD950" s="1">
        <v>0.13</v>
      </c>
      <c r="AE950" s="1">
        <v>3.45</v>
      </c>
      <c r="AF950" s="1">
        <v>8.83</v>
      </c>
      <c r="AH950" s="8" t="s">
        <v>4211</v>
      </c>
      <c r="AI950" s="8">
        <v>6</v>
      </c>
      <c r="AJ950" s="8" t="s">
        <v>4212</v>
      </c>
      <c r="AK950" s="8">
        <v>4</v>
      </c>
      <c r="AM950" s="1" t="s">
        <v>4210</v>
      </c>
      <c r="AT950" s="8" t="s">
        <v>1607</v>
      </c>
    </row>
    <row r="951" spans="1:46">
      <c r="A951" s="1" t="s">
        <v>4213</v>
      </c>
      <c r="C951" s="1" t="s">
        <v>4213</v>
      </c>
      <c r="D951" s="1" t="s">
        <v>4214</v>
      </c>
      <c r="E951" s="1" t="s">
        <v>1394</v>
      </c>
      <c r="F951" s="1" t="s">
        <v>1433</v>
      </c>
      <c r="G951" s="1" t="s">
        <v>456</v>
      </c>
      <c r="H951" s="2" t="s">
        <v>4184</v>
      </c>
      <c r="I951" s="1">
        <v>56</v>
      </c>
      <c r="J951" s="1">
        <v>0.2</v>
      </c>
      <c r="K951" s="1">
        <v>70</v>
      </c>
      <c r="L951" s="1" t="s">
        <v>78</v>
      </c>
      <c r="M951" s="1">
        <v>69.387</v>
      </c>
      <c r="N951" s="1">
        <v>71.5</v>
      </c>
      <c r="O951" s="1">
        <v>72.853999999999999</v>
      </c>
      <c r="P951" s="1">
        <v>-163.1776667</v>
      </c>
      <c r="Q951" s="1">
        <v>-0.28294999999999998</v>
      </c>
      <c r="R951" s="1">
        <v>32.462400000000002</v>
      </c>
      <c r="S951" s="1">
        <v>269.72564340000002</v>
      </c>
      <c r="W951" s="3">
        <v>0.38009999999999999</v>
      </c>
      <c r="X951" s="1" t="s">
        <v>4215</v>
      </c>
      <c r="AA951" s="1">
        <v>1.954</v>
      </c>
      <c r="AB951" s="1">
        <v>24.8</v>
      </c>
      <c r="AC951" s="1">
        <v>7</v>
      </c>
      <c r="AD951" s="1">
        <v>0.14000000000000001</v>
      </c>
      <c r="AE951" s="1">
        <v>6.36</v>
      </c>
      <c r="AF951" s="1">
        <v>7.14</v>
      </c>
      <c r="AH951" s="8" t="s">
        <v>4216</v>
      </c>
      <c r="AI951" s="8">
        <v>4</v>
      </c>
      <c r="AJ951" s="8" t="s">
        <v>4217</v>
      </c>
      <c r="AK951" s="8">
        <v>4</v>
      </c>
      <c r="AM951" s="1" t="s">
        <v>4215</v>
      </c>
      <c r="AT951" s="8" t="s">
        <v>1607</v>
      </c>
    </row>
    <row r="952" spans="1:46">
      <c r="A952" s="1" t="s">
        <v>1274</v>
      </c>
      <c r="B952" s="1">
        <v>271</v>
      </c>
      <c r="C952" s="1" t="s">
        <v>1274</v>
      </c>
      <c r="D952" s="1" t="s">
        <v>1275</v>
      </c>
      <c r="E952" s="1" t="s">
        <v>47</v>
      </c>
      <c r="F952" s="1" t="s">
        <v>1276</v>
      </c>
      <c r="G952" s="1" t="s">
        <v>456</v>
      </c>
      <c r="H952" s="2" t="s">
        <v>1277</v>
      </c>
      <c r="I952" s="1">
        <v>161</v>
      </c>
      <c r="J952" s="1">
        <v>0.2</v>
      </c>
      <c r="K952" s="1" t="s">
        <v>52</v>
      </c>
      <c r="L952" s="1" t="s">
        <v>52</v>
      </c>
      <c r="M952" s="1">
        <v>3.52</v>
      </c>
      <c r="N952" s="1">
        <v>22</v>
      </c>
      <c r="O952" s="1">
        <v>63.224240000000002</v>
      </c>
      <c r="P952" s="1">
        <v>-168.15132</v>
      </c>
      <c r="Q952" s="1">
        <v>7.1539999999999999</v>
      </c>
      <c r="R952" s="1">
        <v>31.655000000000001</v>
      </c>
      <c r="S952" s="1">
        <v>304.83300000000003</v>
      </c>
      <c r="W952" s="3">
        <v>0.8165</v>
      </c>
      <c r="X952" s="1" t="s">
        <v>1278</v>
      </c>
      <c r="Y952" s="1">
        <v>1.25</v>
      </c>
      <c r="Z952" s="1">
        <v>0.61</v>
      </c>
      <c r="AA952" s="1">
        <v>0.46899999999999997</v>
      </c>
      <c r="AB952" s="1">
        <v>3.2</v>
      </c>
      <c r="AC952" s="1">
        <v>0.3</v>
      </c>
      <c r="AD952" s="1">
        <v>0.02</v>
      </c>
      <c r="AE952" s="1">
        <v>0.09</v>
      </c>
      <c r="AF952" s="1">
        <v>0.32</v>
      </c>
      <c r="AH952" s="1" t="s">
        <v>1279</v>
      </c>
      <c r="AI952" s="1">
        <v>3</v>
      </c>
      <c r="AJ952" s="1" t="s">
        <v>1278</v>
      </c>
      <c r="AK952" s="1">
        <v>2</v>
      </c>
      <c r="AL952" s="1">
        <v>88.013499999999993</v>
      </c>
      <c r="AM952" s="1" t="s">
        <v>1278</v>
      </c>
      <c r="AS952" s="1" t="s">
        <v>1280</v>
      </c>
    </row>
    <row r="953" spans="1:46">
      <c r="A953" s="1" t="s">
        <v>1281</v>
      </c>
      <c r="B953" s="1">
        <v>272</v>
      </c>
      <c r="C953" s="1" t="s">
        <v>1281</v>
      </c>
      <c r="D953" s="1" t="s">
        <v>1282</v>
      </c>
      <c r="E953" s="1" t="s">
        <v>47</v>
      </c>
      <c r="F953" s="1" t="s">
        <v>1276</v>
      </c>
      <c r="G953" s="1" t="s">
        <v>456</v>
      </c>
      <c r="H953" s="2" t="s">
        <v>1277</v>
      </c>
      <c r="I953" s="1">
        <v>161</v>
      </c>
      <c r="J953" s="1">
        <v>0.2</v>
      </c>
      <c r="K953" s="1" t="s">
        <v>65</v>
      </c>
      <c r="L953" s="1" t="s">
        <v>65</v>
      </c>
      <c r="M953" s="1">
        <v>9.86</v>
      </c>
      <c r="N953" s="1">
        <v>22</v>
      </c>
      <c r="O953" s="1">
        <v>63.224260000000001</v>
      </c>
      <c r="P953" s="1">
        <v>-168.15133</v>
      </c>
      <c r="Q953" s="1">
        <v>3.0449999999999999</v>
      </c>
      <c r="R953" s="1">
        <v>32.122</v>
      </c>
      <c r="S953" s="1">
        <v>335.185</v>
      </c>
      <c r="W953" s="3">
        <v>2.3403</v>
      </c>
      <c r="X953" s="1" t="s">
        <v>1283</v>
      </c>
      <c r="Y953" s="1">
        <v>0.98</v>
      </c>
      <c r="Z953" s="1">
        <v>0.33</v>
      </c>
      <c r="AA953" s="1">
        <v>0.89800000000000002</v>
      </c>
      <c r="AB953" s="1">
        <v>8.1999999999999993</v>
      </c>
      <c r="AC953" s="1">
        <v>2.9</v>
      </c>
      <c r="AD953" s="1">
        <v>7.0000000000000007E-2</v>
      </c>
      <c r="AE953" s="1">
        <v>0.8</v>
      </c>
      <c r="AF953" s="1">
        <v>2.97</v>
      </c>
      <c r="AH953" s="1" t="s">
        <v>1284</v>
      </c>
      <c r="AI953" s="1">
        <v>2</v>
      </c>
      <c r="AJ953" s="1" t="s">
        <v>1283</v>
      </c>
      <c r="AK953" s="1">
        <v>2</v>
      </c>
      <c r="AL953" s="1">
        <v>82.3429</v>
      </c>
      <c r="AM953" s="1" t="s">
        <v>1283</v>
      </c>
    </row>
    <row r="954" spans="1:46">
      <c r="A954" s="1" t="s">
        <v>1285</v>
      </c>
      <c r="B954" s="1">
        <v>273</v>
      </c>
      <c r="C954" s="1" t="s">
        <v>1285</v>
      </c>
      <c r="D954" s="1" t="s">
        <v>1286</v>
      </c>
      <c r="E954" s="1" t="s">
        <v>47</v>
      </c>
      <c r="F954" s="1" t="s">
        <v>1276</v>
      </c>
      <c r="G954" s="1" t="s">
        <v>456</v>
      </c>
      <c r="H954" s="2" t="s">
        <v>1277</v>
      </c>
      <c r="I954" s="1">
        <v>161</v>
      </c>
      <c r="J954" s="1">
        <v>0.2</v>
      </c>
      <c r="K954" s="1" t="s">
        <v>150</v>
      </c>
      <c r="L954" s="1" t="s">
        <v>78</v>
      </c>
      <c r="M954" s="1">
        <v>18.37</v>
      </c>
      <c r="N954" s="1">
        <v>22</v>
      </c>
      <c r="O954" s="1">
        <v>63.224260000000001</v>
      </c>
      <c r="P954" s="1">
        <v>-168.15132</v>
      </c>
      <c r="Q954" s="1">
        <v>2.0705</v>
      </c>
      <c r="R954" s="1">
        <v>32.261000000000003</v>
      </c>
      <c r="S954" s="1">
        <v>334.45699999999999</v>
      </c>
      <c r="W954" s="3">
        <v>2.1699000000000002</v>
      </c>
      <c r="X954" s="1" t="s">
        <v>1287</v>
      </c>
      <c r="Y954" s="1">
        <v>1.97</v>
      </c>
      <c r="Z954" s="1">
        <v>0.98</v>
      </c>
      <c r="AA954" s="1">
        <v>0.96399999999999997</v>
      </c>
      <c r="AB954" s="1">
        <v>9.3000000000000007</v>
      </c>
      <c r="AC954" s="1">
        <v>3.1</v>
      </c>
      <c r="AD954" s="1">
        <v>7.0000000000000007E-2</v>
      </c>
      <c r="AE954" s="1">
        <v>0.96</v>
      </c>
      <c r="AF954" s="1">
        <v>3.17</v>
      </c>
      <c r="AH954" s="1" t="s">
        <v>1288</v>
      </c>
      <c r="AI954" s="1">
        <v>1</v>
      </c>
      <c r="AJ954" s="1" t="s">
        <v>1287</v>
      </c>
      <c r="AK954" s="1">
        <v>2</v>
      </c>
      <c r="AL954" s="1">
        <v>77.606700000000004</v>
      </c>
      <c r="AM954" s="1" t="s">
        <v>1287</v>
      </c>
    </row>
    <row r="955" spans="1:46">
      <c r="A955" s="1" t="s">
        <v>1289</v>
      </c>
      <c r="B955" s="1">
        <v>274</v>
      </c>
      <c r="C955" s="1" t="s">
        <v>1289</v>
      </c>
      <c r="D955" s="1" t="s">
        <v>1290</v>
      </c>
      <c r="E955" s="1" t="s">
        <v>47</v>
      </c>
      <c r="F955" s="1" t="s">
        <v>1291</v>
      </c>
      <c r="G955" s="1" t="s">
        <v>456</v>
      </c>
      <c r="H955" s="2" t="s">
        <v>1292</v>
      </c>
      <c r="I955" s="1">
        <v>163</v>
      </c>
      <c r="J955" s="1">
        <v>0.2</v>
      </c>
      <c r="K955" s="1" t="s">
        <v>52</v>
      </c>
      <c r="L955" s="1" t="s">
        <v>52</v>
      </c>
      <c r="M955" s="1">
        <v>3.05</v>
      </c>
      <c r="N955" s="1">
        <v>34</v>
      </c>
      <c r="O955" s="1">
        <v>63.225949999999997</v>
      </c>
      <c r="P955" s="1">
        <v>-167.36073999999999</v>
      </c>
      <c r="Q955" s="1">
        <v>7.5594999999999999</v>
      </c>
      <c r="R955" s="1">
        <v>30.974</v>
      </c>
      <c r="S955" s="1">
        <v>298.267</v>
      </c>
      <c r="W955" s="3">
        <v>0.88170000000000004</v>
      </c>
      <c r="X955" s="1" t="s">
        <v>1293</v>
      </c>
      <c r="Y955" s="1">
        <v>0.73</v>
      </c>
      <c r="Z955" s="1">
        <v>0.24</v>
      </c>
      <c r="AA955" s="1">
        <v>0.49399999999999999</v>
      </c>
      <c r="AB955" s="1">
        <v>4.5</v>
      </c>
      <c r="AC955" s="1">
        <v>0</v>
      </c>
      <c r="AD955" s="1">
        <v>0.01</v>
      </c>
      <c r="AE955" s="1">
        <v>0.1</v>
      </c>
      <c r="AF955" s="1">
        <v>0.01</v>
      </c>
      <c r="AH955" s="1" t="s">
        <v>1294</v>
      </c>
      <c r="AI955" s="1">
        <v>4</v>
      </c>
      <c r="AJ955" s="1" t="s">
        <v>1293</v>
      </c>
      <c r="AK955" s="1">
        <v>2</v>
      </c>
      <c r="AL955" s="1">
        <v>88.592699999999994</v>
      </c>
      <c r="AM955" s="1" t="s">
        <v>1293</v>
      </c>
      <c r="AS955" s="1" t="s">
        <v>1295</v>
      </c>
    </row>
    <row r="956" spans="1:46">
      <c r="A956" s="1" t="s">
        <v>1296</v>
      </c>
      <c r="B956" s="1">
        <v>275</v>
      </c>
      <c r="C956" s="1" t="s">
        <v>1296</v>
      </c>
      <c r="D956" s="1" t="s">
        <v>1297</v>
      </c>
      <c r="E956" s="1" t="s">
        <v>47</v>
      </c>
      <c r="F956" s="1" t="s">
        <v>1291</v>
      </c>
      <c r="G956" s="1" t="s">
        <v>456</v>
      </c>
      <c r="H956" s="2" t="s">
        <v>1292</v>
      </c>
      <c r="I956" s="1">
        <v>163</v>
      </c>
      <c r="J956" s="1">
        <v>0.2</v>
      </c>
      <c r="K956" s="1" t="s">
        <v>65</v>
      </c>
      <c r="L956" s="1" t="s">
        <v>65</v>
      </c>
      <c r="M956" s="1">
        <v>9.6999999999999993</v>
      </c>
      <c r="N956" s="1">
        <v>34</v>
      </c>
      <c r="O956" s="1">
        <v>63.225659999999998</v>
      </c>
      <c r="P956" s="1">
        <v>-167.36076</v>
      </c>
      <c r="Q956" s="1">
        <v>1.4950000000000001</v>
      </c>
      <c r="R956" s="1">
        <v>32.073999999999998</v>
      </c>
      <c r="S956" s="1">
        <v>345.12</v>
      </c>
      <c r="W956" s="3">
        <v>1.5515000000000001</v>
      </c>
      <c r="X956" s="1" t="s">
        <v>1298</v>
      </c>
      <c r="Y956" s="1">
        <v>1.01</v>
      </c>
      <c r="Z956" s="1">
        <v>0.44</v>
      </c>
      <c r="AA956" s="1">
        <v>0.80400000000000005</v>
      </c>
      <c r="AB956" s="1">
        <v>5.9</v>
      </c>
      <c r="AC956" s="1">
        <v>0.1</v>
      </c>
      <c r="AD956" s="1">
        <v>0.02</v>
      </c>
      <c r="AE956" s="1">
        <v>0.57999999999999996</v>
      </c>
      <c r="AF956" s="1">
        <v>0.12</v>
      </c>
      <c r="AH956" s="1" t="s">
        <v>1299</v>
      </c>
      <c r="AI956" s="1">
        <v>3</v>
      </c>
      <c r="AJ956" s="1" t="s">
        <v>1298</v>
      </c>
      <c r="AK956" s="1">
        <v>2</v>
      </c>
      <c r="AL956" s="1">
        <v>83.333799999999997</v>
      </c>
      <c r="AM956" s="1" t="s">
        <v>1298</v>
      </c>
    </row>
    <row r="957" spans="1:46">
      <c r="A957" s="1" t="s">
        <v>1300</v>
      </c>
      <c r="B957" s="1">
        <v>276</v>
      </c>
      <c r="C957" s="1" t="s">
        <v>1300</v>
      </c>
      <c r="D957" s="1" t="s">
        <v>1301</v>
      </c>
      <c r="E957" s="1" t="s">
        <v>47</v>
      </c>
      <c r="F957" s="1" t="s">
        <v>1291</v>
      </c>
      <c r="G957" s="1" t="s">
        <v>456</v>
      </c>
      <c r="H957" s="2" t="s">
        <v>1292</v>
      </c>
      <c r="I957" s="1">
        <v>163</v>
      </c>
      <c r="J957" s="1">
        <v>0.2</v>
      </c>
      <c r="K957" s="1" t="s">
        <v>150</v>
      </c>
      <c r="L957" s="1" t="s">
        <v>78</v>
      </c>
      <c r="M957" s="1">
        <v>31.44</v>
      </c>
      <c r="N957" s="1">
        <v>34</v>
      </c>
      <c r="O957" s="1">
        <v>63.225099999999998</v>
      </c>
      <c r="P957" s="1">
        <v>-167.36081999999999</v>
      </c>
      <c r="Q957" s="1">
        <v>1.498</v>
      </c>
      <c r="R957" s="1">
        <v>32.077500000000001</v>
      </c>
      <c r="S957" s="1">
        <v>343.62099999999998</v>
      </c>
      <c r="W957" s="3">
        <v>1.6621999999999999</v>
      </c>
      <c r="X957" s="1" t="s">
        <v>1302</v>
      </c>
      <c r="Y957" s="1">
        <v>1.0900000000000001</v>
      </c>
      <c r="Z957" s="1">
        <v>0.7</v>
      </c>
      <c r="AA957" s="1">
        <v>0.8</v>
      </c>
      <c r="AB957" s="1">
        <v>5.9</v>
      </c>
      <c r="AC957" s="1">
        <v>0.1</v>
      </c>
      <c r="AD957" s="1">
        <v>0.03</v>
      </c>
      <c r="AE957" s="1">
        <v>0.6</v>
      </c>
      <c r="AF957" s="1">
        <v>0.13</v>
      </c>
      <c r="AH957" s="1" t="s">
        <v>1303</v>
      </c>
      <c r="AI957" s="1">
        <v>1</v>
      </c>
      <c r="AJ957" s="1" t="s">
        <v>1302</v>
      </c>
      <c r="AK957" s="1">
        <v>2</v>
      </c>
      <c r="AL957" s="1">
        <v>82.067700000000002</v>
      </c>
      <c r="AM957" s="1" t="s">
        <v>1302</v>
      </c>
    </row>
    <row r="958" spans="1:46">
      <c r="A958" s="1" t="s">
        <v>1304</v>
      </c>
      <c r="B958" s="1">
        <v>277</v>
      </c>
      <c r="C958" s="1" t="s">
        <v>1304</v>
      </c>
      <c r="D958" s="1" t="s">
        <v>1305</v>
      </c>
      <c r="E958" s="1" t="s">
        <v>47</v>
      </c>
      <c r="F958" s="1" t="s">
        <v>1306</v>
      </c>
      <c r="G958" s="1" t="s">
        <v>456</v>
      </c>
      <c r="H958" s="2" t="s">
        <v>1307</v>
      </c>
      <c r="I958" s="1">
        <v>164</v>
      </c>
      <c r="J958" s="1">
        <v>0.2</v>
      </c>
      <c r="K958" s="1" t="s">
        <v>52</v>
      </c>
      <c r="L958" s="1" t="s">
        <v>52</v>
      </c>
      <c r="M958" s="1">
        <v>2.93</v>
      </c>
      <c r="N958" s="1">
        <v>25</v>
      </c>
      <c r="O958" s="1">
        <v>63.224400000000003</v>
      </c>
      <c r="P958" s="1">
        <v>-166.97015999999999</v>
      </c>
      <c r="Q958" s="1">
        <v>9.9864999999999995</v>
      </c>
      <c r="R958" s="1">
        <v>29.5395</v>
      </c>
      <c r="S958" s="1">
        <v>276.14800000000002</v>
      </c>
      <c r="T958" s="1">
        <v>29.38</v>
      </c>
      <c r="U958" s="1">
        <v>27.32</v>
      </c>
      <c r="V958" s="1">
        <v>3080</v>
      </c>
      <c r="W958" s="3">
        <v>0.95350000000000001</v>
      </c>
      <c r="X958" s="1" t="s">
        <v>1308</v>
      </c>
      <c r="Y958" s="1">
        <v>0.88</v>
      </c>
      <c r="Z958" s="1">
        <v>0.33</v>
      </c>
      <c r="AA958" s="1">
        <v>0.39100000000000001</v>
      </c>
      <c r="AB958" s="1">
        <v>4.9000000000000004</v>
      </c>
      <c r="AC958" s="1">
        <v>0.6</v>
      </c>
      <c r="AD958" s="1">
        <v>0.01</v>
      </c>
      <c r="AE958" s="1">
        <v>7.0000000000000007E-2</v>
      </c>
      <c r="AF958" s="1">
        <v>0.61</v>
      </c>
      <c r="AH958" s="1" t="s">
        <v>1309</v>
      </c>
      <c r="AI958" s="1">
        <v>3</v>
      </c>
      <c r="AJ958" s="1" t="s">
        <v>1308</v>
      </c>
      <c r="AK958" s="1">
        <v>2</v>
      </c>
      <c r="AL958" s="1">
        <v>90.8352</v>
      </c>
      <c r="AM958" s="1" t="s">
        <v>1308</v>
      </c>
      <c r="AN958" s="1">
        <v>1.0754026354319199</v>
      </c>
      <c r="AO958" s="1">
        <v>0.16232492610293101</v>
      </c>
    </row>
    <row r="959" spans="1:46">
      <c r="A959" s="1" t="s">
        <v>1310</v>
      </c>
      <c r="B959" s="1">
        <v>278</v>
      </c>
      <c r="C959" s="1" t="s">
        <v>1310</v>
      </c>
      <c r="D959" s="1" t="s">
        <v>1311</v>
      </c>
      <c r="E959" s="1" t="s">
        <v>47</v>
      </c>
      <c r="F959" s="1" t="s">
        <v>1306</v>
      </c>
      <c r="G959" s="1" t="s">
        <v>456</v>
      </c>
      <c r="H959" s="2" t="s">
        <v>1307</v>
      </c>
      <c r="I959" s="1">
        <v>164</v>
      </c>
      <c r="J959" s="1">
        <v>0.2</v>
      </c>
      <c r="K959" s="1" t="s">
        <v>486</v>
      </c>
      <c r="L959" s="1" t="s">
        <v>65</v>
      </c>
      <c r="M959" s="1">
        <v>12.28</v>
      </c>
      <c r="N959" s="1">
        <v>25</v>
      </c>
      <c r="O959" s="1">
        <v>63.224420000000002</v>
      </c>
      <c r="P959" s="1">
        <v>-166.97015999999999</v>
      </c>
      <c r="Q959" s="1">
        <v>2.3380000000000001</v>
      </c>
      <c r="R959" s="1">
        <v>31.953499999999998</v>
      </c>
      <c r="S959" s="1">
        <v>350.13299999999998</v>
      </c>
      <c r="T959" s="1">
        <v>19.22</v>
      </c>
      <c r="U959" s="1">
        <v>15.9</v>
      </c>
      <c r="V959" s="1">
        <v>7640.00000000001</v>
      </c>
      <c r="W959" s="3">
        <v>1.4067000000000001</v>
      </c>
      <c r="X959" s="1" t="s">
        <v>1312</v>
      </c>
      <c r="Y959" s="1">
        <v>1.07</v>
      </c>
      <c r="Z959" s="1">
        <v>0.52</v>
      </c>
      <c r="AA959" s="1">
        <v>0.71699999999999997</v>
      </c>
      <c r="AB959" s="1">
        <v>2.8</v>
      </c>
      <c r="AC959" s="1">
        <v>0.1</v>
      </c>
      <c r="AD959" s="1">
        <v>0.02</v>
      </c>
      <c r="AE959" s="1">
        <v>0.65</v>
      </c>
      <c r="AF959" s="1">
        <v>0.12</v>
      </c>
      <c r="AH959" s="1" t="s">
        <v>1313</v>
      </c>
      <c r="AI959" s="1">
        <v>2</v>
      </c>
      <c r="AJ959" s="1" t="s">
        <v>1312</v>
      </c>
      <c r="AK959" s="1">
        <v>2</v>
      </c>
      <c r="AL959" s="1">
        <v>80.6267</v>
      </c>
      <c r="AM959" s="1" t="s">
        <v>1312</v>
      </c>
      <c r="AN959" s="1">
        <v>1.2088050314465399</v>
      </c>
      <c r="AO959" s="1">
        <v>0.18246113682211901</v>
      </c>
    </row>
    <row r="960" spans="1:46">
      <c r="A960" s="1" t="s">
        <v>1314</v>
      </c>
      <c r="B960" s="1">
        <v>279</v>
      </c>
      <c r="C960" s="1" t="s">
        <v>1314</v>
      </c>
      <c r="D960" s="1" t="s">
        <v>1315</v>
      </c>
      <c r="E960" s="1" t="s">
        <v>47</v>
      </c>
      <c r="F960" s="1" t="s">
        <v>1306</v>
      </c>
      <c r="G960" s="1" t="s">
        <v>456</v>
      </c>
      <c r="H960" s="2" t="s">
        <v>1307</v>
      </c>
      <c r="I960" s="1">
        <v>164</v>
      </c>
      <c r="J960" s="1">
        <v>0.2</v>
      </c>
      <c r="K960" s="1" t="s">
        <v>150</v>
      </c>
      <c r="L960" s="1" t="s">
        <v>78</v>
      </c>
      <c r="M960" s="1">
        <v>22.12</v>
      </c>
      <c r="N960" s="1">
        <v>25</v>
      </c>
      <c r="O960" s="1">
        <v>63.224420000000002</v>
      </c>
      <c r="P960" s="1">
        <v>-166.97015999999999</v>
      </c>
      <c r="Q960" s="1">
        <v>2.3330000000000002</v>
      </c>
      <c r="R960" s="1">
        <v>31.953499999999998</v>
      </c>
      <c r="S960" s="1">
        <v>350.19600000000003</v>
      </c>
      <c r="T960" s="1">
        <v>21.82</v>
      </c>
      <c r="U960" s="1">
        <v>18.100000000000001</v>
      </c>
      <c r="V960" s="1">
        <v>3900</v>
      </c>
      <c r="W960" s="3">
        <v>1.1639999999999999</v>
      </c>
      <c r="X960" s="1" t="s">
        <v>1316</v>
      </c>
      <c r="Y960" s="1">
        <v>1.03</v>
      </c>
      <c r="Z960" s="1">
        <v>0.84</v>
      </c>
      <c r="AA960" s="1">
        <v>0.79200000000000004</v>
      </c>
      <c r="AB960" s="1">
        <v>3.1</v>
      </c>
      <c r="AC960" s="1">
        <v>0.1</v>
      </c>
      <c r="AD960" s="1">
        <v>0.02</v>
      </c>
      <c r="AE960" s="1">
        <v>0.55000000000000004</v>
      </c>
      <c r="AF960" s="1">
        <v>0.12</v>
      </c>
      <c r="AH960" s="1" t="s">
        <v>1317</v>
      </c>
      <c r="AI960" s="1">
        <v>1</v>
      </c>
      <c r="AJ960" s="1" t="s">
        <v>1316</v>
      </c>
      <c r="AK960" s="1">
        <v>2</v>
      </c>
      <c r="AL960" s="1">
        <v>79.705200000000005</v>
      </c>
      <c r="AM960" s="1" t="s">
        <v>1316</v>
      </c>
      <c r="AN960" s="1">
        <v>1.20552486187845</v>
      </c>
      <c r="AO960" s="1">
        <v>0.18196601688731401</v>
      </c>
    </row>
    <row r="961" spans="1:46">
      <c r="A961" s="1" t="s">
        <v>1318</v>
      </c>
      <c r="B961" s="1">
        <v>280</v>
      </c>
      <c r="C961" s="1" t="s">
        <v>1318</v>
      </c>
      <c r="D961" s="1" t="s">
        <v>1319</v>
      </c>
      <c r="E961" s="1" t="s">
        <v>47</v>
      </c>
      <c r="F961" s="1" t="s">
        <v>1320</v>
      </c>
      <c r="G961" s="1" t="s">
        <v>456</v>
      </c>
      <c r="H961" s="2" t="s">
        <v>1321</v>
      </c>
      <c r="I961" s="1">
        <v>165</v>
      </c>
      <c r="J961" s="1">
        <v>0.2</v>
      </c>
      <c r="K961" s="1" t="s">
        <v>52</v>
      </c>
      <c r="L961" s="1" t="s">
        <v>52</v>
      </c>
      <c r="M961" s="1">
        <v>3.25</v>
      </c>
      <c r="N961" s="1">
        <v>25</v>
      </c>
      <c r="O961" s="1">
        <v>63.223959999999998</v>
      </c>
      <c r="P961" s="1">
        <v>-166.56854000000001</v>
      </c>
      <c r="Q961" s="1">
        <v>10.8535</v>
      </c>
      <c r="R961" s="1">
        <v>29.0335</v>
      </c>
      <c r="S961" s="1">
        <v>269.83300000000003</v>
      </c>
      <c r="W961" s="3">
        <v>1.2130000000000001</v>
      </c>
      <c r="X961" s="1" t="s">
        <v>1322</v>
      </c>
      <c r="Y961" s="1">
        <v>0.9</v>
      </c>
      <c r="Z961" s="1">
        <v>0.27</v>
      </c>
      <c r="AA961" s="1">
        <v>0.32400000000000001</v>
      </c>
      <c r="AB961" s="1">
        <v>5.7</v>
      </c>
      <c r="AC961" s="1">
        <v>0.3</v>
      </c>
      <c r="AD961" s="1">
        <v>0</v>
      </c>
      <c r="AE961" s="1">
        <v>0.03</v>
      </c>
      <c r="AF961" s="1">
        <v>0.3</v>
      </c>
      <c r="AH961" s="1" t="s">
        <v>1323</v>
      </c>
      <c r="AI961" s="1">
        <v>3</v>
      </c>
      <c r="AJ961" s="1" t="s">
        <v>1322</v>
      </c>
      <c r="AK961" s="1">
        <v>2</v>
      </c>
      <c r="AL961" s="1">
        <v>87.966099999999997</v>
      </c>
      <c r="AM961" s="1" t="s">
        <v>1322</v>
      </c>
      <c r="AS961" s="1" t="s">
        <v>1324</v>
      </c>
    </row>
    <row r="962" spans="1:46">
      <c r="A962" s="1" t="s">
        <v>1325</v>
      </c>
      <c r="B962" s="1">
        <v>281</v>
      </c>
      <c r="C962" s="1" t="s">
        <v>1325</v>
      </c>
      <c r="D962" s="1" t="s">
        <v>1326</v>
      </c>
      <c r="E962" s="1" t="s">
        <v>47</v>
      </c>
      <c r="F962" s="1" t="s">
        <v>1320</v>
      </c>
      <c r="G962" s="1" t="s">
        <v>456</v>
      </c>
      <c r="H962" s="2" t="s">
        <v>1321</v>
      </c>
      <c r="I962" s="1">
        <v>165</v>
      </c>
      <c r="J962" s="1">
        <v>0.2</v>
      </c>
      <c r="K962" s="1" t="s">
        <v>65</v>
      </c>
      <c r="L962" s="1" t="s">
        <v>65</v>
      </c>
      <c r="M962" s="1">
        <v>10.23</v>
      </c>
      <c r="N962" s="1">
        <v>25</v>
      </c>
      <c r="O962" s="1">
        <v>63.223959999999998</v>
      </c>
      <c r="P962" s="1">
        <v>-166.56852000000001</v>
      </c>
      <c r="Q962" s="1">
        <v>6.8564999999999996</v>
      </c>
      <c r="R962" s="1">
        <v>30.844000000000001</v>
      </c>
      <c r="S962" s="1">
        <v>307.904</v>
      </c>
      <c r="W962" s="3">
        <v>3.7894000000000001</v>
      </c>
      <c r="X962" s="1" t="s">
        <v>1327</v>
      </c>
      <c r="Y962" s="1">
        <v>1.57</v>
      </c>
      <c r="Z962" s="1">
        <v>0.32</v>
      </c>
      <c r="AA962" s="1">
        <v>0.69799999999999995</v>
      </c>
      <c r="AB962" s="1">
        <v>3.4</v>
      </c>
      <c r="AC962" s="1">
        <v>0</v>
      </c>
      <c r="AD962" s="1">
        <v>0.01</v>
      </c>
      <c r="AE962" s="1">
        <v>0.21</v>
      </c>
      <c r="AF962" s="1">
        <v>0.01</v>
      </c>
      <c r="AH962" s="1" t="s">
        <v>1328</v>
      </c>
      <c r="AI962" s="1">
        <v>2</v>
      </c>
      <c r="AJ962" s="1" t="s">
        <v>1327</v>
      </c>
      <c r="AK962" s="1">
        <v>2</v>
      </c>
      <c r="AL962" s="1">
        <v>84.426000000000002</v>
      </c>
      <c r="AM962" s="1" t="s">
        <v>1327</v>
      </c>
    </row>
    <row r="963" spans="1:46">
      <c r="A963" s="1" t="s">
        <v>1329</v>
      </c>
      <c r="B963" s="1">
        <v>282</v>
      </c>
      <c r="C963" s="1" t="s">
        <v>1329</v>
      </c>
      <c r="D963" s="1" t="s">
        <v>1330</v>
      </c>
      <c r="E963" s="1" t="s">
        <v>47</v>
      </c>
      <c r="F963" s="1" t="s">
        <v>1320</v>
      </c>
      <c r="G963" s="1" t="s">
        <v>456</v>
      </c>
      <c r="H963" s="2" t="s">
        <v>1321</v>
      </c>
      <c r="I963" s="1">
        <v>165</v>
      </c>
      <c r="J963" s="1">
        <v>0.2</v>
      </c>
      <c r="K963" s="1" t="s">
        <v>150</v>
      </c>
      <c r="L963" s="1" t="s">
        <v>78</v>
      </c>
      <c r="M963" s="1">
        <v>23.19</v>
      </c>
      <c r="N963" s="1">
        <v>25</v>
      </c>
      <c r="O963" s="1">
        <v>63.223959999999998</v>
      </c>
      <c r="P963" s="1">
        <v>-166.56852000000001</v>
      </c>
      <c r="Q963" s="1">
        <v>1.9490000000000001</v>
      </c>
      <c r="R963" s="1">
        <v>31.853999999999999</v>
      </c>
      <c r="S963" s="1">
        <v>358.88900000000001</v>
      </c>
      <c r="W963" s="3">
        <v>1.9078999999999999</v>
      </c>
      <c r="X963" s="1" t="s">
        <v>1331</v>
      </c>
      <c r="Y963" s="1">
        <v>1.38</v>
      </c>
      <c r="Z963" s="1">
        <v>0.77</v>
      </c>
      <c r="AA963" s="1">
        <v>0.82799999999999996</v>
      </c>
      <c r="AB963" s="1">
        <v>3.1</v>
      </c>
      <c r="AC963" s="1">
        <v>0.1</v>
      </c>
      <c r="AD963" s="1">
        <v>0.02</v>
      </c>
      <c r="AE963" s="1">
        <v>0.32</v>
      </c>
      <c r="AF963" s="1">
        <v>0.12</v>
      </c>
      <c r="AH963" s="1" t="s">
        <v>1332</v>
      </c>
      <c r="AI963" s="1">
        <v>1</v>
      </c>
      <c r="AJ963" s="1" t="s">
        <v>1331</v>
      </c>
      <c r="AK963" s="1">
        <v>2</v>
      </c>
      <c r="AL963" s="1">
        <v>80.8262</v>
      </c>
      <c r="AM963" s="1" t="s">
        <v>1331</v>
      </c>
    </row>
    <row r="964" spans="1:46">
      <c r="A964" s="1" t="s">
        <v>1333</v>
      </c>
      <c r="B964" s="1">
        <v>283</v>
      </c>
      <c r="C964" s="1" t="s">
        <v>1333</v>
      </c>
      <c r="D964" s="1" t="s">
        <v>1334</v>
      </c>
      <c r="E964" s="1" t="s">
        <v>47</v>
      </c>
      <c r="F964" s="1" t="s">
        <v>1335</v>
      </c>
      <c r="G964" s="1" t="s">
        <v>456</v>
      </c>
      <c r="H964" s="2" t="s">
        <v>1336</v>
      </c>
      <c r="I964" s="1">
        <v>166</v>
      </c>
      <c r="J964" s="1">
        <v>0.2</v>
      </c>
      <c r="K964" s="1" t="s">
        <v>52</v>
      </c>
      <c r="L964" s="1" t="s">
        <v>52</v>
      </c>
      <c r="M964" s="1">
        <v>3.53</v>
      </c>
      <c r="N964" s="1">
        <v>25</v>
      </c>
      <c r="O964" s="1">
        <v>63.223939999999999</v>
      </c>
      <c r="P964" s="1">
        <v>-166.18078</v>
      </c>
      <c r="Q964" s="1">
        <v>9.6044999999999998</v>
      </c>
      <c r="R964" s="1">
        <v>29.988499999999998</v>
      </c>
      <c r="S964" s="1">
        <v>280.76600000000002</v>
      </c>
      <c r="T964" s="1">
        <v>26.62</v>
      </c>
      <c r="U964" s="1">
        <v>20.82</v>
      </c>
      <c r="V964" s="1">
        <v>2540</v>
      </c>
      <c r="W964" s="3">
        <v>0.99829999999999997</v>
      </c>
      <c r="X964" s="1" t="s">
        <v>1337</v>
      </c>
      <c r="Y964" s="1">
        <v>0.82</v>
      </c>
      <c r="Z964" s="1">
        <v>0.25</v>
      </c>
      <c r="AA964" s="1">
        <v>0.34399999999999997</v>
      </c>
      <c r="AB964" s="1">
        <v>4.5999999999999996</v>
      </c>
      <c r="AC964" s="1">
        <v>0</v>
      </c>
      <c r="AD964" s="1">
        <v>0</v>
      </c>
      <c r="AE964" s="1">
        <v>0.04</v>
      </c>
      <c r="AF964" s="1">
        <v>0</v>
      </c>
      <c r="AH964" s="1" t="s">
        <v>1338</v>
      </c>
      <c r="AI964" s="1">
        <v>3</v>
      </c>
      <c r="AJ964" s="1" t="s">
        <v>1337</v>
      </c>
      <c r="AK964" s="1">
        <v>1.6</v>
      </c>
      <c r="AL964" s="1">
        <v>88.868399999999994</v>
      </c>
      <c r="AM964" s="1" t="s">
        <v>1337</v>
      </c>
      <c r="AN964" s="1">
        <v>1.2785782901056699</v>
      </c>
      <c r="AO964" s="1">
        <v>0.19299294944991199</v>
      </c>
    </row>
    <row r="965" spans="1:46">
      <c r="A965" s="1" t="s">
        <v>1339</v>
      </c>
      <c r="B965" s="1">
        <v>284</v>
      </c>
      <c r="C965" s="1" t="s">
        <v>1339</v>
      </c>
      <c r="D965" s="1" t="s">
        <v>1340</v>
      </c>
      <c r="E965" s="1" t="s">
        <v>47</v>
      </c>
      <c r="F965" s="1" t="s">
        <v>1335</v>
      </c>
      <c r="G965" s="1" t="s">
        <v>456</v>
      </c>
      <c r="H965" s="2" t="s">
        <v>1336</v>
      </c>
      <c r="I965" s="1">
        <v>166</v>
      </c>
      <c r="J965" s="1">
        <v>0.2</v>
      </c>
      <c r="K965" s="1" t="s">
        <v>65</v>
      </c>
      <c r="L965" s="1" t="s">
        <v>65</v>
      </c>
      <c r="M965" s="1">
        <v>9.3000000000000007</v>
      </c>
      <c r="N965" s="1">
        <v>25</v>
      </c>
      <c r="O965" s="1">
        <v>63.223939999999999</v>
      </c>
      <c r="P965" s="1">
        <v>-166.18078</v>
      </c>
      <c r="Q965" s="1">
        <v>2.4990000000000001</v>
      </c>
      <c r="R965" s="1">
        <v>31.619</v>
      </c>
      <c r="S965" s="1">
        <v>356.21899999999999</v>
      </c>
      <c r="W965" s="3">
        <v>1.4432</v>
      </c>
      <c r="X965" s="1" t="s">
        <v>1341</v>
      </c>
      <c r="Y965" s="1">
        <v>1.0900000000000001</v>
      </c>
      <c r="Z965" s="1">
        <v>0.28000000000000003</v>
      </c>
      <c r="AA965" s="1">
        <v>0.71299999999999997</v>
      </c>
      <c r="AB965" s="1">
        <v>3.2</v>
      </c>
      <c r="AC965" s="1">
        <v>0</v>
      </c>
      <c r="AD965" s="1">
        <v>0.01</v>
      </c>
      <c r="AE965" s="1">
        <v>0.13</v>
      </c>
      <c r="AF965" s="1">
        <v>0.01</v>
      </c>
      <c r="AH965" s="1" t="s">
        <v>1342</v>
      </c>
      <c r="AI965" s="1">
        <v>2</v>
      </c>
      <c r="AJ965" s="1" t="s">
        <v>1341</v>
      </c>
      <c r="AK965" s="1">
        <v>1.6</v>
      </c>
      <c r="AL965" s="1">
        <v>86.032300000000006</v>
      </c>
      <c r="AM965" s="1" t="s">
        <v>1341</v>
      </c>
    </row>
    <row r="966" spans="1:46">
      <c r="A966" s="1" t="s">
        <v>1343</v>
      </c>
      <c r="B966" s="1">
        <v>285</v>
      </c>
      <c r="C966" s="1" t="s">
        <v>1343</v>
      </c>
      <c r="D966" s="1" t="s">
        <v>1344</v>
      </c>
      <c r="E966" s="1" t="s">
        <v>47</v>
      </c>
      <c r="F966" s="1" t="s">
        <v>1335</v>
      </c>
      <c r="G966" s="1" t="s">
        <v>456</v>
      </c>
      <c r="H966" s="2" t="s">
        <v>1336</v>
      </c>
      <c r="I966" s="1">
        <v>166</v>
      </c>
      <c r="J966" s="1">
        <v>0.2</v>
      </c>
      <c r="K966" s="1" t="s">
        <v>150</v>
      </c>
      <c r="L966" s="1" t="s">
        <v>78</v>
      </c>
      <c r="M966" s="1">
        <v>21.6</v>
      </c>
      <c r="N966" s="1">
        <v>25</v>
      </c>
      <c r="O966" s="1">
        <v>63.223939999999999</v>
      </c>
      <c r="P966" s="1">
        <v>-166.18078</v>
      </c>
      <c r="Q966" s="1">
        <v>1.679</v>
      </c>
      <c r="R966" s="1">
        <v>31.752500000000001</v>
      </c>
      <c r="S966" s="1">
        <v>352.74400000000003</v>
      </c>
      <c r="T966" s="1">
        <v>21.2</v>
      </c>
      <c r="U966" s="1">
        <v>17.059999999999999</v>
      </c>
      <c r="V966" s="1">
        <v>3620</v>
      </c>
      <c r="W966" s="3">
        <v>1.2250000000000001</v>
      </c>
      <c r="X966" s="1" t="s">
        <v>1345</v>
      </c>
      <c r="Y966" s="1">
        <v>1.01</v>
      </c>
      <c r="Z966" s="1">
        <v>0.65</v>
      </c>
      <c r="AA966" s="1">
        <v>0.82799999999999996</v>
      </c>
      <c r="AB966" s="1">
        <v>3.1</v>
      </c>
      <c r="AC966" s="1">
        <v>0</v>
      </c>
      <c r="AD966" s="1">
        <v>0</v>
      </c>
      <c r="AE966" s="1">
        <v>0.13</v>
      </c>
      <c r="AF966" s="1">
        <v>0</v>
      </c>
      <c r="AH966" s="1" t="s">
        <v>1346</v>
      </c>
      <c r="AI966" s="1">
        <v>1</v>
      </c>
      <c r="AJ966" s="1" t="s">
        <v>1345</v>
      </c>
      <c r="AK966" s="1">
        <v>1.6</v>
      </c>
      <c r="AL966" s="1">
        <v>81.655500000000004</v>
      </c>
      <c r="AM966" s="1" t="s">
        <v>1345</v>
      </c>
      <c r="AN966" s="1">
        <v>1.24267291910903</v>
      </c>
      <c r="AO966" s="1">
        <v>0.18757327080891001</v>
      </c>
    </row>
    <row r="967" spans="1:46">
      <c r="A967" s="1" t="s">
        <v>1347</v>
      </c>
      <c r="B967" s="1">
        <v>286</v>
      </c>
      <c r="C967" s="1" t="s">
        <v>1347</v>
      </c>
      <c r="D967" s="1" t="s">
        <v>1348</v>
      </c>
      <c r="E967" s="1" t="s">
        <v>47</v>
      </c>
      <c r="F967" s="1" t="s">
        <v>1349</v>
      </c>
      <c r="G967" s="1" t="s">
        <v>456</v>
      </c>
      <c r="H967" s="2" t="s">
        <v>1350</v>
      </c>
      <c r="I967" s="1">
        <v>167</v>
      </c>
      <c r="J967" s="1">
        <v>0.2</v>
      </c>
      <c r="K967" s="1" t="s">
        <v>52</v>
      </c>
      <c r="L967" s="1" t="s">
        <v>52</v>
      </c>
      <c r="M967" s="1">
        <v>2.87</v>
      </c>
      <c r="N967" s="1">
        <v>24</v>
      </c>
      <c r="O967" s="1">
        <v>63.224879999999999</v>
      </c>
      <c r="P967" s="1">
        <v>-165.78994</v>
      </c>
      <c r="Q967" s="1">
        <v>10.039</v>
      </c>
      <c r="R967" s="1">
        <v>29.257000000000001</v>
      </c>
      <c r="S967" s="1">
        <v>274.452</v>
      </c>
      <c r="W967" s="3">
        <v>0.72850000000000004</v>
      </c>
      <c r="X967" s="1" t="s">
        <v>1351</v>
      </c>
      <c r="Y967" s="1">
        <v>0.55000000000000004</v>
      </c>
      <c r="Z967" s="1">
        <v>0.26</v>
      </c>
      <c r="AA967" s="1">
        <v>0.38400000000000001</v>
      </c>
      <c r="AB967" s="1">
        <v>4.9000000000000004</v>
      </c>
      <c r="AC967" s="1">
        <v>0</v>
      </c>
      <c r="AD967" s="1">
        <v>0.01</v>
      </c>
      <c r="AE967" s="1">
        <v>0.05</v>
      </c>
      <c r="AF967" s="1">
        <v>0.01</v>
      </c>
      <c r="AH967" s="1" t="s">
        <v>1352</v>
      </c>
      <c r="AI967" s="1">
        <v>3</v>
      </c>
      <c r="AJ967" s="1" t="s">
        <v>1351</v>
      </c>
      <c r="AK967" s="1">
        <v>1.5</v>
      </c>
      <c r="AL967" s="1">
        <v>89.662499999999994</v>
      </c>
      <c r="AM967" s="1" t="s">
        <v>1351</v>
      </c>
      <c r="AS967" s="1" t="s">
        <v>1353</v>
      </c>
    </row>
    <row r="968" spans="1:46">
      <c r="A968" s="1" t="s">
        <v>1354</v>
      </c>
      <c r="B968" s="1">
        <v>287</v>
      </c>
      <c r="C968" s="1" t="s">
        <v>1354</v>
      </c>
      <c r="D968" s="1" t="s">
        <v>1355</v>
      </c>
      <c r="E968" s="1" t="s">
        <v>47</v>
      </c>
      <c r="F968" s="1" t="s">
        <v>1349</v>
      </c>
      <c r="G968" s="1" t="s">
        <v>456</v>
      </c>
      <c r="H968" s="2" t="s">
        <v>1350</v>
      </c>
      <c r="I968" s="1">
        <v>167</v>
      </c>
      <c r="J968" s="1">
        <v>0.2</v>
      </c>
      <c r="K968" s="1" t="s">
        <v>486</v>
      </c>
      <c r="L968" s="1" t="s">
        <v>65</v>
      </c>
      <c r="M968" s="1">
        <v>10.97</v>
      </c>
      <c r="N968" s="1">
        <v>24</v>
      </c>
      <c r="O968" s="1">
        <v>63.224879999999999</v>
      </c>
      <c r="P968" s="1">
        <v>-165.78994</v>
      </c>
      <c r="Q968" s="1">
        <v>2.1669999999999998</v>
      </c>
      <c r="R968" s="1">
        <v>31.547999999999998</v>
      </c>
      <c r="S968" s="1">
        <v>349.57900000000001</v>
      </c>
      <c r="W968" s="3">
        <v>0.96189999999999998</v>
      </c>
      <c r="X968" s="1" t="s">
        <v>1356</v>
      </c>
      <c r="Y968" s="1">
        <v>0.65</v>
      </c>
      <c r="Z968" s="1">
        <v>0.46</v>
      </c>
      <c r="AA968" s="1">
        <v>0.61699999999999999</v>
      </c>
      <c r="AB968" s="1">
        <v>2.5</v>
      </c>
      <c r="AC968" s="1">
        <v>0</v>
      </c>
      <c r="AD968" s="1">
        <v>0</v>
      </c>
      <c r="AE968" s="1">
        <v>0.01</v>
      </c>
      <c r="AF968" s="1">
        <v>0</v>
      </c>
      <c r="AH968" s="1" t="s">
        <v>1357</v>
      </c>
      <c r="AI968" s="1">
        <v>2</v>
      </c>
      <c r="AJ968" s="1" t="s">
        <v>1356</v>
      </c>
      <c r="AK968" s="1">
        <v>1.5</v>
      </c>
      <c r="AL968" s="1">
        <v>85.6755</v>
      </c>
      <c r="AM968" s="1" t="s">
        <v>1356</v>
      </c>
      <c r="AS968" s="1" t="s">
        <v>1358</v>
      </c>
    </row>
    <row r="969" spans="1:46">
      <c r="A969" s="1" t="s">
        <v>1359</v>
      </c>
      <c r="B969" s="1">
        <v>288</v>
      </c>
      <c r="C969" s="1" t="s">
        <v>1359</v>
      </c>
      <c r="D969" s="1" t="s">
        <v>1360</v>
      </c>
      <c r="E969" s="1" t="s">
        <v>47</v>
      </c>
      <c r="F969" s="1" t="s">
        <v>1349</v>
      </c>
      <c r="G969" s="1" t="s">
        <v>456</v>
      </c>
      <c r="H969" s="2" t="s">
        <v>1350</v>
      </c>
      <c r="I969" s="1">
        <v>167</v>
      </c>
      <c r="J969" s="1">
        <v>0.2</v>
      </c>
      <c r="K969" s="1" t="s">
        <v>150</v>
      </c>
      <c r="L969" s="1" t="s">
        <v>78</v>
      </c>
      <c r="M969" s="1">
        <v>20.97</v>
      </c>
      <c r="N969" s="1">
        <v>24</v>
      </c>
      <c r="O969" s="1">
        <v>63.224879999999999</v>
      </c>
      <c r="P969" s="1">
        <v>-165.78994</v>
      </c>
      <c r="Q969" s="1">
        <v>2.1240000000000001</v>
      </c>
      <c r="R969" s="1">
        <v>31.547000000000001</v>
      </c>
      <c r="S969" s="1">
        <v>349.495</v>
      </c>
      <c r="W969" s="3">
        <v>0.82609999999999995</v>
      </c>
      <c r="X969" s="1" t="s">
        <v>1361</v>
      </c>
      <c r="Y969" s="1">
        <v>0.78</v>
      </c>
      <c r="Z969" s="1">
        <v>0.48</v>
      </c>
      <c r="AA969" s="1">
        <v>0.71899999999999997</v>
      </c>
      <c r="AB969" s="1">
        <v>2.2999999999999998</v>
      </c>
      <c r="AC969" s="1">
        <v>0</v>
      </c>
      <c r="AD969" s="1">
        <v>0</v>
      </c>
      <c r="AE969" s="1">
        <v>0.23</v>
      </c>
      <c r="AF969" s="1">
        <v>0</v>
      </c>
      <c r="AH969" s="1" t="s">
        <v>1362</v>
      </c>
      <c r="AI969" s="1">
        <v>1</v>
      </c>
      <c r="AJ969" s="1" t="s">
        <v>1361</v>
      </c>
      <c r="AK969" s="1">
        <v>1.5</v>
      </c>
      <c r="AL969" s="1">
        <v>83.838800000000006</v>
      </c>
      <c r="AM969" s="1" t="s">
        <v>1361</v>
      </c>
    </row>
    <row r="970" spans="1:46">
      <c r="A970" s="1" t="s">
        <v>1363</v>
      </c>
      <c r="B970" s="1">
        <v>289</v>
      </c>
      <c r="C970" s="1" t="s">
        <v>1363</v>
      </c>
      <c r="D970" s="1" t="s">
        <v>1364</v>
      </c>
      <c r="E970" s="1" t="s">
        <v>47</v>
      </c>
      <c r="F970" s="1" t="s">
        <v>1365</v>
      </c>
      <c r="G970" s="1" t="s">
        <v>456</v>
      </c>
      <c r="H970" s="2" t="s">
        <v>1366</v>
      </c>
      <c r="I970" s="1">
        <v>168</v>
      </c>
      <c r="J970" s="1">
        <v>0.2</v>
      </c>
      <c r="K970" s="1" t="s">
        <v>52</v>
      </c>
      <c r="L970" s="1" t="s">
        <v>52</v>
      </c>
      <c r="M970" s="1">
        <v>3.26</v>
      </c>
      <c r="N970" s="1">
        <v>20</v>
      </c>
      <c r="O970" s="1">
        <v>63.224339999999998</v>
      </c>
      <c r="P970" s="1">
        <v>-165.39964000000001</v>
      </c>
      <c r="Q970" s="1">
        <v>10.911</v>
      </c>
      <c r="R970" s="1">
        <v>25.0105</v>
      </c>
      <c r="S970" s="1">
        <v>267.87799999999999</v>
      </c>
      <c r="T970" s="1">
        <v>35.94</v>
      </c>
      <c r="U970" s="1">
        <v>26.92</v>
      </c>
      <c r="V970" s="1">
        <v>3500</v>
      </c>
      <c r="W970" s="3">
        <v>1.7003999999999999</v>
      </c>
      <c r="X970" s="1" t="s">
        <v>1367</v>
      </c>
      <c r="AA970" s="1">
        <v>0.16800000000000001</v>
      </c>
      <c r="AB970" s="1">
        <v>11</v>
      </c>
      <c r="AC970" s="1">
        <v>0</v>
      </c>
      <c r="AD970" s="1">
        <v>0.01</v>
      </c>
      <c r="AE970" s="1">
        <v>0.1</v>
      </c>
      <c r="AF970" s="1">
        <v>0.01</v>
      </c>
      <c r="AH970" s="1" t="s">
        <v>1368</v>
      </c>
      <c r="AI970" s="1">
        <v>3</v>
      </c>
      <c r="AJ970" s="1" t="s">
        <v>1367</v>
      </c>
      <c r="AK970" s="1">
        <v>1.3</v>
      </c>
      <c r="AL970" s="1">
        <v>75.938999999999993</v>
      </c>
      <c r="AM970" s="1" t="s">
        <v>1367</v>
      </c>
      <c r="AN970" s="1">
        <v>1.3350668647845501</v>
      </c>
      <c r="AO970" s="1">
        <v>0.20151952675993201</v>
      </c>
    </row>
    <row r="971" spans="1:46">
      <c r="A971" s="1" t="s">
        <v>1369</v>
      </c>
      <c r="B971" s="1">
        <v>290</v>
      </c>
      <c r="C971" s="1" t="s">
        <v>1369</v>
      </c>
      <c r="D971" s="1" t="s">
        <v>1370</v>
      </c>
      <c r="E971" s="1" t="s">
        <v>47</v>
      </c>
      <c r="F971" s="1" t="s">
        <v>1365</v>
      </c>
      <c r="G971" s="1" t="s">
        <v>456</v>
      </c>
      <c r="H971" s="2" t="s">
        <v>1366</v>
      </c>
      <c r="I971" s="1">
        <v>168</v>
      </c>
      <c r="J971" s="1">
        <v>0.2</v>
      </c>
      <c r="K971" s="1" t="s">
        <v>486</v>
      </c>
      <c r="L971" s="1" t="s">
        <v>78</v>
      </c>
      <c r="M971" s="1">
        <v>11.18</v>
      </c>
      <c r="N971" s="1">
        <v>20</v>
      </c>
      <c r="O971" s="1">
        <v>63.224339999999998</v>
      </c>
      <c r="P971" s="1">
        <v>-165.39964000000001</v>
      </c>
      <c r="Q971" s="1">
        <v>2.2195</v>
      </c>
      <c r="R971" s="1">
        <v>31.114999999999998</v>
      </c>
      <c r="S971" s="1">
        <v>337.678</v>
      </c>
      <c r="T971" s="1">
        <v>45.76</v>
      </c>
      <c r="U971" s="1">
        <v>43.02</v>
      </c>
      <c r="V971" s="1">
        <v>4960.00000000001</v>
      </c>
      <c r="W971" s="3">
        <v>0.80100000000000005</v>
      </c>
      <c r="X971" s="1" t="s">
        <v>1371</v>
      </c>
      <c r="AA971" s="1">
        <v>0.86299999999999999</v>
      </c>
      <c r="AB971" s="1">
        <v>4.3</v>
      </c>
      <c r="AC971" s="1">
        <v>0.1</v>
      </c>
      <c r="AD971" s="1">
        <v>0.11</v>
      </c>
      <c r="AE971" s="1">
        <v>0.88</v>
      </c>
      <c r="AF971" s="1">
        <v>0.21</v>
      </c>
      <c r="AH971" s="1" t="s">
        <v>1372</v>
      </c>
      <c r="AI971" s="1">
        <v>2</v>
      </c>
      <c r="AJ971" s="1" t="s">
        <v>1371</v>
      </c>
      <c r="AK971" s="1">
        <v>1.3</v>
      </c>
      <c r="AL971" s="1">
        <v>61.788899999999998</v>
      </c>
      <c r="AM971" s="1" t="s">
        <v>1371</v>
      </c>
      <c r="AN971" s="1">
        <v>1.06369130636913</v>
      </c>
      <c r="AO971" s="1">
        <v>0.16055717831986899</v>
      </c>
    </row>
    <row r="972" spans="1:46">
      <c r="A972" s="1" t="s">
        <v>1373</v>
      </c>
      <c r="B972" s="1">
        <v>291</v>
      </c>
      <c r="C972" s="1" t="s">
        <v>1373</v>
      </c>
      <c r="D972" s="1" t="s">
        <v>1374</v>
      </c>
      <c r="E972" s="1" t="s">
        <v>47</v>
      </c>
      <c r="F972" s="1" t="s">
        <v>1365</v>
      </c>
      <c r="G972" s="1" t="s">
        <v>456</v>
      </c>
      <c r="H972" s="2" t="s">
        <v>1366</v>
      </c>
      <c r="I972" s="1">
        <v>168</v>
      </c>
      <c r="J972" s="1">
        <v>0.2</v>
      </c>
      <c r="K972" s="1" t="s">
        <v>150</v>
      </c>
      <c r="L972" s="1" t="s">
        <v>78</v>
      </c>
      <c r="M972" s="1">
        <v>16.850000000000001</v>
      </c>
      <c r="N972" s="1">
        <v>20</v>
      </c>
      <c r="O972" s="1">
        <v>63.224339999999998</v>
      </c>
      <c r="P972" s="1">
        <v>-165.39964000000001</v>
      </c>
      <c r="Q972" s="1">
        <v>2.2050000000000001</v>
      </c>
      <c r="R972" s="1">
        <v>31.1175</v>
      </c>
      <c r="S972" s="1">
        <v>337.23</v>
      </c>
      <c r="T972" s="1">
        <v>28.5</v>
      </c>
      <c r="U972" s="1">
        <v>18.8333333333333</v>
      </c>
      <c r="V972" s="1">
        <v>7133.3333333333203</v>
      </c>
      <c r="W972" s="3">
        <v>0.86619999999999997</v>
      </c>
      <c r="X972" s="1" t="s">
        <v>1375</v>
      </c>
      <c r="AA972" s="1">
        <v>0.876</v>
      </c>
      <c r="AB972" s="1">
        <v>4.2</v>
      </c>
      <c r="AC972" s="1">
        <v>0</v>
      </c>
      <c r="AD972" s="1">
        <v>0.1</v>
      </c>
      <c r="AE972" s="1">
        <v>0.75</v>
      </c>
      <c r="AF972" s="1">
        <v>0.1</v>
      </c>
      <c r="AH972" s="1" t="s">
        <v>1376</v>
      </c>
      <c r="AI972" s="1">
        <v>1</v>
      </c>
      <c r="AJ972" s="1" t="s">
        <v>1375</v>
      </c>
      <c r="AK972" s="1">
        <v>1.3</v>
      </c>
      <c r="AL972" s="1">
        <v>56.234999999999999</v>
      </c>
      <c r="AM972" s="1" t="s">
        <v>1375</v>
      </c>
      <c r="AN972" s="1">
        <v>1.51327433628319</v>
      </c>
      <c r="AO972" s="1">
        <v>0.22841876774085801</v>
      </c>
    </row>
    <row r="973" spans="1:46">
      <c r="A973" s="1" t="s">
        <v>1377</v>
      </c>
      <c r="B973" s="1">
        <v>292</v>
      </c>
      <c r="C973" s="1" t="s">
        <v>1377</v>
      </c>
      <c r="D973" s="1" t="s">
        <v>1378</v>
      </c>
      <c r="E973" s="1" t="s">
        <v>47</v>
      </c>
      <c r="F973" s="1" t="s">
        <v>1379</v>
      </c>
      <c r="G973" s="1" t="s">
        <v>456</v>
      </c>
      <c r="H973" s="2" t="s">
        <v>1380</v>
      </c>
      <c r="I973" s="1">
        <v>169</v>
      </c>
      <c r="J973" s="1">
        <v>0.2</v>
      </c>
      <c r="K973" s="1" t="s">
        <v>52</v>
      </c>
      <c r="L973" s="1" t="s">
        <v>52</v>
      </c>
      <c r="M973" s="1">
        <v>3.22</v>
      </c>
      <c r="N973" s="1">
        <v>16</v>
      </c>
      <c r="O973" s="1">
        <v>63.22372</v>
      </c>
      <c r="P973" s="1">
        <v>-165.25376</v>
      </c>
      <c r="Q973" s="1">
        <v>10.486000000000001</v>
      </c>
      <c r="R973" s="1">
        <v>25.3155</v>
      </c>
      <c r="S973" s="1">
        <v>264.22000000000003</v>
      </c>
      <c r="W973" s="3">
        <v>1.5251999999999999</v>
      </c>
      <c r="X973" s="1" t="s">
        <v>1381</v>
      </c>
      <c r="Y973" s="1">
        <v>1.87</v>
      </c>
      <c r="Z973" s="1">
        <v>0.65</v>
      </c>
      <c r="AA973" s="1">
        <v>0.23400000000000001</v>
      </c>
      <c r="AB973" s="1">
        <v>10.8</v>
      </c>
      <c r="AC973" s="1">
        <v>0</v>
      </c>
      <c r="AD973" s="1">
        <v>0.04</v>
      </c>
      <c r="AE973" s="1">
        <v>0.19</v>
      </c>
      <c r="AF973" s="1">
        <v>0.04</v>
      </c>
      <c r="AH973" s="1" t="s">
        <v>1382</v>
      </c>
      <c r="AI973" s="1">
        <v>3</v>
      </c>
      <c r="AJ973" s="1" t="s">
        <v>1381</v>
      </c>
      <c r="AK973" s="1">
        <v>1</v>
      </c>
      <c r="AL973" s="1">
        <v>71.427300000000002</v>
      </c>
      <c r="AM973" s="1" t="s">
        <v>1381</v>
      </c>
    </row>
    <row r="974" spans="1:46">
      <c r="A974" s="1" t="s">
        <v>1383</v>
      </c>
      <c r="B974" s="1">
        <v>293</v>
      </c>
      <c r="C974" s="1" t="s">
        <v>1383</v>
      </c>
      <c r="D974" s="1" t="s">
        <v>1384</v>
      </c>
      <c r="E974" s="1" t="s">
        <v>47</v>
      </c>
      <c r="F974" s="1" t="s">
        <v>1379</v>
      </c>
      <c r="G974" s="1" t="s">
        <v>456</v>
      </c>
      <c r="H974" s="2" t="s">
        <v>1380</v>
      </c>
      <c r="I974" s="1">
        <v>169</v>
      </c>
      <c r="J974" s="1">
        <v>0.2</v>
      </c>
      <c r="K974" s="1" t="s">
        <v>486</v>
      </c>
      <c r="L974" s="1" t="s">
        <v>78</v>
      </c>
      <c r="M974" s="1">
        <v>10.3</v>
      </c>
      <c r="N974" s="1">
        <v>16</v>
      </c>
      <c r="O974" s="1">
        <v>63.22372</v>
      </c>
      <c r="P974" s="1">
        <v>-165.25376</v>
      </c>
      <c r="Q974" s="1">
        <v>4.3375000000000004</v>
      </c>
      <c r="R974" s="1">
        <v>29.757999999999999</v>
      </c>
      <c r="S974" s="1">
        <v>268.64299999999997</v>
      </c>
      <c r="W974" s="3">
        <v>0.43140000000000001</v>
      </c>
      <c r="X974" s="1" t="s">
        <v>1385</v>
      </c>
      <c r="Y974" s="1">
        <v>1.05</v>
      </c>
      <c r="Z974" s="1">
        <v>0.75</v>
      </c>
      <c r="AA974" s="1">
        <v>0.68</v>
      </c>
      <c r="AB974" s="1">
        <v>7.2</v>
      </c>
      <c r="AC974" s="1">
        <v>0.1</v>
      </c>
      <c r="AD974" s="1">
        <v>0.13</v>
      </c>
      <c r="AE974" s="1">
        <v>1.08</v>
      </c>
      <c r="AF974" s="1">
        <v>0.23</v>
      </c>
      <c r="AH974" s="1" t="s">
        <v>1386</v>
      </c>
      <c r="AI974" s="1">
        <v>2</v>
      </c>
      <c r="AJ974" s="1" t="s">
        <v>1385</v>
      </c>
      <c r="AK974" s="1">
        <v>1</v>
      </c>
      <c r="AL974" s="1">
        <v>55.168399999999998</v>
      </c>
      <c r="AM974" s="1" t="s">
        <v>1385</v>
      </c>
      <c r="AS974" s="1" t="s">
        <v>1387</v>
      </c>
    </row>
    <row r="975" spans="1:46">
      <c r="A975" s="1" t="s">
        <v>1388</v>
      </c>
      <c r="B975" s="1">
        <v>294</v>
      </c>
      <c r="C975" s="1" t="s">
        <v>1388</v>
      </c>
      <c r="D975" s="1" t="s">
        <v>1389</v>
      </c>
      <c r="E975" s="1" t="s">
        <v>47</v>
      </c>
      <c r="F975" s="1" t="s">
        <v>1379</v>
      </c>
      <c r="G975" s="1" t="s">
        <v>456</v>
      </c>
      <c r="H975" s="2" t="s">
        <v>1380</v>
      </c>
      <c r="I975" s="1">
        <v>169</v>
      </c>
      <c r="J975" s="1">
        <v>0.2</v>
      </c>
      <c r="K975" s="1" t="s">
        <v>150</v>
      </c>
      <c r="L975" s="1" t="s">
        <v>78</v>
      </c>
      <c r="M975" s="1">
        <v>13.96</v>
      </c>
      <c r="N975" s="1">
        <v>16</v>
      </c>
      <c r="O975" s="1">
        <v>63.22372</v>
      </c>
      <c r="P975" s="1">
        <v>-165.25376</v>
      </c>
      <c r="Q975" s="1">
        <v>3.7865000000000002</v>
      </c>
      <c r="R975" s="1">
        <v>30.0885</v>
      </c>
      <c r="S975" s="1">
        <v>283.00799999999998</v>
      </c>
      <c r="W975" s="3">
        <v>0.6502</v>
      </c>
      <c r="X975" s="1" t="s">
        <v>1390</v>
      </c>
      <c r="Y975" s="1">
        <v>1.06</v>
      </c>
      <c r="Z975" s="1">
        <v>0.83</v>
      </c>
      <c r="AA975" s="1">
        <v>0.94899999999999995</v>
      </c>
      <c r="AB975" s="1">
        <v>6.9</v>
      </c>
      <c r="AC975" s="1">
        <v>0.2</v>
      </c>
      <c r="AD975" s="1">
        <v>0.18</v>
      </c>
      <c r="AE975" s="1">
        <v>1.45</v>
      </c>
      <c r="AF975" s="1">
        <v>0.38</v>
      </c>
      <c r="AH975" s="1" t="s">
        <v>1391</v>
      </c>
      <c r="AI975" s="1">
        <v>1</v>
      </c>
      <c r="AJ975" s="1" t="s">
        <v>1390</v>
      </c>
      <c r="AK975" s="1">
        <v>1</v>
      </c>
      <c r="AL975" s="1">
        <v>35.802599999999998</v>
      </c>
      <c r="AM975" s="1" t="s">
        <v>1390</v>
      </c>
    </row>
    <row r="976" spans="1:46">
      <c r="A976" s="1" t="s">
        <v>4218</v>
      </c>
      <c r="C976" s="1" t="s">
        <v>4218</v>
      </c>
      <c r="D976" s="1" t="s">
        <v>4219</v>
      </c>
      <c r="E976" s="1" t="s">
        <v>1394</v>
      </c>
      <c r="F976" s="1" t="s">
        <v>4220</v>
      </c>
      <c r="G976" s="1" t="s">
        <v>456</v>
      </c>
      <c r="H976" s="2" t="s">
        <v>4221</v>
      </c>
      <c r="I976" s="1">
        <v>52</v>
      </c>
      <c r="J976" s="1">
        <v>0.2</v>
      </c>
      <c r="K976" s="1">
        <v>3</v>
      </c>
      <c r="L976" s="1" t="s">
        <v>52</v>
      </c>
      <c r="M976" s="1">
        <v>2.9609999999999999</v>
      </c>
      <c r="N976" s="1">
        <v>56.4</v>
      </c>
      <c r="O976" s="1">
        <v>72.878166669999999</v>
      </c>
      <c r="P976" s="1">
        <v>-166.84833330000001</v>
      </c>
      <c r="Q976" s="1">
        <v>3.76315</v>
      </c>
      <c r="R976" s="1">
        <v>30.202649999999998</v>
      </c>
      <c r="S976" s="1">
        <v>356.21613600000001</v>
      </c>
      <c r="W976" s="3">
        <v>0.79500000000000004</v>
      </c>
      <c r="Y976" s="1">
        <v>2.7679999999999998</v>
      </c>
      <c r="Z976" s="1">
        <v>0.36899999999999999</v>
      </c>
      <c r="AA976" s="1">
        <v>0.72299999999999998</v>
      </c>
      <c r="AB976" s="1">
        <v>5.2</v>
      </c>
      <c r="AC976" s="1">
        <v>0</v>
      </c>
      <c r="AD976" s="1">
        <v>0.01</v>
      </c>
      <c r="AE976" s="1">
        <v>7.0000000000000007E-2</v>
      </c>
      <c r="AF976" s="1">
        <v>0.01</v>
      </c>
      <c r="AH976" s="8" t="s">
        <v>4222</v>
      </c>
      <c r="AI976" s="8">
        <v>15</v>
      </c>
      <c r="AJ976" s="8" t="s">
        <v>4223</v>
      </c>
      <c r="AK976" s="8">
        <v>3</v>
      </c>
      <c r="AM976" s="1" t="s">
        <v>4224</v>
      </c>
      <c r="AT976" s="8" t="s">
        <v>1607</v>
      </c>
    </row>
    <row r="977" spans="1:46">
      <c r="A977" s="1" t="s">
        <v>4225</v>
      </c>
      <c r="C977" s="1" t="s">
        <v>4225</v>
      </c>
      <c r="D977" s="1" t="s">
        <v>4226</v>
      </c>
      <c r="E977" s="1" t="s">
        <v>1394</v>
      </c>
      <c r="F977" s="1" t="s">
        <v>4220</v>
      </c>
      <c r="G977" s="1" t="s">
        <v>456</v>
      </c>
      <c r="H977" s="2" t="s">
        <v>4221</v>
      </c>
      <c r="I977" s="1">
        <v>52</v>
      </c>
      <c r="J977" s="1">
        <v>0.2</v>
      </c>
      <c r="K977" s="1">
        <v>10</v>
      </c>
      <c r="L977" s="1" t="s">
        <v>65</v>
      </c>
      <c r="M977" s="1">
        <v>10.061</v>
      </c>
      <c r="N977" s="1">
        <v>56.4</v>
      </c>
      <c r="O977" s="1">
        <v>72.878166669999999</v>
      </c>
      <c r="P977" s="1">
        <v>-166.84833330000001</v>
      </c>
      <c r="Q977" s="1">
        <v>3.7623000000000002</v>
      </c>
      <c r="R977" s="1">
        <v>30.203800000000001</v>
      </c>
      <c r="S977" s="1">
        <v>356.29652579999998</v>
      </c>
      <c r="W977" s="3">
        <v>0.9042</v>
      </c>
      <c r="Y977" s="1">
        <v>2.367</v>
      </c>
      <c r="Z977" s="1">
        <v>0.38700000000000001</v>
      </c>
      <c r="AH977" s="8" t="s">
        <v>4227</v>
      </c>
      <c r="AI977" s="8">
        <v>13</v>
      </c>
      <c r="AJ977" s="8" t="s">
        <v>4228</v>
      </c>
      <c r="AK977" s="8">
        <v>3</v>
      </c>
      <c r="AM977" s="1" t="s">
        <v>4229</v>
      </c>
      <c r="AT977" s="8" t="s">
        <v>1607</v>
      </c>
    </row>
    <row r="978" spans="1:46">
      <c r="A978" s="1" t="s">
        <v>4230</v>
      </c>
      <c r="C978" s="1" t="s">
        <v>4230</v>
      </c>
      <c r="D978" s="1" t="s">
        <v>4231</v>
      </c>
      <c r="E978" s="1" t="s">
        <v>1394</v>
      </c>
      <c r="F978" s="1" t="s">
        <v>4220</v>
      </c>
      <c r="G978" s="1" t="s">
        <v>456</v>
      </c>
      <c r="H978" s="2" t="s">
        <v>4221</v>
      </c>
      <c r="I978" s="1">
        <v>52</v>
      </c>
      <c r="J978" s="1">
        <v>0.2</v>
      </c>
      <c r="K978" s="1">
        <v>20</v>
      </c>
      <c r="L978" s="1" t="s">
        <v>65</v>
      </c>
      <c r="M978" s="1">
        <v>20.164999999999999</v>
      </c>
      <c r="N978" s="1">
        <v>56.4</v>
      </c>
      <c r="O978" s="1">
        <v>72.878166669999999</v>
      </c>
      <c r="P978" s="1">
        <v>-166.84833330000001</v>
      </c>
      <c r="Q978" s="1">
        <v>3.8061500000000001</v>
      </c>
      <c r="R978" s="1">
        <v>30.42615</v>
      </c>
      <c r="S978" s="1">
        <v>356.49303420000001</v>
      </c>
      <c r="W978" s="3">
        <v>0.55820000000000003</v>
      </c>
      <c r="Y978" s="1">
        <v>0.79700000000000004</v>
      </c>
      <c r="Z978" s="1">
        <v>0.191</v>
      </c>
      <c r="AA978" s="1">
        <v>0.63500000000000001</v>
      </c>
      <c r="AB978" s="1">
        <v>4.0999999999999996</v>
      </c>
      <c r="AC978" s="1">
        <v>0</v>
      </c>
      <c r="AD978" s="1">
        <v>0.01</v>
      </c>
      <c r="AE978" s="1">
        <v>0.08</v>
      </c>
      <c r="AF978" s="1">
        <v>0.01</v>
      </c>
      <c r="AH978" s="8" t="s">
        <v>4232</v>
      </c>
      <c r="AI978" s="8">
        <v>11</v>
      </c>
      <c r="AJ978" s="8" t="s">
        <v>4233</v>
      </c>
      <c r="AK978" s="8">
        <v>3</v>
      </c>
      <c r="AM978" s="1" t="s">
        <v>4234</v>
      </c>
      <c r="AT978" s="8" t="s">
        <v>1607</v>
      </c>
    </row>
    <row r="979" spans="1:46">
      <c r="A979" s="1" t="s">
        <v>4235</v>
      </c>
      <c r="C979" s="1" t="s">
        <v>4235</v>
      </c>
      <c r="D979" s="1" t="s">
        <v>4236</v>
      </c>
      <c r="E979" s="1" t="s">
        <v>1394</v>
      </c>
      <c r="F979" s="1" t="s">
        <v>4220</v>
      </c>
      <c r="G979" s="1" t="s">
        <v>456</v>
      </c>
      <c r="H979" s="2" t="s">
        <v>4221</v>
      </c>
      <c r="I979" s="1">
        <v>52</v>
      </c>
      <c r="J979" s="1">
        <v>0.2</v>
      </c>
      <c r="K979" s="1">
        <v>30</v>
      </c>
      <c r="L979" s="1" t="s">
        <v>65</v>
      </c>
      <c r="M979" s="1">
        <v>30.087</v>
      </c>
      <c r="N979" s="1">
        <v>56.4</v>
      </c>
      <c r="O979" s="1">
        <v>72.878166669999999</v>
      </c>
      <c r="P979" s="1">
        <v>-166.84833330000001</v>
      </c>
      <c r="Q979" s="1">
        <v>5.4678500000000003</v>
      </c>
      <c r="R979" s="1">
        <v>32.005000000000003</v>
      </c>
      <c r="S979" s="1">
        <v>353.39356079999999</v>
      </c>
      <c r="W979" s="3">
        <v>0.4587</v>
      </c>
      <c r="Y979" s="1">
        <v>0.73899999999999999</v>
      </c>
      <c r="Z979" s="1">
        <v>0.24</v>
      </c>
      <c r="AH979" s="8" t="s">
        <v>4237</v>
      </c>
      <c r="AI979" s="8">
        <v>9</v>
      </c>
      <c r="AJ979" s="8" t="s">
        <v>4238</v>
      </c>
      <c r="AK979" s="8">
        <v>2.8</v>
      </c>
      <c r="AM979" s="1" t="s">
        <v>4239</v>
      </c>
      <c r="AT979" s="8" t="s">
        <v>1607</v>
      </c>
    </row>
    <row r="980" spans="1:46">
      <c r="A980" s="1" t="s">
        <v>4240</v>
      </c>
      <c r="C980" s="1" t="s">
        <v>4240</v>
      </c>
      <c r="D980" s="1" t="s">
        <v>4241</v>
      </c>
      <c r="E980" s="1" t="s">
        <v>1394</v>
      </c>
      <c r="F980" s="1" t="s">
        <v>4220</v>
      </c>
      <c r="G980" s="1" t="s">
        <v>456</v>
      </c>
      <c r="H980" s="2" t="s">
        <v>4221</v>
      </c>
      <c r="I980" s="1">
        <v>52</v>
      </c>
      <c r="J980" s="1">
        <v>0.2</v>
      </c>
      <c r="K980" s="1">
        <v>40</v>
      </c>
      <c r="L980" s="1" t="s">
        <v>65</v>
      </c>
      <c r="M980" s="1">
        <v>40.146000000000001</v>
      </c>
      <c r="N980" s="1">
        <v>56.4</v>
      </c>
      <c r="O980" s="1">
        <v>72.878166669999999</v>
      </c>
      <c r="P980" s="1">
        <v>-166.84833330000001</v>
      </c>
      <c r="Q980" s="1">
        <v>1.8506</v>
      </c>
      <c r="R980" s="1">
        <v>32.103149999999999</v>
      </c>
      <c r="S980" s="1">
        <v>351.6919767</v>
      </c>
      <c r="W980" s="3">
        <v>0.44900000000000001</v>
      </c>
      <c r="Y980" s="1">
        <v>0.621</v>
      </c>
      <c r="Z980" s="1">
        <v>0.27300000000000002</v>
      </c>
      <c r="AA980" s="1">
        <v>0.97599999999999998</v>
      </c>
      <c r="AB980" s="1">
        <v>11.1</v>
      </c>
      <c r="AC980" s="1">
        <v>2.9</v>
      </c>
      <c r="AD980" s="1">
        <v>0.03</v>
      </c>
      <c r="AE980" s="1">
        <v>0.64</v>
      </c>
      <c r="AF980" s="1">
        <v>2.93</v>
      </c>
      <c r="AH980" s="8" t="s">
        <v>4242</v>
      </c>
      <c r="AI980" s="8">
        <v>7</v>
      </c>
      <c r="AJ980" s="8" t="s">
        <v>4243</v>
      </c>
      <c r="AK980" s="8">
        <v>2.8</v>
      </c>
      <c r="AM980" s="1" t="s">
        <v>4244</v>
      </c>
      <c r="AT980" s="8" t="s">
        <v>1607</v>
      </c>
    </row>
    <row r="981" spans="1:46">
      <c r="A981" s="1" t="s">
        <v>4245</v>
      </c>
      <c r="C981" s="1" t="s">
        <v>4245</v>
      </c>
      <c r="D981" s="1" t="s">
        <v>4246</v>
      </c>
      <c r="E981" s="1" t="s">
        <v>1394</v>
      </c>
      <c r="F981" s="1" t="s">
        <v>4220</v>
      </c>
      <c r="G981" s="1" t="s">
        <v>456</v>
      </c>
      <c r="H981" s="2" t="s">
        <v>4221</v>
      </c>
      <c r="I981" s="1">
        <v>52</v>
      </c>
      <c r="J981" s="1">
        <v>0.2</v>
      </c>
      <c r="K981" s="1">
        <v>50</v>
      </c>
      <c r="L981" s="1" t="s">
        <v>78</v>
      </c>
      <c r="M981" s="1">
        <v>50.39</v>
      </c>
      <c r="N981" s="1">
        <v>56.4</v>
      </c>
      <c r="O981" s="1">
        <v>72.878166669999999</v>
      </c>
      <c r="P981" s="1">
        <v>-166.84833330000001</v>
      </c>
      <c r="Q981" s="1">
        <v>-1.0359</v>
      </c>
      <c r="R981" s="1">
        <v>32.40645</v>
      </c>
      <c r="S981" s="1">
        <v>274.01756549999999</v>
      </c>
      <c r="W981" s="3">
        <v>0.42209999999999998</v>
      </c>
      <c r="Y981" s="1">
        <v>0.54900000000000004</v>
      </c>
      <c r="Z981" s="1">
        <v>0.38600000000000001</v>
      </c>
      <c r="AH981" s="8" t="s">
        <v>4247</v>
      </c>
      <c r="AI981" s="8">
        <v>5</v>
      </c>
      <c r="AJ981" s="8" t="s">
        <v>4248</v>
      </c>
      <c r="AK981" s="8">
        <v>2.8</v>
      </c>
      <c r="AM981" s="1" t="s">
        <v>4249</v>
      </c>
      <c r="AT981" s="8" t="s">
        <v>1607</v>
      </c>
    </row>
    <row r="982" spans="1:46">
      <c r="A982" s="1" t="s">
        <v>4250</v>
      </c>
      <c r="C982" s="1" t="s">
        <v>4250</v>
      </c>
      <c r="D982" s="1" t="s">
        <v>4251</v>
      </c>
      <c r="E982" s="1" t="s">
        <v>1394</v>
      </c>
      <c r="F982" s="1" t="s">
        <v>4220</v>
      </c>
      <c r="G982" s="1" t="s">
        <v>456</v>
      </c>
      <c r="H982" s="2" t="s">
        <v>4221</v>
      </c>
      <c r="I982" s="1">
        <v>52</v>
      </c>
      <c r="J982" s="1">
        <v>0.2</v>
      </c>
      <c r="K982" s="1">
        <v>54</v>
      </c>
      <c r="L982" s="1" t="s">
        <v>78</v>
      </c>
      <c r="M982" s="1">
        <v>54.216999999999999</v>
      </c>
      <c r="N982" s="1">
        <v>56.4</v>
      </c>
      <c r="O982" s="1">
        <v>72.878166669999999</v>
      </c>
      <c r="P982" s="1">
        <v>-166.84833330000001</v>
      </c>
      <c r="Q982" s="1">
        <v>-0.32784999999999997</v>
      </c>
      <c r="R982" s="1">
        <v>32.526150000000001</v>
      </c>
      <c r="S982" s="1">
        <v>244.53683939999999</v>
      </c>
      <c r="W982" s="3">
        <v>0.32100000000000001</v>
      </c>
      <c r="AA982" s="1">
        <v>1.5129999999999999</v>
      </c>
      <c r="AB982" s="1">
        <v>21.1</v>
      </c>
      <c r="AC982" s="1">
        <v>6.4</v>
      </c>
      <c r="AD982" s="1">
        <v>0.11</v>
      </c>
      <c r="AE982" s="1">
        <v>3</v>
      </c>
      <c r="AF982" s="1">
        <v>6.51</v>
      </c>
      <c r="AH982" s="8" t="s">
        <v>4252</v>
      </c>
      <c r="AI982" s="8">
        <v>3</v>
      </c>
      <c r="AJ982" s="8" t="s">
        <v>4253</v>
      </c>
      <c r="AK982" s="8">
        <v>2.8</v>
      </c>
      <c r="AM982" s="1" t="s">
        <v>4254</v>
      </c>
      <c r="AT982" s="8" t="s">
        <v>1607</v>
      </c>
    </row>
    <row r="983" spans="1:46">
      <c r="A983" s="1" t="s">
        <v>4255</v>
      </c>
      <c r="C983" s="1" t="s">
        <v>4255</v>
      </c>
      <c r="D983" s="1" t="s">
        <v>4256</v>
      </c>
      <c r="E983" s="1" t="s">
        <v>1394</v>
      </c>
      <c r="F983" s="1" t="s">
        <v>1442</v>
      </c>
      <c r="G983" s="1" t="s">
        <v>456</v>
      </c>
      <c r="H983" s="2" t="s">
        <v>4257</v>
      </c>
      <c r="I983" s="1">
        <v>42</v>
      </c>
      <c r="J983" s="1">
        <v>0.2</v>
      </c>
      <c r="K983" s="1">
        <v>3</v>
      </c>
      <c r="L983" s="1" t="s">
        <v>52</v>
      </c>
      <c r="M983" s="1">
        <v>2.887</v>
      </c>
      <c r="N983" s="1">
        <v>40.1</v>
      </c>
      <c r="O983" s="1">
        <v>72.122166669999999</v>
      </c>
      <c r="P983" s="1">
        <v>-163.19999999999999</v>
      </c>
      <c r="Q983" s="1">
        <v>4.4965000000000002</v>
      </c>
      <c r="R983" s="1">
        <v>31.101700000000001</v>
      </c>
      <c r="S983" s="1">
        <v>334.5912798</v>
      </c>
      <c r="W983" s="3">
        <v>0.28410000000000002</v>
      </c>
      <c r="Y983" s="1">
        <v>0.20300000000000001</v>
      </c>
      <c r="Z983" s="1">
        <v>0.15</v>
      </c>
      <c r="AA983" s="1">
        <v>0.68200000000000005</v>
      </c>
      <c r="AB983" s="1">
        <v>3.5</v>
      </c>
      <c r="AC983" s="1">
        <v>0</v>
      </c>
      <c r="AD983" s="1">
        <v>0</v>
      </c>
      <c r="AE983" s="1">
        <v>0</v>
      </c>
      <c r="AF983" s="1">
        <v>0</v>
      </c>
      <c r="AH983" s="8" t="s">
        <v>4258</v>
      </c>
      <c r="AI983" s="8">
        <v>13</v>
      </c>
      <c r="AJ983" s="8" t="s">
        <v>4259</v>
      </c>
      <c r="AK983" s="8">
        <v>3</v>
      </c>
      <c r="AM983" s="1" t="s">
        <v>4260</v>
      </c>
      <c r="AT983" s="8" t="s">
        <v>1607</v>
      </c>
    </row>
    <row r="984" spans="1:46">
      <c r="A984" s="1" t="s">
        <v>4261</v>
      </c>
      <c r="C984" s="1" t="s">
        <v>4261</v>
      </c>
      <c r="D984" s="1" t="s">
        <v>4262</v>
      </c>
      <c r="E984" s="1" t="s">
        <v>1394</v>
      </c>
      <c r="F984" s="1" t="s">
        <v>1442</v>
      </c>
      <c r="G984" s="1" t="s">
        <v>456</v>
      </c>
      <c r="H984" s="2" t="s">
        <v>4257</v>
      </c>
      <c r="I984" s="1">
        <v>42</v>
      </c>
      <c r="J984" s="1">
        <v>0.2</v>
      </c>
      <c r="K984" s="1">
        <v>10</v>
      </c>
      <c r="L984" s="1" t="s">
        <v>65</v>
      </c>
      <c r="M984" s="1">
        <v>9.9339999999999993</v>
      </c>
      <c r="N984" s="1">
        <v>40.1</v>
      </c>
      <c r="O984" s="1">
        <v>72.122166669999999</v>
      </c>
      <c r="P984" s="1">
        <v>-163.19999999999999</v>
      </c>
      <c r="Q984" s="1">
        <v>4.4966499999999998</v>
      </c>
      <c r="R984" s="1">
        <v>31.102250000000002</v>
      </c>
      <c r="S984" s="1">
        <v>334.2161274</v>
      </c>
      <c r="W984" s="3">
        <v>0.29780000000000001</v>
      </c>
      <c r="Y984" s="1">
        <v>0.21199999999999999</v>
      </c>
      <c r="Z984" s="1">
        <v>0.126</v>
      </c>
      <c r="AH984" s="8" t="s">
        <v>4263</v>
      </c>
      <c r="AI984" s="8">
        <v>11</v>
      </c>
      <c r="AJ984" s="8" t="s">
        <v>4264</v>
      </c>
      <c r="AK984" s="8">
        <v>2.2000000000000002</v>
      </c>
      <c r="AM984" s="1" t="s">
        <v>4265</v>
      </c>
      <c r="AT984" s="8" t="s">
        <v>1607</v>
      </c>
    </row>
    <row r="985" spans="1:46">
      <c r="A985" s="1" t="s">
        <v>4266</v>
      </c>
      <c r="C985" s="1" t="s">
        <v>4266</v>
      </c>
      <c r="D985" s="1" t="s">
        <v>4267</v>
      </c>
      <c r="E985" s="1" t="s">
        <v>1394</v>
      </c>
      <c r="F985" s="1" t="s">
        <v>1442</v>
      </c>
      <c r="G985" s="1" t="s">
        <v>456</v>
      </c>
      <c r="H985" s="2" t="s">
        <v>4257</v>
      </c>
      <c r="I985" s="1">
        <v>42</v>
      </c>
      <c r="J985" s="1">
        <v>0.2</v>
      </c>
      <c r="K985" s="1">
        <v>20</v>
      </c>
      <c r="L985" s="1" t="s">
        <v>65</v>
      </c>
      <c r="M985" s="1">
        <v>19.960999999999999</v>
      </c>
      <c r="N985" s="1">
        <v>40.1</v>
      </c>
      <c r="O985" s="1">
        <v>72.122166669999999</v>
      </c>
      <c r="P985" s="1">
        <v>-163.19999999999999</v>
      </c>
      <c r="Q985" s="1">
        <v>4.5411000000000001</v>
      </c>
      <c r="R985" s="1">
        <v>31.12445</v>
      </c>
      <c r="S985" s="1">
        <v>333.70252590000001</v>
      </c>
      <c r="W985" s="3">
        <v>0.25309999999999999</v>
      </c>
      <c r="X985" s="1">
        <v>-163.19999999999999</v>
      </c>
      <c r="Y985" s="1">
        <v>0.23899999999999999</v>
      </c>
      <c r="Z985" s="1">
        <v>0.11600000000000001</v>
      </c>
      <c r="AA985" s="1">
        <v>0.67</v>
      </c>
      <c r="AB985" s="1">
        <v>3.5</v>
      </c>
      <c r="AC985" s="1">
        <v>0</v>
      </c>
      <c r="AD985" s="1">
        <v>0.01</v>
      </c>
      <c r="AE985" s="1">
        <v>0.24</v>
      </c>
      <c r="AF985" s="1">
        <v>0.01</v>
      </c>
      <c r="AH985" s="8" t="s">
        <v>4268</v>
      </c>
      <c r="AI985" s="8">
        <v>9</v>
      </c>
      <c r="AJ985" s="8" t="s">
        <v>4269</v>
      </c>
      <c r="AK985" s="8">
        <v>2.2000000000000002</v>
      </c>
      <c r="AM985" s="1" t="s">
        <v>4270</v>
      </c>
      <c r="AT985" s="8" t="s">
        <v>1607</v>
      </c>
    </row>
    <row r="986" spans="1:46">
      <c r="A986" s="1" t="s">
        <v>4271</v>
      </c>
      <c r="C986" s="1" t="s">
        <v>4271</v>
      </c>
      <c r="D986" s="1" t="s">
        <v>4272</v>
      </c>
      <c r="E986" s="1" t="s">
        <v>1394</v>
      </c>
      <c r="F986" s="1" t="s">
        <v>1442</v>
      </c>
      <c r="G986" s="1" t="s">
        <v>456</v>
      </c>
      <c r="H986" s="2" t="s">
        <v>4257</v>
      </c>
      <c r="I986" s="1">
        <v>42</v>
      </c>
      <c r="J986" s="1">
        <v>0.2</v>
      </c>
      <c r="K986" s="1">
        <v>30</v>
      </c>
      <c r="L986" s="1" t="s">
        <v>78</v>
      </c>
      <c r="M986" s="1">
        <v>30.119</v>
      </c>
      <c r="N986" s="1">
        <v>40.1</v>
      </c>
      <c r="O986" s="1">
        <v>72.122166669999999</v>
      </c>
      <c r="P986" s="1">
        <v>-163.19999999999999</v>
      </c>
      <c r="Q986" s="1">
        <v>5.51525</v>
      </c>
      <c r="R986" s="1">
        <v>31.815999999999999</v>
      </c>
      <c r="S986" s="1">
        <v>330.65217960000001</v>
      </c>
      <c r="W986" s="3">
        <v>0.40450000000000003</v>
      </c>
      <c r="Y986" s="1">
        <v>0.77800000000000002</v>
      </c>
      <c r="Z986" s="1">
        <v>0.25800000000000001</v>
      </c>
      <c r="AA986" s="1">
        <v>0.622</v>
      </c>
      <c r="AB986" s="1">
        <v>4.0999999999999996</v>
      </c>
      <c r="AC986" s="1">
        <v>0.3</v>
      </c>
      <c r="AD986" s="1">
        <v>0.02</v>
      </c>
      <c r="AE986" s="1">
        <v>0.76</v>
      </c>
      <c r="AF986" s="1">
        <v>0.32</v>
      </c>
      <c r="AH986" s="8" t="s">
        <v>4273</v>
      </c>
      <c r="AI986" s="8">
        <v>7</v>
      </c>
      <c r="AJ986" s="8" t="s">
        <v>4274</v>
      </c>
      <c r="AK986" s="8">
        <v>2.2000000000000002</v>
      </c>
      <c r="AM986" s="1" t="s">
        <v>4275</v>
      </c>
      <c r="AT986" s="8" t="s">
        <v>1607</v>
      </c>
    </row>
    <row r="987" spans="1:46">
      <c r="A987" s="1" t="s">
        <v>4276</v>
      </c>
      <c r="C987" s="1" t="s">
        <v>4276</v>
      </c>
      <c r="D987" s="1" t="s">
        <v>4277</v>
      </c>
      <c r="E987" s="1" t="s">
        <v>1394</v>
      </c>
      <c r="F987" s="1" t="s">
        <v>1442</v>
      </c>
      <c r="G987" s="1" t="s">
        <v>456</v>
      </c>
      <c r="H987" s="2" t="s">
        <v>4257</v>
      </c>
      <c r="I987" s="1">
        <v>42</v>
      </c>
      <c r="J987" s="1">
        <v>0.2</v>
      </c>
      <c r="K987" s="1">
        <v>40</v>
      </c>
      <c r="L987" s="1" t="s">
        <v>78</v>
      </c>
      <c r="M987" s="1">
        <v>38.610999999999997</v>
      </c>
      <c r="N987" s="1">
        <v>40.1</v>
      </c>
      <c r="O987" s="1">
        <v>72.122166669999999</v>
      </c>
      <c r="P987" s="1">
        <v>-163.19999999999999</v>
      </c>
      <c r="Q987" s="1">
        <v>0.83855000000000002</v>
      </c>
      <c r="R987" s="1">
        <v>32.377200000000002</v>
      </c>
      <c r="S987" s="1">
        <v>323.76098730000001</v>
      </c>
      <c r="W987" s="3">
        <v>0.75760000000000005</v>
      </c>
      <c r="Y987" s="1">
        <v>1.425</v>
      </c>
      <c r="Z987" s="1">
        <v>0.50700000000000001</v>
      </c>
      <c r="AA987" s="1">
        <v>1.121</v>
      </c>
      <c r="AB987" s="1">
        <v>13.6</v>
      </c>
      <c r="AC987" s="1">
        <v>1.5</v>
      </c>
      <c r="AD987" s="1">
        <v>0.08</v>
      </c>
      <c r="AE987" s="1">
        <v>2.98</v>
      </c>
      <c r="AF987" s="1">
        <v>1.58</v>
      </c>
      <c r="AH987" s="8" t="s">
        <v>4278</v>
      </c>
      <c r="AI987" s="8">
        <v>5</v>
      </c>
      <c r="AJ987" s="8" t="s">
        <v>4279</v>
      </c>
      <c r="AK987" s="8">
        <v>2.2000000000000002</v>
      </c>
      <c r="AM987" s="1" t="s">
        <v>4280</v>
      </c>
      <c r="AT987" s="8" t="s">
        <v>1607</v>
      </c>
    </row>
    <row r="988" spans="1:46">
      <c r="A988" s="1" t="s">
        <v>4281</v>
      </c>
      <c r="C988" s="1" t="s">
        <v>4281</v>
      </c>
      <c r="D988" s="1" t="s">
        <v>4282</v>
      </c>
      <c r="E988" s="1" t="s">
        <v>1394</v>
      </c>
      <c r="F988" s="1" t="s">
        <v>4283</v>
      </c>
      <c r="G988" s="1" t="s">
        <v>456</v>
      </c>
      <c r="H988" s="2" t="s">
        <v>4284</v>
      </c>
      <c r="I988" s="1">
        <v>48</v>
      </c>
      <c r="J988" s="1">
        <v>0.2</v>
      </c>
      <c r="K988" s="1">
        <v>5</v>
      </c>
      <c r="L988" s="1" t="s">
        <v>52</v>
      </c>
      <c r="M988" s="1">
        <v>2.919</v>
      </c>
      <c r="N988" s="1">
        <v>50.5</v>
      </c>
      <c r="O988" s="1">
        <v>72.492000000000004</v>
      </c>
      <c r="P988" s="1">
        <v>-165.6851667</v>
      </c>
      <c r="Q988" s="1">
        <v>5.6654</v>
      </c>
      <c r="R988" s="1">
        <v>31.912050000000001</v>
      </c>
      <c r="S988" s="1">
        <v>330.8844168</v>
      </c>
      <c r="W988" s="3">
        <v>0.66930000000000001</v>
      </c>
      <c r="X988" s="1" t="s">
        <v>4285</v>
      </c>
      <c r="Y988" s="1">
        <v>1.7030000000000001</v>
      </c>
      <c r="Z988" s="1">
        <v>0.36599999999999999</v>
      </c>
      <c r="AA988" s="1">
        <v>0.38400000000000001</v>
      </c>
      <c r="AB988" s="1">
        <v>0.4</v>
      </c>
      <c r="AC988" s="1">
        <v>0</v>
      </c>
      <c r="AD988" s="1">
        <v>0.01</v>
      </c>
      <c r="AE988" s="1">
        <v>0.09</v>
      </c>
      <c r="AF988" s="1">
        <v>0.01</v>
      </c>
      <c r="AH988" s="8" t="s">
        <v>4286</v>
      </c>
      <c r="AI988" s="8">
        <v>14</v>
      </c>
      <c r="AJ988" s="8" t="s">
        <v>4287</v>
      </c>
      <c r="AK988" s="8"/>
      <c r="AM988" s="1" t="s">
        <v>4285</v>
      </c>
      <c r="AT988" s="8" t="s">
        <v>1607</v>
      </c>
    </row>
    <row r="989" spans="1:46">
      <c r="A989" s="1" t="s">
        <v>4288</v>
      </c>
      <c r="C989" s="1" t="s">
        <v>4288</v>
      </c>
      <c r="D989" s="1" t="s">
        <v>4282</v>
      </c>
      <c r="E989" s="1" t="s">
        <v>1394</v>
      </c>
      <c r="F989" s="1" t="s">
        <v>4283</v>
      </c>
      <c r="G989" s="1" t="s">
        <v>456</v>
      </c>
      <c r="H989" s="2" t="s">
        <v>4284</v>
      </c>
      <c r="I989" s="1">
        <v>48</v>
      </c>
      <c r="J989" s="1">
        <v>0.2</v>
      </c>
      <c r="K989" s="1">
        <v>5</v>
      </c>
      <c r="L989" s="1" t="s">
        <v>52</v>
      </c>
      <c r="M989" s="1">
        <v>2.919</v>
      </c>
      <c r="N989" s="1">
        <v>50.5</v>
      </c>
      <c r="O989" s="1">
        <v>72.492000000000004</v>
      </c>
      <c r="P989" s="1">
        <v>-165.6851667</v>
      </c>
      <c r="Q989" s="1">
        <v>5.6654</v>
      </c>
      <c r="R989" s="1">
        <v>31.912050000000001</v>
      </c>
      <c r="S989" s="1">
        <v>330.8844168</v>
      </c>
      <c r="W989" s="3">
        <v>0.66930000000000001</v>
      </c>
      <c r="X989" s="1" t="s">
        <v>4285</v>
      </c>
      <c r="Y989" s="1">
        <v>1.7030000000000001</v>
      </c>
      <c r="Z989" s="1">
        <v>0.36599999999999999</v>
      </c>
      <c r="AA989" s="1">
        <v>0.38400000000000001</v>
      </c>
      <c r="AB989" s="1">
        <v>0.4</v>
      </c>
      <c r="AC989" s="1">
        <v>0</v>
      </c>
      <c r="AD989" s="1">
        <v>0.01</v>
      </c>
      <c r="AE989" s="1">
        <v>0.09</v>
      </c>
      <c r="AF989" s="1">
        <v>0.01</v>
      </c>
      <c r="AH989" s="8" t="s">
        <v>4286</v>
      </c>
      <c r="AI989" s="8">
        <v>14</v>
      </c>
      <c r="AJ989" s="8" t="s">
        <v>4287</v>
      </c>
      <c r="AK989" s="8"/>
      <c r="AM989" s="1" t="s">
        <v>4285</v>
      </c>
      <c r="AT989" s="8" t="s">
        <v>1607</v>
      </c>
    </row>
    <row r="990" spans="1:46">
      <c r="A990" s="1" t="s">
        <v>4289</v>
      </c>
      <c r="C990" s="1" t="s">
        <v>4289</v>
      </c>
      <c r="D990" s="1" t="s">
        <v>4290</v>
      </c>
      <c r="E990" s="1" t="s">
        <v>1394</v>
      </c>
      <c r="F990" s="1" t="s">
        <v>4283</v>
      </c>
      <c r="G990" s="1" t="s">
        <v>456</v>
      </c>
      <c r="H990" s="2" t="s">
        <v>4284</v>
      </c>
      <c r="I990" s="1">
        <v>48</v>
      </c>
      <c r="J990" s="1">
        <v>0.2</v>
      </c>
      <c r="K990" s="1">
        <v>30</v>
      </c>
      <c r="L990" s="1" t="s">
        <v>65</v>
      </c>
      <c r="M990" s="1">
        <v>30.266999999999999</v>
      </c>
      <c r="N990" s="1">
        <v>50.5</v>
      </c>
      <c r="O990" s="1">
        <v>72.492000000000004</v>
      </c>
      <c r="P990" s="1">
        <v>-165.6851667</v>
      </c>
      <c r="Q990" s="1">
        <v>6.0237499999999997</v>
      </c>
      <c r="R990" s="1">
        <v>32.403199999999998</v>
      </c>
      <c r="S990" s="1">
        <v>339.29854920000002</v>
      </c>
      <c r="W990" s="3">
        <v>0.50460000000000005</v>
      </c>
      <c r="X990" s="1" t="s">
        <v>4291</v>
      </c>
      <c r="Y990" s="1">
        <v>0.75700000000000001</v>
      </c>
      <c r="Z990" s="1">
        <v>0.28100000000000003</v>
      </c>
      <c r="AA990" s="1">
        <v>0.35299999999999998</v>
      </c>
      <c r="AB990" s="1">
        <v>1.1000000000000001</v>
      </c>
      <c r="AC990" s="1">
        <v>0</v>
      </c>
      <c r="AD990" s="1">
        <v>0.01</v>
      </c>
      <c r="AE990" s="1">
        <v>0.13</v>
      </c>
      <c r="AF990" s="1">
        <v>0.01</v>
      </c>
      <c r="AH990" s="8" t="s">
        <v>4292</v>
      </c>
      <c r="AI990" s="8">
        <v>8</v>
      </c>
      <c r="AJ990" s="8" t="s">
        <v>4293</v>
      </c>
      <c r="AK990" s="8"/>
      <c r="AM990" s="1" t="s">
        <v>4291</v>
      </c>
      <c r="AT990" s="8" t="s">
        <v>1607</v>
      </c>
    </row>
    <row r="991" spans="1:46">
      <c r="A991" s="1" t="s">
        <v>4294</v>
      </c>
      <c r="C991" s="1" t="s">
        <v>4294</v>
      </c>
      <c r="D991" s="1" t="s">
        <v>4290</v>
      </c>
      <c r="E991" s="1" t="s">
        <v>1394</v>
      </c>
      <c r="F991" s="1" t="s">
        <v>4283</v>
      </c>
      <c r="G991" s="1" t="s">
        <v>456</v>
      </c>
      <c r="H991" s="2" t="s">
        <v>4284</v>
      </c>
      <c r="I991" s="1">
        <v>48</v>
      </c>
      <c r="J991" s="1">
        <v>0.2</v>
      </c>
      <c r="K991" s="1">
        <v>30</v>
      </c>
      <c r="L991" s="1" t="s">
        <v>65</v>
      </c>
      <c r="M991" s="1">
        <v>30.266999999999999</v>
      </c>
      <c r="N991" s="1">
        <v>50.5</v>
      </c>
      <c r="O991" s="1">
        <v>72.492000000000004</v>
      </c>
      <c r="P991" s="1">
        <v>-165.6851667</v>
      </c>
      <c r="Q991" s="1">
        <v>6.0237499999999997</v>
      </c>
      <c r="R991" s="1">
        <v>32.403199999999998</v>
      </c>
      <c r="S991" s="1">
        <v>339.29854920000002</v>
      </c>
      <c r="W991" s="3">
        <v>0.50460000000000005</v>
      </c>
      <c r="X991" s="1" t="s">
        <v>4291</v>
      </c>
      <c r="Y991" s="1">
        <v>0.75700000000000001</v>
      </c>
      <c r="Z991" s="1">
        <v>0.28100000000000003</v>
      </c>
      <c r="AA991" s="1">
        <v>0.35299999999999998</v>
      </c>
      <c r="AB991" s="1">
        <v>1.1000000000000001</v>
      </c>
      <c r="AC991" s="1">
        <v>0</v>
      </c>
      <c r="AD991" s="1">
        <v>0.01</v>
      </c>
      <c r="AE991" s="1">
        <v>0.13</v>
      </c>
      <c r="AF991" s="1">
        <v>0.01</v>
      </c>
      <c r="AH991" s="8" t="s">
        <v>4292</v>
      </c>
      <c r="AI991" s="8">
        <v>8</v>
      </c>
      <c r="AJ991" s="8" t="s">
        <v>4293</v>
      </c>
      <c r="AK991" s="8"/>
      <c r="AM991" s="1" t="s">
        <v>4291</v>
      </c>
      <c r="AT991" s="8" t="s">
        <v>1607</v>
      </c>
    </row>
    <row r="992" spans="1:46">
      <c r="A992" s="1" t="s">
        <v>4295</v>
      </c>
      <c r="C992" s="1" t="s">
        <v>4295</v>
      </c>
      <c r="D992" s="1" t="s">
        <v>4296</v>
      </c>
      <c r="E992" s="1" t="s">
        <v>1394</v>
      </c>
      <c r="F992" s="1" t="s">
        <v>4283</v>
      </c>
      <c r="G992" s="1" t="s">
        <v>456</v>
      </c>
      <c r="H992" s="2" t="s">
        <v>4284</v>
      </c>
      <c r="I992" s="1">
        <v>48</v>
      </c>
      <c r="J992" s="1">
        <v>0.2</v>
      </c>
      <c r="K992" s="1">
        <v>40</v>
      </c>
      <c r="L992" s="1" t="s">
        <v>65</v>
      </c>
      <c r="M992" s="1">
        <v>40.274000000000001</v>
      </c>
      <c r="N992" s="1">
        <v>50.5</v>
      </c>
      <c r="O992" s="1">
        <v>72.492000000000004</v>
      </c>
      <c r="P992" s="1">
        <v>-165.6851667</v>
      </c>
      <c r="Q992" s="1">
        <v>2.5548500000000001</v>
      </c>
      <c r="R992" s="1">
        <v>32.667450000000002</v>
      </c>
      <c r="S992" s="1">
        <v>274.63835340000003</v>
      </c>
      <c r="W992" s="3">
        <v>0.46139999999999998</v>
      </c>
      <c r="X992" s="1" t="s">
        <v>4297</v>
      </c>
      <c r="Y992" s="1">
        <v>0.59299999999999997</v>
      </c>
      <c r="Z992" s="1">
        <v>0.248</v>
      </c>
      <c r="AA992" s="1">
        <v>1.389</v>
      </c>
      <c r="AB992" s="1">
        <v>15.1</v>
      </c>
      <c r="AC992" s="1">
        <v>0.3</v>
      </c>
      <c r="AD992" s="1">
        <v>0.04</v>
      </c>
      <c r="AE992" s="1">
        <v>0.92</v>
      </c>
      <c r="AF992" s="1">
        <v>0.34</v>
      </c>
      <c r="AH992" s="8" t="s">
        <v>4298</v>
      </c>
      <c r="AI992" s="8">
        <v>6</v>
      </c>
      <c r="AJ992" s="8" t="s">
        <v>4299</v>
      </c>
      <c r="AK992" s="8"/>
      <c r="AM992" s="1" t="s">
        <v>4297</v>
      </c>
      <c r="AT992" s="8" t="s">
        <v>1607</v>
      </c>
    </row>
    <row r="993" spans="1:46">
      <c r="A993" s="1" t="s">
        <v>4300</v>
      </c>
      <c r="C993" s="1" t="s">
        <v>4300</v>
      </c>
      <c r="D993" s="1" t="s">
        <v>4296</v>
      </c>
      <c r="E993" s="1" t="s">
        <v>1394</v>
      </c>
      <c r="F993" s="1" t="s">
        <v>4283</v>
      </c>
      <c r="G993" s="1" t="s">
        <v>456</v>
      </c>
      <c r="H993" s="2" t="s">
        <v>4284</v>
      </c>
      <c r="I993" s="1">
        <v>48</v>
      </c>
      <c r="J993" s="1">
        <v>0.2</v>
      </c>
      <c r="K993" s="1">
        <v>40</v>
      </c>
      <c r="L993" s="1" t="s">
        <v>65</v>
      </c>
      <c r="M993" s="1">
        <v>40.274000000000001</v>
      </c>
      <c r="N993" s="1">
        <v>50.5</v>
      </c>
      <c r="O993" s="1">
        <v>72.492000000000004</v>
      </c>
      <c r="P993" s="1">
        <v>-165.6851667</v>
      </c>
      <c r="Q993" s="1">
        <v>2.5548500000000001</v>
      </c>
      <c r="R993" s="1">
        <v>32.667450000000002</v>
      </c>
      <c r="S993" s="1">
        <v>274.63835340000003</v>
      </c>
      <c r="W993" s="3">
        <v>0.46139999999999998</v>
      </c>
      <c r="X993" s="1" t="s">
        <v>4297</v>
      </c>
      <c r="Y993" s="1">
        <v>0.59299999999999997</v>
      </c>
      <c r="Z993" s="1">
        <v>0.248</v>
      </c>
      <c r="AA993" s="1">
        <v>1.389</v>
      </c>
      <c r="AB993" s="1">
        <v>15.1</v>
      </c>
      <c r="AC993" s="1">
        <v>0.3</v>
      </c>
      <c r="AD993" s="1">
        <v>0.04</v>
      </c>
      <c r="AE993" s="1">
        <v>0.92</v>
      </c>
      <c r="AF993" s="1">
        <v>0.34</v>
      </c>
      <c r="AH993" s="8" t="s">
        <v>4298</v>
      </c>
      <c r="AI993" s="8">
        <v>6</v>
      </c>
      <c r="AJ993" s="8" t="s">
        <v>4299</v>
      </c>
      <c r="AK993" s="8"/>
      <c r="AM993" s="1" t="s">
        <v>4297</v>
      </c>
      <c r="AT993" s="8" t="s">
        <v>1607</v>
      </c>
    </row>
    <row r="994" spans="1:46">
      <c r="A994" s="1" t="s">
        <v>4301</v>
      </c>
      <c r="C994" s="1" t="s">
        <v>4301</v>
      </c>
      <c r="D994" s="1" t="s">
        <v>4302</v>
      </c>
      <c r="E994" s="1" t="s">
        <v>1394</v>
      </c>
      <c r="F994" s="1" t="s">
        <v>4283</v>
      </c>
      <c r="G994" s="1" t="s">
        <v>456</v>
      </c>
      <c r="H994" s="2" t="s">
        <v>4284</v>
      </c>
      <c r="I994" s="1">
        <v>48</v>
      </c>
      <c r="J994" s="1">
        <v>0.2</v>
      </c>
      <c r="K994" s="1">
        <v>50</v>
      </c>
      <c r="L994" s="1" t="s">
        <v>78</v>
      </c>
      <c r="M994" s="1">
        <v>48.536000000000001</v>
      </c>
      <c r="N994" s="1">
        <v>50.5</v>
      </c>
      <c r="O994" s="1">
        <v>72.492000000000004</v>
      </c>
      <c r="P994" s="1">
        <v>-165.6851667</v>
      </c>
      <c r="Q994" s="1">
        <v>2.4750000000000001</v>
      </c>
      <c r="R994" s="1">
        <v>32.702350000000003</v>
      </c>
      <c r="S994" s="1">
        <v>263.3078577</v>
      </c>
      <c r="W994" s="3">
        <v>0.36759999999999998</v>
      </c>
      <c r="X994" s="1" t="s">
        <v>4303</v>
      </c>
      <c r="Y994" s="1">
        <v>0.46600000000000003</v>
      </c>
      <c r="Z994" s="1">
        <v>0.311</v>
      </c>
      <c r="AA994" s="1">
        <v>1.3280000000000001</v>
      </c>
      <c r="AB994" s="1">
        <v>14.9</v>
      </c>
      <c r="AC994" s="1">
        <v>0.3</v>
      </c>
      <c r="AD994" s="1">
        <v>0.04</v>
      </c>
      <c r="AE994" s="1">
        <v>1.04</v>
      </c>
      <c r="AF994" s="1">
        <v>0.34</v>
      </c>
      <c r="AH994" s="8" t="s">
        <v>4304</v>
      </c>
      <c r="AI994" s="8">
        <v>4</v>
      </c>
      <c r="AJ994" s="8" t="s">
        <v>4305</v>
      </c>
      <c r="AK994" s="8"/>
      <c r="AM994" s="1" t="s">
        <v>4303</v>
      </c>
      <c r="AT994" s="8" t="s">
        <v>1607</v>
      </c>
    </row>
    <row r="995" spans="1:46">
      <c r="A995" s="1" t="s">
        <v>4306</v>
      </c>
      <c r="C995" s="1" t="s">
        <v>4306</v>
      </c>
      <c r="D995" s="1" t="s">
        <v>4302</v>
      </c>
      <c r="E995" s="1" t="s">
        <v>1394</v>
      </c>
      <c r="F995" s="1" t="s">
        <v>4283</v>
      </c>
      <c r="G995" s="1" t="s">
        <v>456</v>
      </c>
      <c r="H995" s="2" t="s">
        <v>4284</v>
      </c>
      <c r="I995" s="1">
        <v>48</v>
      </c>
      <c r="J995" s="1">
        <v>0.2</v>
      </c>
      <c r="K995" s="1">
        <v>50</v>
      </c>
      <c r="L995" s="1" t="s">
        <v>78</v>
      </c>
      <c r="M995" s="1">
        <v>48.536000000000001</v>
      </c>
      <c r="N995" s="1">
        <v>50.5</v>
      </c>
      <c r="O995" s="1">
        <v>72.492000000000004</v>
      </c>
      <c r="P995" s="1">
        <v>-165.6851667</v>
      </c>
      <c r="Q995" s="1">
        <v>2.4750000000000001</v>
      </c>
      <c r="R995" s="1">
        <v>32.702350000000003</v>
      </c>
      <c r="S995" s="1">
        <v>263.3078577</v>
      </c>
      <c r="W995" s="3">
        <v>0.36759999999999998</v>
      </c>
      <c r="X995" s="1" t="s">
        <v>4303</v>
      </c>
      <c r="Y995" s="1">
        <v>0.46600000000000003</v>
      </c>
      <c r="Z995" s="1">
        <v>0.311</v>
      </c>
      <c r="AA995" s="1">
        <v>1.3280000000000001</v>
      </c>
      <c r="AB995" s="1">
        <v>14.9</v>
      </c>
      <c r="AC995" s="1">
        <v>0.3</v>
      </c>
      <c r="AD995" s="1">
        <v>0.04</v>
      </c>
      <c r="AE995" s="1">
        <v>1.04</v>
      </c>
      <c r="AF995" s="1">
        <v>0.34</v>
      </c>
      <c r="AH995" s="8" t="s">
        <v>4304</v>
      </c>
      <c r="AI995" s="8">
        <v>4</v>
      </c>
      <c r="AJ995" s="8" t="s">
        <v>4305</v>
      </c>
      <c r="AK995" s="8"/>
      <c r="AM995" s="1" t="s">
        <v>4303</v>
      </c>
      <c r="AT995" s="8" t="s">
        <v>1607</v>
      </c>
    </row>
    <row r="996" spans="1:46">
      <c r="A996" s="4" t="s">
        <v>4307</v>
      </c>
      <c r="B996" s="4"/>
      <c r="C996" s="4" t="s">
        <v>4307</v>
      </c>
      <c r="D996" s="4" t="s">
        <v>4307</v>
      </c>
      <c r="E996" s="4" t="s">
        <v>4308</v>
      </c>
      <c r="F996" s="4" t="s">
        <v>4309</v>
      </c>
      <c r="G996" s="4" t="s">
        <v>456</v>
      </c>
      <c r="H996" s="4" t="s">
        <v>4310</v>
      </c>
      <c r="I996" s="4">
        <v>1</v>
      </c>
      <c r="J996" s="4">
        <v>0.2</v>
      </c>
      <c r="K996" s="4" t="s">
        <v>1688</v>
      </c>
      <c r="L996" s="4" t="s">
        <v>52</v>
      </c>
      <c r="M996" s="4">
        <v>2</v>
      </c>
      <c r="N996" s="4">
        <v>51.6</v>
      </c>
      <c r="O996" s="4">
        <v>70.924999999999997</v>
      </c>
      <c r="P996" s="4">
        <v>-159.94300000000001</v>
      </c>
      <c r="Q996" s="4">
        <v>8.2899999999999991</v>
      </c>
      <c r="R996" s="4">
        <v>30.92</v>
      </c>
      <c r="S996" s="4">
        <v>283.15899999999999</v>
      </c>
      <c r="T996" s="4"/>
      <c r="U996" s="4"/>
      <c r="V996" s="4"/>
      <c r="W996" s="4">
        <v>0.39900000000000002</v>
      </c>
      <c r="X996" s="4">
        <v>6</v>
      </c>
      <c r="Y996" s="4"/>
      <c r="Z996" s="4"/>
      <c r="AA996" s="4"/>
      <c r="AB996" s="4"/>
      <c r="AC996" s="4"/>
      <c r="AD996" s="4"/>
      <c r="AE996" s="4"/>
      <c r="AF996" s="4"/>
      <c r="AG996" s="4"/>
      <c r="AH996" s="4" t="s">
        <v>4311</v>
      </c>
      <c r="AI996" s="4">
        <v>6</v>
      </c>
      <c r="AJ996" s="4"/>
      <c r="AK996" s="4"/>
      <c r="AL996" s="4">
        <v>94.687100000000001</v>
      </c>
      <c r="AM996" s="4"/>
      <c r="AN996" s="4"/>
      <c r="AO996" s="4"/>
      <c r="AP996" s="4"/>
      <c r="AQ996" s="4"/>
      <c r="AR996" s="4"/>
      <c r="AS996" s="4"/>
      <c r="AT996" s="4"/>
    </row>
    <row r="997" spans="1:46">
      <c r="A997" s="4" t="s">
        <v>4312</v>
      </c>
      <c r="B997" s="4"/>
      <c r="C997" s="4" t="s">
        <v>4312</v>
      </c>
      <c r="D997" s="4" t="s">
        <v>4312</v>
      </c>
      <c r="E997" s="4" t="s">
        <v>4308</v>
      </c>
      <c r="F997" s="4" t="s">
        <v>4309</v>
      </c>
      <c r="G997" s="4" t="s">
        <v>456</v>
      </c>
      <c r="H997" s="4" t="s">
        <v>4310</v>
      </c>
      <c r="I997" s="4">
        <v>1</v>
      </c>
      <c r="J997" s="4">
        <v>0.2</v>
      </c>
      <c r="K997" s="4" t="s">
        <v>65</v>
      </c>
      <c r="L997" s="4" t="s">
        <v>65</v>
      </c>
      <c r="M997" s="4">
        <v>19</v>
      </c>
      <c r="N997" s="4">
        <v>51.6</v>
      </c>
      <c r="O997" s="4">
        <v>70.924999999999997</v>
      </c>
      <c r="P997" s="4">
        <v>-159.94300000000001</v>
      </c>
      <c r="Q997" s="4">
        <v>7.83</v>
      </c>
      <c r="R997" s="4">
        <v>31.19</v>
      </c>
      <c r="S997" s="4">
        <v>287.21499999999997</v>
      </c>
      <c r="T997" s="4"/>
      <c r="U997" s="4"/>
      <c r="V997" s="4"/>
      <c r="W997" s="4">
        <v>0.441</v>
      </c>
      <c r="X997" s="4">
        <v>3</v>
      </c>
      <c r="Y997" s="4"/>
      <c r="Z997" s="4"/>
      <c r="AA997" s="4"/>
      <c r="AB997" s="4"/>
      <c r="AC997" s="4"/>
      <c r="AD997" s="4"/>
      <c r="AE997" s="4"/>
      <c r="AF997" s="4"/>
      <c r="AG997" s="4"/>
      <c r="AH997" s="4" t="s">
        <v>4313</v>
      </c>
      <c r="AI997" s="4">
        <v>3</v>
      </c>
      <c r="AJ997" s="4"/>
      <c r="AK997" s="4"/>
      <c r="AL997" s="4">
        <v>95.405199999999994</v>
      </c>
      <c r="AM997" s="4"/>
      <c r="AN997" s="4"/>
      <c r="AO997" s="4"/>
      <c r="AP997" s="4"/>
      <c r="AQ997" s="4"/>
      <c r="AR997" s="4"/>
      <c r="AS997" s="4"/>
      <c r="AT997" s="4"/>
    </row>
    <row r="998" spans="1:46">
      <c r="A998" s="4" t="s">
        <v>4314</v>
      </c>
      <c r="B998" s="4"/>
      <c r="C998" s="4" t="s">
        <v>4314</v>
      </c>
      <c r="D998" s="4" t="s">
        <v>4314</v>
      </c>
      <c r="E998" s="4" t="s">
        <v>4308</v>
      </c>
      <c r="F998" s="4" t="s">
        <v>4309</v>
      </c>
      <c r="G998" s="4" t="s">
        <v>456</v>
      </c>
      <c r="H998" s="4" t="s">
        <v>4310</v>
      </c>
      <c r="I998" s="4">
        <v>1</v>
      </c>
      <c r="J998" s="4">
        <v>0.2</v>
      </c>
      <c r="K998" s="4" t="s">
        <v>150</v>
      </c>
      <c r="L998" s="4" t="s">
        <v>78</v>
      </c>
      <c r="M998" s="4">
        <v>53</v>
      </c>
      <c r="N998" s="4">
        <v>51.6</v>
      </c>
      <c r="O998" s="4">
        <v>70.924999999999997</v>
      </c>
      <c r="P998" s="4">
        <v>-159.94300000000001</v>
      </c>
      <c r="Q998" s="4">
        <v>4.07</v>
      </c>
      <c r="R998" s="4">
        <v>31.55</v>
      </c>
      <c r="S998" s="4">
        <v>290.44400000000002</v>
      </c>
      <c r="T998" s="4"/>
      <c r="U998" s="4"/>
      <c r="V998" s="4"/>
      <c r="W998" s="4">
        <v>1.9139999999999999</v>
      </c>
      <c r="X998" s="4">
        <v>1</v>
      </c>
      <c r="Y998" s="4"/>
      <c r="Z998" s="4"/>
      <c r="AA998" s="4"/>
      <c r="AB998" s="4"/>
      <c r="AC998" s="4"/>
      <c r="AD998" s="4"/>
      <c r="AE998" s="4"/>
      <c r="AF998" s="4"/>
      <c r="AG998" s="4"/>
      <c r="AH998" s="4" t="s">
        <v>4315</v>
      </c>
      <c r="AI998" s="4">
        <v>1</v>
      </c>
      <c r="AJ998" s="4"/>
      <c r="AK998" s="4"/>
      <c r="AL998" s="4">
        <v>76.288600000000002</v>
      </c>
      <c r="AM998" s="4"/>
      <c r="AN998" s="4"/>
      <c r="AO998" s="4"/>
      <c r="AP998" s="4"/>
      <c r="AQ998" s="4"/>
      <c r="AR998" s="4"/>
      <c r="AS998" s="4"/>
      <c r="AT998" s="4"/>
    </row>
    <row r="999" spans="1:46">
      <c r="A999" s="4" t="s">
        <v>4316</v>
      </c>
      <c r="B999" s="4"/>
      <c r="C999" s="4" t="s">
        <v>4316</v>
      </c>
      <c r="D999" s="4" t="s">
        <v>4316</v>
      </c>
      <c r="E999" s="4" t="s">
        <v>4308</v>
      </c>
      <c r="F999" s="4" t="s">
        <v>4317</v>
      </c>
      <c r="G999" s="4" t="s">
        <v>456</v>
      </c>
      <c r="H999" s="4" t="s">
        <v>4318</v>
      </c>
      <c r="I999" s="4">
        <v>6</v>
      </c>
      <c r="J999" s="4">
        <v>0.2</v>
      </c>
      <c r="K999" s="4" t="s">
        <v>1688</v>
      </c>
      <c r="L999" s="4" t="s">
        <v>52</v>
      </c>
      <c r="M999" s="4">
        <v>3</v>
      </c>
      <c r="N999" s="4">
        <v>47.8</v>
      </c>
      <c r="O999" s="4">
        <v>68.125</v>
      </c>
      <c r="P999" s="4">
        <v>-167.49799999999999</v>
      </c>
      <c r="Q999" s="4">
        <v>7.41</v>
      </c>
      <c r="R999" s="4">
        <v>31.94</v>
      </c>
      <c r="S999" s="4">
        <v>290.42099999999999</v>
      </c>
      <c r="T999" s="4"/>
      <c r="U999" s="4"/>
      <c r="V999" s="4"/>
      <c r="W999" s="4">
        <v>0.67900000000000005</v>
      </c>
      <c r="X999" s="4">
        <v>9</v>
      </c>
      <c r="Y999" s="4">
        <v>0.93100000000000005</v>
      </c>
      <c r="Z999" s="4"/>
      <c r="AA999" s="4">
        <v>0.53</v>
      </c>
      <c r="AB999" s="4">
        <v>12.46</v>
      </c>
      <c r="AC999" s="4"/>
      <c r="AD999" s="4"/>
      <c r="AE999" s="4">
        <v>0.63</v>
      </c>
      <c r="AF999" s="4">
        <v>0.73</v>
      </c>
      <c r="AG999" s="4"/>
      <c r="AH999" s="4" t="s">
        <v>4319</v>
      </c>
      <c r="AI999" s="4">
        <v>9</v>
      </c>
      <c r="AJ999" s="4"/>
      <c r="AK999" s="4"/>
      <c r="AL999" s="4">
        <v>94.427099999999996</v>
      </c>
      <c r="AM999" s="4"/>
      <c r="AN999" s="4"/>
      <c r="AO999" s="4"/>
      <c r="AP999" s="4"/>
      <c r="AQ999" s="4">
        <v>-1.235800462</v>
      </c>
      <c r="AR999" s="4"/>
      <c r="AS999" s="4"/>
      <c r="AT999" s="4"/>
    </row>
    <row r="1000" spans="1:46">
      <c r="A1000" s="4" t="s">
        <v>4320</v>
      </c>
      <c r="B1000" s="4"/>
      <c r="C1000" s="4" t="s">
        <v>4320</v>
      </c>
      <c r="D1000" s="4" t="s">
        <v>4320</v>
      </c>
      <c r="E1000" s="4" t="s">
        <v>4308</v>
      </c>
      <c r="F1000" s="4" t="s">
        <v>4317</v>
      </c>
      <c r="G1000" s="4" t="s">
        <v>456</v>
      </c>
      <c r="H1000" s="4" t="s">
        <v>4318</v>
      </c>
      <c r="I1000" s="4">
        <v>6</v>
      </c>
      <c r="J1000" s="4">
        <v>0.2</v>
      </c>
      <c r="K1000" s="4" t="s">
        <v>65</v>
      </c>
      <c r="L1000" s="4" t="s">
        <v>65</v>
      </c>
      <c r="M1000" s="4">
        <v>21</v>
      </c>
      <c r="N1000" s="4">
        <v>47.8</v>
      </c>
      <c r="O1000" s="4">
        <v>68.125</v>
      </c>
      <c r="P1000" s="4">
        <v>-167.49799999999999</v>
      </c>
      <c r="Q1000" s="4">
        <v>6.05</v>
      </c>
      <c r="R1000" s="4">
        <v>32.04</v>
      </c>
      <c r="S1000" s="4">
        <v>273.09100000000001</v>
      </c>
      <c r="T1000" s="4"/>
      <c r="U1000" s="4"/>
      <c r="V1000" s="4"/>
      <c r="W1000" s="4">
        <v>0.98199999999999998</v>
      </c>
      <c r="X1000" s="4">
        <v>5</v>
      </c>
      <c r="Y1000" s="4">
        <v>0.86099999999999999</v>
      </c>
      <c r="Z1000" s="4"/>
      <c r="AA1000" s="4">
        <v>0.91</v>
      </c>
      <c r="AB1000" s="4">
        <v>16.73</v>
      </c>
      <c r="AC1000" s="4"/>
      <c r="AD1000" s="4"/>
      <c r="AE1000" s="4">
        <v>3</v>
      </c>
      <c r="AF1000" s="4">
        <v>1.74</v>
      </c>
      <c r="AG1000" s="4"/>
      <c r="AH1000" s="4" t="s">
        <v>4321</v>
      </c>
      <c r="AI1000" s="4">
        <v>5</v>
      </c>
      <c r="AJ1000" s="4"/>
      <c r="AK1000" s="4"/>
      <c r="AL1000" s="4">
        <v>78.221999999999994</v>
      </c>
      <c r="AM1000" s="4"/>
      <c r="AN1000" s="4"/>
      <c r="AO1000" s="4"/>
      <c r="AP1000" s="4"/>
      <c r="AQ1000" s="4">
        <v>-1.2400377250000001</v>
      </c>
      <c r="AR1000" s="4"/>
      <c r="AS1000" s="4"/>
      <c r="AT1000" s="4"/>
    </row>
    <row r="1001" spans="1:46">
      <c r="A1001" s="4" t="s">
        <v>4322</v>
      </c>
      <c r="B1001" s="4"/>
      <c r="C1001" s="4" t="s">
        <v>4322</v>
      </c>
      <c r="D1001" s="4" t="s">
        <v>4322</v>
      </c>
      <c r="E1001" s="4" t="s">
        <v>4308</v>
      </c>
      <c r="F1001" s="4" t="s">
        <v>4317</v>
      </c>
      <c r="G1001" s="4" t="s">
        <v>456</v>
      </c>
      <c r="H1001" s="4" t="s">
        <v>4318</v>
      </c>
      <c r="I1001" s="4">
        <v>6</v>
      </c>
      <c r="J1001" s="4">
        <v>0.2</v>
      </c>
      <c r="K1001" s="4" t="s">
        <v>150</v>
      </c>
      <c r="L1001" s="4" t="s">
        <v>78</v>
      </c>
      <c r="M1001" s="4">
        <v>44</v>
      </c>
      <c r="N1001" s="4">
        <v>47.8</v>
      </c>
      <c r="O1001" s="4">
        <v>68.125</v>
      </c>
      <c r="P1001" s="4">
        <v>-167.49799999999999</v>
      </c>
      <c r="Q1001" s="4">
        <v>5.86</v>
      </c>
      <c r="R1001" s="4">
        <v>32.03</v>
      </c>
      <c r="S1001" s="4">
        <v>267.476</v>
      </c>
      <c r="T1001" s="4"/>
      <c r="U1001" s="4"/>
      <c r="V1001" s="4"/>
      <c r="W1001" s="4">
        <v>0.95799999999999996</v>
      </c>
      <c r="X1001" s="4">
        <v>1</v>
      </c>
      <c r="Y1001" s="4">
        <v>0.92500000000000004</v>
      </c>
      <c r="Z1001" s="4"/>
      <c r="AA1001" s="4">
        <v>0.84</v>
      </c>
      <c r="AB1001" s="4">
        <v>15.3</v>
      </c>
      <c r="AC1001" s="4"/>
      <c r="AD1001" s="4"/>
      <c r="AE1001" s="4">
        <v>2.11</v>
      </c>
      <c r="AF1001" s="4">
        <v>1.69</v>
      </c>
      <c r="AG1001" s="4"/>
      <c r="AH1001" s="4" t="s">
        <v>4323</v>
      </c>
      <c r="AI1001" s="4">
        <v>1</v>
      </c>
      <c r="AJ1001" s="4"/>
      <c r="AK1001" s="4"/>
      <c r="AL1001" s="4">
        <v>70.802000000000007</v>
      </c>
      <c r="AM1001" s="4"/>
      <c r="AN1001" s="4"/>
      <c r="AO1001" s="4"/>
      <c r="AP1001" s="4"/>
      <c r="AQ1001" s="4">
        <v>-0.77958841999999995</v>
      </c>
      <c r="AR1001" s="4"/>
      <c r="AS1001" s="4"/>
      <c r="AT1001" s="4"/>
    </row>
    <row r="1002" spans="1:46">
      <c r="A1002" s="4" t="s">
        <v>4324</v>
      </c>
      <c r="B1002" s="4"/>
      <c r="C1002" s="4" t="s">
        <v>4324</v>
      </c>
      <c r="D1002" s="4" t="s">
        <v>4324</v>
      </c>
      <c r="E1002" s="4" t="s">
        <v>4308</v>
      </c>
      <c r="F1002" s="4" t="s">
        <v>4325</v>
      </c>
      <c r="G1002" s="4" t="s">
        <v>456</v>
      </c>
      <c r="H1002" s="4" t="s">
        <v>4326</v>
      </c>
      <c r="I1002" s="4">
        <v>5</v>
      </c>
      <c r="J1002" s="4">
        <v>0.2</v>
      </c>
      <c r="K1002" s="4" t="s">
        <v>65</v>
      </c>
      <c r="L1002" s="4" t="s">
        <v>65</v>
      </c>
      <c r="M1002" s="4">
        <v>22</v>
      </c>
      <c r="N1002" s="4">
        <v>50.8</v>
      </c>
      <c r="O1002" s="4">
        <v>68.012</v>
      </c>
      <c r="P1002" s="4">
        <v>-167.86600000000001</v>
      </c>
      <c r="Q1002" s="4">
        <v>5.1100000000000003</v>
      </c>
      <c r="R1002" s="4">
        <v>32.06</v>
      </c>
      <c r="S1002" s="4">
        <v>265.36399999999998</v>
      </c>
      <c r="T1002" s="4"/>
      <c r="U1002" s="4"/>
      <c r="V1002" s="4"/>
      <c r="W1002" s="4">
        <v>0.38</v>
      </c>
      <c r="X1002" s="4">
        <v>4</v>
      </c>
      <c r="Y1002" s="4">
        <v>0.52500000000000002</v>
      </c>
      <c r="Z1002" s="4"/>
      <c r="AA1002" s="4">
        <v>1.06</v>
      </c>
      <c r="AB1002" s="4">
        <v>17.79</v>
      </c>
      <c r="AC1002" s="4"/>
      <c r="AD1002" s="4"/>
      <c r="AE1002" s="4">
        <v>2.2599999999999998</v>
      </c>
      <c r="AF1002" s="4">
        <v>3.74</v>
      </c>
      <c r="AG1002" s="4"/>
      <c r="AH1002" s="4" t="s">
        <v>4327</v>
      </c>
      <c r="AI1002" s="4">
        <v>4</v>
      </c>
      <c r="AJ1002" s="4"/>
      <c r="AK1002" s="4"/>
      <c r="AL1002" s="4">
        <v>96.328400000000002</v>
      </c>
      <c r="AM1002" s="4"/>
      <c r="AN1002" s="4"/>
      <c r="AO1002" s="4"/>
      <c r="AP1002" s="4"/>
      <c r="AQ1002" s="4">
        <v>-0.24851805599999999</v>
      </c>
      <c r="AR1002" s="4"/>
      <c r="AS1002" s="4"/>
      <c r="AT1002" s="4"/>
    </row>
    <row r="1003" spans="1:46">
      <c r="A1003" s="4" t="s">
        <v>4328</v>
      </c>
      <c r="B1003" s="4"/>
      <c r="C1003" s="4" t="s">
        <v>4328</v>
      </c>
      <c r="D1003" s="4" t="s">
        <v>4328</v>
      </c>
      <c r="E1003" s="4" t="s">
        <v>4308</v>
      </c>
      <c r="F1003" s="4" t="s">
        <v>4325</v>
      </c>
      <c r="G1003" s="4" t="s">
        <v>456</v>
      </c>
      <c r="H1003" s="4" t="s">
        <v>4326</v>
      </c>
      <c r="I1003" s="4">
        <v>5</v>
      </c>
      <c r="J1003" s="4">
        <v>0.2</v>
      </c>
      <c r="K1003" s="4" t="s">
        <v>1688</v>
      </c>
      <c r="L1003" s="4" t="s">
        <v>52</v>
      </c>
      <c r="M1003" s="4">
        <v>4</v>
      </c>
      <c r="N1003" s="4">
        <v>50.8</v>
      </c>
      <c r="O1003" s="4">
        <v>68.012</v>
      </c>
      <c r="P1003" s="4">
        <v>-167.86600000000001</v>
      </c>
      <c r="Q1003" s="4">
        <v>7.37</v>
      </c>
      <c r="R1003" s="4">
        <v>31.75</v>
      </c>
      <c r="S1003" s="4">
        <v>290.142</v>
      </c>
      <c r="T1003" s="4"/>
      <c r="U1003" s="4"/>
      <c r="V1003" s="4"/>
      <c r="W1003" s="4">
        <v>0.79400000000000004</v>
      </c>
      <c r="X1003" s="4">
        <v>6</v>
      </c>
      <c r="Y1003" s="4">
        <v>1.0940000000000001</v>
      </c>
      <c r="Z1003" s="4"/>
      <c r="AA1003" s="4">
        <v>0.49</v>
      </c>
      <c r="AB1003" s="4">
        <v>12.81</v>
      </c>
      <c r="AC1003" s="4"/>
      <c r="AD1003" s="4"/>
      <c r="AE1003" s="4">
        <v>0.49</v>
      </c>
      <c r="AF1003" s="4">
        <v>0.66</v>
      </c>
      <c r="AG1003" s="4"/>
      <c r="AH1003" s="4" t="s">
        <v>4329</v>
      </c>
      <c r="AI1003" s="4">
        <v>6</v>
      </c>
      <c r="AJ1003" s="4"/>
      <c r="AK1003" s="4"/>
      <c r="AL1003" s="4">
        <v>93.518199999999993</v>
      </c>
      <c r="AM1003" s="4"/>
      <c r="AN1003" s="4"/>
      <c r="AO1003" s="4"/>
      <c r="AP1003" s="4"/>
      <c r="AQ1003" s="4">
        <v>-1.251337095</v>
      </c>
      <c r="AR1003" s="4"/>
      <c r="AS1003" s="4"/>
      <c r="AT1003" s="4"/>
    </row>
    <row r="1004" spans="1:46">
      <c r="A1004" s="4" t="s">
        <v>4330</v>
      </c>
      <c r="B1004" s="4"/>
      <c r="C1004" s="4" t="s">
        <v>4330</v>
      </c>
      <c r="D1004" s="4" t="s">
        <v>4330</v>
      </c>
      <c r="E1004" s="4" t="s">
        <v>4308</v>
      </c>
      <c r="F1004" s="4" t="s">
        <v>4325</v>
      </c>
      <c r="G1004" s="4" t="s">
        <v>456</v>
      </c>
      <c r="H1004" s="4" t="s">
        <v>4326</v>
      </c>
      <c r="I1004" s="4">
        <v>5</v>
      </c>
      <c r="J1004" s="4">
        <v>0.2</v>
      </c>
      <c r="K1004" s="4" t="s">
        <v>150</v>
      </c>
      <c r="L1004" s="4" t="s">
        <v>78</v>
      </c>
      <c r="M1004" s="4">
        <v>47</v>
      </c>
      <c r="N1004" s="4">
        <v>50.8</v>
      </c>
      <c r="O1004" s="4">
        <v>68.012</v>
      </c>
      <c r="P1004" s="4">
        <v>-167.86600000000001</v>
      </c>
      <c r="Q1004" s="4">
        <v>4.68</v>
      </c>
      <c r="R1004" s="4">
        <v>32.26</v>
      </c>
      <c r="S1004" s="4">
        <v>237.113</v>
      </c>
      <c r="T1004" s="4"/>
      <c r="U1004" s="4"/>
      <c r="V1004" s="4"/>
      <c r="W1004" s="4">
        <v>0.503</v>
      </c>
      <c r="X1004" s="4">
        <v>1</v>
      </c>
      <c r="Y1004" s="4">
        <v>1.552</v>
      </c>
      <c r="Z1004" s="4"/>
      <c r="AA1004" s="4">
        <v>1.69</v>
      </c>
      <c r="AB1004" s="4">
        <v>34.159999999999997</v>
      </c>
      <c r="AC1004" s="4"/>
      <c r="AD1004" s="4"/>
      <c r="AE1004" s="4">
        <v>3.94</v>
      </c>
      <c r="AF1004" s="4">
        <v>6.06</v>
      </c>
      <c r="AG1004" s="4"/>
      <c r="AH1004" s="4" t="s">
        <v>4331</v>
      </c>
      <c r="AI1004" s="4">
        <v>1</v>
      </c>
      <c r="AJ1004" s="4"/>
      <c r="AK1004" s="4"/>
      <c r="AL1004" s="4">
        <v>53.455599999999997</v>
      </c>
      <c r="AM1004" s="4"/>
      <c r="AN1004" s="4"/>
      <c r="AO1004" s="4"/>
      <c r="AP1004" s="4"/>
      <c r="AQ1004" s="4">
        <v>-1.008400652</v>
      </c>
      <c r="AR1004" s="4"/>
      <c r="AS1004" s="4"/>
      <c r="AT1004" s="4"/>
    </row>
    <row r="1005" spans="1:46">
      <c r="A1005" s="4" t="s">
        <v>4332</v>
      </c>
      <c r="B1005" s="4"/>
      <c r="C1005" s="4" t="s">
        <v>4332</v>
      </c>
      <c r="D1005" s="4" t="s">
        <v>4332</v>
      </c>
      <c r="E1005" s="4" t="s">
        <v>4308</v>
      </c>
      <c r="F1005" s="4" t="s">
        <v>4333</v>
      </c>
      <c r="G1005" s="4" t="s">
        <v>456</v>
      </c>
      <c r="H1005" s="4" t="s">
        <v>4334</v>
      </c>
      <c r="I1005" s="4">
        <v>4</v>
      </c>
      <c r="J1005" s="4">
        <v>0.2</v>
      </c>
      <c r="K1005" s="4" t="s">
        <v>65</v>
      </c>
      <c r="L1005" s="4" t="s">
        <v>65</v>
      </c>
      <c r="M1005" s="4">
        <v>20</v>
      </c>
      <c r="N1005" s="4">
        <v>55.9</v>
      </c>
      <c r="O1005" s="4">
        <v>67.897000000000006</v>
      </c>
      <c r="P1005" s="4">
        <v>-168.23699999999999</v>
      </c>
      <c r="Q1005" s="4">
        <v>4.47</v>
      </c>
      <c r="R1005" s="4">
        <v>32.549999999999997</v>
      </c>
      <c r="S1005" s="4">
        <v>268.53500000000003</v>
      </c>
      <c r="T1005" s="4"/>
      <c r="U1005" s="4"/>
      <c r="V1005" s="4"/>
      <c r="W1005" s="4">
        <v>0.24299999999999999</v>
      </c>
      <c r="X1005" s="4">
        <v>5</v>
      </c>
      <c r="Y1005" s="4">
        <v>0.621</v>
      </c>
      <c r="Z1005" s="4"/>
      <c r="AA1005" s="4">
        <v>1.6</v>
      </c>
      <c r="AB1005" s="4">
        <v>31.32</v>
      </c>
      <c r="AC1005" s="4"/>
      <c r="AD1005" s="4"/>
      <c r="AE1005" s="4">
        <v>2.41</v>
      </c>
      <c r="AF1005" s="4">
        <v>11.07</v>
      </c>
      <c r="AG1005" s="4"/>
      <c r="AH1005" s="4" t="s">
        <v>4335</v>
      </c>
      <c r="AI1005" s="4">
        <v>5</v>
      </c>
      <c r="AJ1005" s="4"/>
      <c r="AK1005" s="4"/>
      <c r="AL1005" s="4">
        <v>95.819000000000003</v>
      </c>
      <c r="AM1005" s="4"/>
      <c r="AN1005" s="4"/>
      <c r="AO1005" s="4"/>
      <c r="AP1005" s="4"/>
      <c r="AQ1005" s="4">
        <v>-0.46885576099999998</v>
      </c>
      <c r="AR1005" s="4"/>
      <c r="AS1005" s="4"/>
      <c r="AT1005" s="4"/>
    </row>
    <row r="1006" spans="1:46">
      <c r="A1006" s="4" t="s">
        <v>4336</v>
      </c>
      <c r="B1006" s="4"/>
      <c r="C1006" s="4" t="s">
        <v>4336</v>
      </c>
      <c r="D1006" s="4" t="s">
        <v>4336</v>
      </c>
      <c r="E1006" s="4" t="s">
        <v>4308</v>
      </c>
      <c r="F1006" s="4" t="s">
        <v>4333</v>
      </c>
      <c r="G1006" s="4" t="s">
        <v>456</v>
      </c>
      <c r="H1006" s="4" t="s">
        <v>4334</v>
      </c>
      <c r="I1006" s="4">
        <v>4</v>
      </c>
      <c r="J1006" s="4">
        <v>0.2</v>
      </c>
      <c r="K1006" s="4" t="s">
        <v>1688</v>
      </c>
      <c r="L1006" s="4" t="s">
        <v>52</v>
      </c>
      <c r="M1006" s="4">
        <v>4</v>
      </c>
      <c r="N1006" s="4">
        <v>55.9</v>
      </c>
      <c r="O1006" s="4">
        <v>67.897000000000006</v>
      </c>
      <c r="P1006" s="4">
        <v>-168.23699999999999</v>
      </c>
      <c r="Q1006" s="4">
        <v>5.99</v>
      </c>
      <c r="R1006" s="4">
        <v>32.409999999999997</v>
      </c>
      <c r="S1006" s="4">
        <v>396.35500000000002</v>
      </c>
      <c r="T1006" s="4"/>
      <c r="U1006" s="4"/>
      <c r="V1006" s="4"/>
      <c r="W1006" s="4">
        <v>12.039</v>
      </c>
      <c r="X1006" s="4">
        <v>7</v>
      </c>
      <c r="Y1006" s="4">
        <v>18.207999999999998</v>
      </c>
      <c r="Z1006" s="4"/>
      <c r="AA1006" s="4">
        <v>0.08</v>
      </c>
      <c r="AB1006" s="4">
        <v>7.83</v>
      </c>
      <c r="AC1006" s="4"/>
      <c r="AD1006" s="4"/>
      <c r="AE1006" s="4">
        <v>0.89</v>
      </c>
      <c r="AF1006" s="4">
        <v>0.23</v>
      </c>
      <c r="AG1006" s="4"/>
      <c r="AH1006" s="4" t="s">
        <v>4337</v>
      </c>
      <c r="AI1006" s="4">
        <v>7</v>
      </c>
      <c r="AJ1006" s="4"/>
      <c r="AK1006" s="4"/>
      <c r="AL1006" s="4">
        <v>67.454499999999996</v>
      </c>
      <c r="AM1006" s="4"/>
      <c r="AN1006" s="4"/>
      <c r="AO1006" s="4"/>
      <c r="AP1006" s="4"/>
      <c r="AQ1006" s="4">
        <v>-0.152473416</v>
      </c>
      <c r="AR1006" s="4"/>
      <c r="AS1006" s="4"/>
      <c r="AT1006" s="4"/>
    </row>
    <row r="1007" spans="1:46">
      <c r="A1007" s="4" t="s">
        <v>4338</v>
      </c>
      <c r="B1007" s="4"/>
      <c r="C1007" s="4" t="s">
        <v>4338</v>
      </c>
      <c r="D1007" s="4" t="s">
        <v>4338</v>
      </c>
      <c r="E1007" s="4" t="s">
        <v>4308</v>
      </c>
      <c r="F1007" s="4" t="s">
        <v>4333</v>
      </c>
      <c r="G1007" s="4" t="s">
        <v>456</v>
      </c>
      <c r="H1007" s="4" t="s">
        <v>4334</v>
      </c>
      <c r="I1007" s="4">
        <v>4</v>
      </c>
      <c r="J1007" s="4">
        <v>0.2</v>
      </c>
      <c r="K1007" s="4" t="s">
        <v>150</v>
      </c>
      <c r="L1007" s="4" t="s">
        <v>78</v>
      </c>
      <c r="M1007" s="4">
        <v>54</v>
      </c>
      <c r="N1007" s="4">
        <v>55.9</v>
      </c>
      <c r="O1007" s="4">
        <v>67.897000000000006</v>
      </c>
      <c r="P1007" s="4">
        <v>-168.23699999999999</v>
      </c>
      <c r="Q1007" s="4">
        <v>4.18</v>
      </c>
      <c r="R1007" s="4">
        <v>32.6</v>
      </c>
      <c r="S1007" s="4">
        <v>235.81200000000001</v>
      </c>
      <c r="T1007" s="4"/>
      <c r="U1007" s="4"/>
      <c r="V1007" s="4"/>
      <c r="W1007" s="4">
        <v>0.65100000000000002</v>
      </c>
      <c r="X1007" s="4">
        <v>1</v>
      </c>
      <c r="Y1007" s="4">
        <v>1.9039999999999999</v>
      </c>
      <c r="Z1007" s="4"/>
      <c r="AA1007" s="4">
        <v>1.95</v>
      </c>
      <c r="AB1007" s="4">
        <v>44.84</v>
      </c>
      <c r="AC1007" s="4"/>
      <c r="AD1007" s="4"/>
      <c r="AE1007" s="4">
        <v>4.3600000000000003</v>
      </c>
      <c r="AF1007" s="4">
        <v>12.79</v>
      </c>
      <c r="AG1007" s="4"/>
      <c r="AH1007" s="4" t="s">
        <v>4339</v>
      </c>
      <c r="AI1007" s="4">
        <v>1</v>
      </c>
      <c r="AJ1007" s="4"/>
      <c r="AK1007" s="4"/>
      <c r="AL1007" s="4">
        <v>28.193999999999999</v>
      </c>
      <c r="AM1007" s="4"/>
      <c r="AN1007" s="4"/>
      <c r="AO1007" s="4"/>
      <c r="AP1007" s="4"/>
      <c r="AQ1007" s="4">
        <v>-0.39117259599999998</v>
      </c>
      <c r="AR1007" s="4"/>
      <c r="AS1007" s="4"/>
      <c r="AT1007" s="4"/>
    </row>
    <row r="1008" spans="1:46">
      <c r="A1008" s="4" t="s">
        <v>4340</v>
      </c>
      <c r="B1008" s="4"/>
      <c r="C1008" s="4" t="s">
        <v>4340</v>
      </c>
      <c r="D1008" s="4" t="s">
        <v>4340</v>
      </c>
      <c r="E1008" s="4" t="s">
        <v>4308</v>
      </c>
      <c r="F1008" s="4" t="s">
        <v>4341</v>
      </c>
      <c r="G1008" s="4" t="s">
        <v>456</v>
      </c>
      <c r="H1008" s="4" t="s">
        <v>4342</v>
      </c>
      <c r="I1008" s="4">
        <v>3</v>
      </c>
      <c r="J1008" s="4">
        <v>0.2</v>
      </c>
      <c r="K1008" s="4" t="s">
        <v>65</v>
      </c>
      <c r="L1008" s="4" t="s">
        <v>65</v>
      </c>
      <c r="M1008" s="4">
        <v>21</v>
      </c>
      <c r="N1008" s="4">
        <v>47.7</v>
      </c>
      <c r="O1008" s="4">
        <v>67.784000000000006</v>
      </c>
      <c r="P1008" s="4">
        <v>-168.60499999999999</v>
      </c>
      <c r="Q1008" s="4">
        <v>4.8099999999999996</v>
      </c>
      <c r="R1008" s="4">
        <v>32.68</v>
      </c>
      <c r="S1008" s="4">
        <v>315.536</v>
      </c>
      <c r="T1008" s="4"/>
      <c r="U1008" s="4"/>
      <c r="V1008" s="4"/>
      <c r="W1008" s="4">
        <v>3.0680000000000001</v>
      </c>
      <c r="X1008" s="4">
        <v>3</v>
      </c>
      <c r="Y1008" s="4">
        <v>9.5359999999999996</v>
      </c>
      <c r="Z1008" s="4"/>
      <c r="AA1008" s="4">
        <v>1.48</v>
      </c>
      <c r="AB1008" s="4">
        <v>25.27</v>
      </c>
      <c r="AC1008" s="4"/>
      <c r="AD1008" s="4"/>
      <c r="AE1008" s="4">
        <v>2.08</v>
      </c>
      <c r="AF1008" s="4">
        <v>8.5</v>
      </c>
      <c r="AG1008" s="4"/>
      <c r="AH1008" s="4" t="s">
        <v>4343</v>
      </c>
      <c r="AI1008" s="4">
        <v>3</v>
      </c>
      <c r="AJ1008" s="4"/>
      <c r="AK1008" s="4"/>
      <c r="AL1008" s="4">
        <v>83.632599999999996</v>
      </c>
      <c r="AM1008" s="4"/>
      <c r="AN1008" s="4"/>
      <c r="AO1008" s="4"/>
      <c r="AP1008" s="4"/>
      <c r="AQ1008" s="4">
        <v>-1.3770425799999999</v>
      </c>
      <c r="AR1008" s="4"/>
      <c r="AS1008" s="4"/>
      <c r="AT1008" s="4"/>
    </row>
    <row r="1009" spans="1:46">
      <c r="A1009" s="4" t="s">
        <v>4344</v>
      </c>
      <c r="B1009" s="4"/>
      <c r="C1009" s="4" t="s">
        <v>4344</v>
      </c>
      <c r="D1009" s="4" t="s">
        <v>4344</v>
      </c>
      <c r="E1009" s="4" t="s">
        <v>4308</v>
      </c>
      <c r="F1009" s="4" t="s">
        <v>4341</v>
      </c>
      <c r="G1009" s="4" t="s">
        <v>456</v>
      </c>
      <c r="H1009" s="4" t="s">
        <v>4342</v>
      </c>
      <c r="I1009" s="4">
        <v>3</v>
      </c>
      <c r="J1009" s="4">
        <v>0.2</v>
      </c>
      <c r="K1009" s="4" t="s">
        <v>150</v>
      </c>
      <c r="L1009" s="4" t="s">
        <v>65</v>
      </c>
      <c r="M1009" s="4">
        <v>31</v>
      </c>
      <c r="N1009" s="4">
        <v>47.7</v>
      </c>
      <c r="O1009" s="4">
        <v>67.784000000000006</v>
      </c>
      <c r="P1009" s="4">
        <v>-168.60499999999999</v>
      </c>
      <c r="Q1009" s="4">
        <v>3.92</v>
      </c>
      <c r="R1009" s="4">
        <v>32.69</v>
      </c>
      <c r="S1009" s="4">
        <v>253.02600000000001</v>
      </c>
      <c r="T1009" s="4"/>
      <c r="U1009" s="4"/>
      <c r="V1009" s="4"/>
      <c r="W1009" s="4">
        <v>0.50800000000000001</v>
      </c>
      <c r="X1009" s="4">
        <v>2</v>
      </c>
      <c r="Y1009" s="4">
        <v>1.8240000000000001</v>
      </c>
      <c r="Z1009" s="4"/>
      <c r="AA1009" s="4">
        <v>2.17</v>
      </c>
      <c r="AB1009" s="4">
        <v>44.13</v>
      </c>
      <c r="AC1009" s="4"/>
      <c r="AD1009" s="4"/>
      <c r="AE1009" s="4">
        <v>3.82</v>
      </c>
      <c r="AF1009" s="4">
        <v>16.29</v>
      </c>
      <c r="AG1009" s="4"/>
      <c r="AH1009" s="4" t="s">
        <v>4345</v>
      </c>
      <c r="AI1009" s="4">
        <v>2</v>
      </c>
      <c r="AJ1009" s="4"/>
      <c r="AK1009" s="4"/>
      <c r="AL1009" s="4">
        <v>61.464300000000001</v>
      </c>
      <c r="AM1009" s="4"/>
      <c r="AN1009" s="4"/>
      <c r="AO1009" s="4"/>
      <c r="AP1009" s="4"/>
      <c r="AQ1009" s="4">
        <v>-1.2259135139999999</v>
      </c>
      <c r="AR1009" s="4"/>
      <c r="AS1009" s="4"/>
      <c r="AT1009" s="4"/>
    </row>
    <row r="1010" spans="1:46">
      <c r="A1010" s="4" t="s">
        <v>4346</v>
      </c>
      <c r="B1010" s="4"/>
      <c r="C1010" s="4" t="s">
        <v>4346</v>
      </c>
      <c r="D1010" s="4" t="s">
        <v>4346</v>
      </c>
      <c r="E1010" s="4" t="s">
        <v>4308</v>
      </c>
      <c r="F1010" s="4" t="s">
        <v>4341</v>
      </c>
      <c r="G1010" s="4" t="s">
        <v>456</v>
      </c>
      <c r="H1010" s="4" t="s">
        <v>4342</v>
      </c>
      <c r="I1010" s="4">
        <v>3</v>
      </c>
      <c r="J1010" s="4">
        <v>0.2</v>
      </c>
      <c r="K1010" s="4" t="s">
        <v>1688</v>
      </c>
      <c r="L1010" s="4" t="s">
        <v>52</v>
      </c>
      <c r="M1010" s="4">
        <v>5</v>
      </c>
      <c r="N1010" s="4">
        <v>47.7</v>
      </c>
      <c r="O1010" s="4">
        <v>67.784000000000006</v>
      </c>
      <c r="P1010" s="4">
        <v>-168.60499999999999</v>
      </c>
      <c r="Q1010" s="4">
        <v>5.57</v>
      </c>
      <c r="R1010" s="4">
        <v>32.69</v>
      </c>
      <c r="S1010" s="4">
        <v>393.01799999999997</v>
      </c>
      <c r="T1010" s="4"/>
      <c r="U1010" s="4"/>
      <c r="V1010" s="4"/>
      <c r="W1010" s="4">
        <v>13.21</v>
      </c>
      <c r="X1010" s="4">
        <v>5</v>
      </c>
      <c r="Y1010" s="4">
        <v>21.088000000000001</v>
      </c>
      <c r="Z1010" s="4"/>
      <c r="AA1010" s="4">
        <v>0.55000000000000004</v>
      </c>
      <c r="AB1010" s="4">
        <v>5.69</v>
      </c>
      <c r="AC1010" s="4"/>
      <c r="AD1010" s="4"/>
      <c r="AE1010" s="4">
        <v>0.84</v>
      </c>
      <c r="AF1010" s="4">
        <v>0.24</v>
      </c>
      <c r="AG1010" s="4"/>
      <c r="AH1010" s="4" t="s">
        <v>4347</v>
      </c>
      <c r="AI1010" s="4">
        <v>5</v>
      </c>
      <c r="AJ1010" s="4"/>
      <c r="AK1010" s="4"/>
      <c r="AL1010" s="4">
        <v>70.646100000000004</v>
      </c>
      <c r="AM1010" s="4"/>
      <c r="AN1010" s="4"/>
      <c r="AO1010" s="4"/>
      <c r="AP1010" s="4"/>
      <c r="AQ1010" s="4">
        <v>-1.136930979</v>
      </c>
      <c r="AR1010" s="4"/>
      <c r="AS1010" s="4"/>
      <c r="AT1010" s="4"/>
    </row>
    <row r="1011" spans="1:46">
      <c r="A1011" s="4" t="s">
        <v>4348</v>
      </c>
      <c r="B1011" s="4"/>
      <c r="C1011" s="4" t="s">
        <v>4348</v>
      </c>
      <c r="D1011" s="4" t="s">
        <v>4348</v>
      </c>
      <c r="E1011" s="4" t="s">
        <v>4308</v>
      </c>
      <c r="F1011" s="4" t="s">
        <v>4349</v>
      </c>
      <c r="G1011" s="4" t="s">
        <v>456</v>
      </c>
      <c r="H1011" s="4" t="s">
        <v>4350</v>
      </c>
      <c r="I1011" s="4">
        <v>2</v>
      </c>
      <c r="J1011" s="4">
        <v>0.2</v>
      </c>
      <c r="K1011" s="4" t="s">
        <v>65</v>
      </c>
      <c r="L1011" s="4" t="s">
        <v>65</v>
      </c>
      <c r="M1011" s="4">
        <v>18</v>
      </c>
      <c r="N1011" s="4">
        <v>51.2</v>
      </c>
      <c r="O1011" s="4">
        <v>67.667000000000002</v>
      </c>
      <c r="P1011" s="4">
        <v>-168.95500000000001</v>
      </c>
      <c r="Q1011" s="4">
        <v>4.68</v>
      </c>
      <c r="R1011" s="4">
        <v>32.700000000000003</v>
      </c>
      <c r="S1011" s="4">
        <v>305.82100000000003</v>
      </c>
      <c r="T1011" s="4"/>
      <c r="U1011" s="4"/>
      <c r="V1011" s="4"/>
      <c r="W1011" s="4">
        <v>10.855</v>
      </c>
      <c r="X1011" s="4">
        <v>8</v>
      </c>
      <c r="Y1011" s="4">
        <v>9.6319999999999997</v>
      </c>
      <c r="Z1011" s="4"/>
      <c r="AA1011" s="4">
        <v>0.18</v>
      </c>
      <c r="AB1011" s="4">
        <v>2.85</v>
      </c>
      <c r="AC1011" s="4"/>
      <c r="AD1011" s="4"/>
      <c r="AE1011" s="4">
        <v>0.26</v>
      </c>
      <c r="AF1011" s="4">
        <v>0.5</v>
      </c>
      <c r="AG1011" s="4"/>
      <c r="AH1011" s="4" t="s">
        <v>4351</v>
      </c>
      <c r="AI1011" s="4">
        <v>8</v>
      </c>
      <c r="AJ1011" s="4"/>
      <c r="AK1011" s="4"/>
      <c r="AL1011" s="4">
        <v>64.264399999999995</v>
      </c>
      <c r="AM1011" s="4"/>
      <c r="AN1011" s="4"/>
      <c r="AO1011" s="4"/>
      <c r="AP1011" s="4"/>
      <c r="AQ1011" s="4"/>
      <c r="AR1011" s="4"/>
      <c r="AS1011" s="4"/>
      <c r="AT1011" s="4"/>
    </row>
    <row r="1012" spans="1:46">
      <c r="A1012" s="4" t="s">
        <v>4352</v>
      </c>
      <c r="B1012" s="4"/>
      <c r="C1012" s="4" t="s">
        <v>4352</v>
      </c>
      <c r="D1012" s="4" t="s">
        <v>4352</v>
      </c>
      <c r="E1012" s="4" t="s">
        <v>4308</v>
      </c>
      <c r="F1012" s="4" t="s">
        <v>4349</v>
      </c>
      <c r="G1012" s="4" t="s">
        <v>456</v>
      </c>
      <c r="H1012" s="4" t="s">
        <v>4350</v>
      </c>
      <c r="I1012" s="4">
        <v>2</v>
      </c>
      <c r="J1012" s="4">
        <v>0.2</v>
      </c>
      <c r="K1012" s="4" t="s">
        <v>1688</v>
      </c>
      <c r="L1012" s="4" t="s">
        <v>52</v>
      </c>
      <c r="M1012" s="4">
        <v>5</v>
      </c>
      <c r="N1012" s="4">
        <v>51.2</v>
      </c>
      <c r="O1012" s="4">
        <v>67.667000000000002</v>
      </c>
      <c r="P1012" s="4">
        <v>-168.95500000000001</v>
      </c>
      <c r="Q1012" s="4">
        <v>6.04</v>
      </c>
      <c r="R1012" s="4">
        <v>32.65</v>
      </c>
      <c r="S1012" s="4">
        <v>377.59199999999998</v>
      </c>
      <c r="T1012" s="4"/>
      <c r="U1012" s="4"/>
      <c r="V1012" s="4"/>
      <c r="W1012" s="4">
        <v>8.7509999999999994</v>
      </c>
      <c r="X1012" s="4">
        <v>10</v>
      </c>
      <c r="Y1012" s="4">
        <v>9.8879999999999999</v>
      </c>
      <c r="Z1012" s="4"/>
      <c r="AA1012" s="4">
        <v>0.18</v>
      </c>
      <c r="AB1012" s="4">
        <v>2.85</v>
      </c>
      <c r="AC1012" s="4"/>
      <c r="AD1012" s="4"/>
      <c r="AE1012" s="4">
        <v>0.31</v>
      </c>
      <c r="AF1012" s="4">
        <v>0.19</v>
      </c>
      <c r="AG1012" s="4"/>
      <c r="AH1012" s="4" t="s">
        <v>4353</v>
      </c>
      <c r="AI1012" s="4">
        <v>10</v>
      </c>
      <c r="AJ1012" s="4"/>
      <c r="AK1012" s="4"/>
      <c r="AL1012" s="4">
        <v>72.026899999999998</v>
      </c>
      <c r="AM1012" s="4"/>
      <c r="AN1012" s="4"/>
      <c r="AO1012" s="4"/>
      <c r="AP1012" s="4"/>
      <c r="AQ1012" s="4">
        <v>-1.2131933989999999</v>
      </c>
      <c r="AR1012" s="4"/>
      <c r="AS1012" s="4"/>
      <c r="AT1012" s="4"/>
    </row>
    <row r="1013" spans="1:46">
      <c r="A1013" s="4" t="s">
        <v>4354</v>
      </c>
      <c r="B1013" s="4"/>
      <c r="C1013" s="4" t="s">
        <v>4354</v>
      </c>
      <c r="D1013" s="4" t="s">
        <v>4354</v>
      </c>
      <c r="E1013" s="4" t="s">
        <v>4308</v>
      </c>
      <c r="F1013" s="4" t="s">
        <v>4349</v>
      </c>
      <c r="G1013" s="4" t="s">
        <v>456</v>
      </c>
      <c r="H1013" s="4" t="s">
        <v>4350</v>
      </c>
      <c r="I1013" s="4">
        <v>2</v>
      </c>
      <c r="J1013" s="4">
        <v>0.2</v>
      </c>
      <c r="K1013" s="4" t="s">
        <v>150</v>
      </c>
      <c r="L1013" s="4" t="s">
        <v>78</v>
      </c>
      <c r="M1013" s="4">
        <v>44</v>
      </c>
      <c r="N1013" s="4">
        <v>51.2</v>
      </c>
      <c r="O1013" s="4">
        <v>67.667000000000002</v>
      </c>
      <c r="P1013" s="4">
        <v>-168.95500000000001</v>
      </c>
      <c r="Q1013" s="4">
        <v>3.82</v>
      </c>
      <c r="R1013" s="4">
        <v>32.75</v>
      </c>
      <c r="S1013" s="4">
        <v>253.74799999999999</v>
      </c>
      <c r="T1013" s="4"/>
      <c r="U1013" s="4"/>
      <c r="V1013" s="4"/>
      <c r="W1013" s="4">
        <v>0.70399999999999996</v>
      </c>
      <c r="X1013" s="4">
        <v>5</v>
      </c>
      <c r="Y1013" s="4">
        <v>1.1619999999999999</v>
      </c>
      <c r="Z1013" s="4"/>
      <c r="AA1013" s="4">
        <v>2.0299999999999998</v>
      </c>
      <c r="AB1013" s="4">
        <v>39.86</v>
      </c>
      <c r="AC1013" s="4"/>
      <c r="AD1013" s="4"/>
      <c r="AE1013" s="4">
        <v>3.49</v>
      </c>
      <c r="AF1013" s="4">
        <v>17</v>
      </c>
      <c r="AG1013" s="4"/>
      <c r="AH1013" s="4" t="s">
        <v>4355</v>
      </c>
      <c r="AI1013" s="4">
        <v>5</v>
      </c>
      <c r="AJ1013" s="4"/>
      <c r="AK1013" s="4"/>
      <c r="AL1013" s="4">
        <v>54.078600000000002</v>
      </c>
      <c r="AM1013" s="4"/>
      <c r="AN1013" s="4"/>
      <c r="AO1013" s="4"/>
      <c r="AP1013" s="4"/>
      <c r="AQ1013" s="4">
        <v>-0.57055008600000001</v>
      </c>
      <c r="AR1013" s="4"/>
      <c r="AS1013" s="4"/>
      <c r="AT1013" s="4"/>
    </row>
    <row r="1014" spans="1:46">
      <c r="A1014" s="4" t="s">
        <v>4356</v>
      </c>
      <c r="B1014" s="4"/>
      <c r="C1014" s="4" t="s">
        <v>4356</v>
      </c>
      <c r="D1014" s="4" t="s">
        <v>4356</v>
      </c>
      <c r="E1014" s="4" t="s">
        <v>4308</v>
      </c>
      <c r="F1014" s="4" t="s">
        <v>4357</v>
      </c>
      <c r="G1014" s="4" t="s">
        <v>456</v>
      </c>
      <c r="H1014" s="4" t="s">
        <v>4358</v>
      </c>
      <c r="I1014" s="4">
        <v>10</v>
      </c>
      <c r="J1014" s="4">
        <v>0.2</v>
      </c>
      <c r="K1014" s="4" t="s">
        <v>150</v>
      </c>
      <c r="L1014" s="4" t="s">
        <v>78</v>
      </c>
      <c r="M1014" s="4">
        <v>23</v>
      </c>
      <c r="N1014" s="4">
        <v>28.8</v>
      </c>
      <c r="O1014" s="4">
        <v>68.899000000000001</v>
      </c>
      <c r="P1014" s="4">
        <v>-166.423</v>
      </c>
      <c r="Q1014" s="4">
        <v>9.81</v>
      </c>
      <c r="R1014" s="4">
        <v>30.19</v>
      </c>
      <c r="S1014" s="4">
        <v>267.48399999999998</v>
      </c>
      <c r="T1014" s="4"/>
      <c r="U1014" s="4"/>
      <c r="V1014" s="4"/>
      <c r="W1014" s="4">
        <v>0.86899999999999999</v>
      </c>
      <c r="X1014" s="4">
        <v>1</v>
      </c>
      <c r="Y1014" s="4">
        <v>2.125</v>
      </c>
      <c r="Z1014" s="4"/>
      <c r="AA1014" s="4">
        <v>0.59</v>
      </c>
      <c r="AB1014" s="4">
        <v>9.25</v>
      </c>
      <c r="AC1014" s="4"/>
      <c r="AD1014" s="4"/>
      <c r="AE1014" s="4">
        <v>0.44</v>
      </c>
      <c r="AF1014" s="4">
        <v>0.24</v>
      </c>
      <c r="AG1014" s="4"/>
      <c r="AH1014" s="4" t="s">
        <v>4359</v>
      </c>
      <c r="AI1014" s="4">
        <v>1</v>
      </c>
      <c r="AJ1014" s="4"/>
      <c r="AK1014" s="4"/>
      <c r="AL1014" s="4">
        <v>80.171899999999994</v>
      </c>
      <c r="AM1014" s="4"/>
      <c r="AN1014" s="4"/>
      <c r="AO1014" s="4"/>
      <c r="AP1014" s="4"/>
      <c r="AQ1014" s="4">
        <v>-3.8290000000000002</v>
      </c>
      <c r="AR1014" s="4"/>
      <c r="AS1014" s="4"/>
      <c r="AT1014" s="4"/>
    </row>
    <row r="1015" spans="1:46">
      <c r="A1015" s="4" t="s">
        <v>4360</v>
      </c>
      <c r="B1015" s="4"/>
      <c r="C1015" s="4" t="s">
        <v>4360</v>
      </c>
      <c r="D1015" s="4" t="s">
        <v>4356</v>
      </c>
      <c r="E1015" s="4" t="s">
        <v>4308</v>
      </c>
      <c r="F1015" s="4" t="s">
        <v>4357</v>
      </c>
      <c r="G1015" s="4" t="s">
        <v>456</v>
      </c>
      <c r="H1015" s="4" t="s">
        <v>4358</v>
      </c>
      <c r="I1015" s="4">
        <v>10</v>
      </c>
      <c r="J1015" s="4">
        <v>0.2</v>
      </c>
      <c r="K1015" s="4" t="s">
        <v>150</v>
      </c>
      <c r="L1015" s="4" t="s">
        <v>78</v>
      </c>
      <c r="M1015" s="4">
        <v>23</v>
      </c>
      <c r="N1015" s="4">
        <v>28.8</v>
      </c>
      <c r="O1015" s="4">
        <v>68.899000000000001</v>
      </c>
      <c r="P1015" s="4">
        <v>-166.423</v>
      </c>
      <c r="Q1015" s="4">
        <v>9.81</v>
      </c>
      <c r="R1015" s="4">
        <v>30.19</v>
      </c>
      <c r="S1015" s="4">
        <v>267.48399999999998</v>
      </c>
      <c r="T1015" s="4"/>
      <c r="U1015" s="4"/>
      <c r="V1015" s="4"/>
      <c r="W1015" s="4">
        <v>0.86899999999999999</v>
      </c>
      <c r="X1015" s="4">
        <v>1</v>
      </c>
      <c r="Y1015" s="4">
        <v>2.125</v>
      </c>
      <c r="Z1015" s="4"/>
      <c r="AA1015" s="4">
        <v>0.59</v>
      </c>
      <c r="AB1015" s="4">
        <v>9.25</v>
      </c>
      <c r="AC1015" s="4"/>
      <c r="AD1015" s="4"/>
      <c r="AE1015" s="4">
        <v>0.44</v>
      </c>
      <c r="AF1015" s="4">
        <v>0.24</v>
      </c>
      <c r="AG1015" s="4"/>
      <c r="AH1015" s="4" t="s">
        <v>4359</v>
      </c>
      <c r="AI1015" s="4">
        <v>1</v>
      </c>
      <c r="AJ1015" s="4"/>
      <c r="AK1015" s="4"/>
      <c r="AL1015" s="4">
        <v>80.171899999999994</v>
      </c>
      <c r="AM1015" s="4"/>
      <c r="AN1015" s="4"/>
      <c r="AO1015" s="4"/>
      <c r="AP1015" s="4"/>
      <c r="AQ1015" s="4">
        <v>-3.8290000000000002</v>
      </c>
      <c r="AR1015" s="4"/>
      <c r="AS1015" s="4"/>
      <c r="AT1015" s="4"/>
    </row>
    <row r="1016" spans="1:46">
      <c r="A1016" s="4" t="s">
        <v>4361</v>
      </c>
      <c r="B1016" s="4"/>
      <c r="C1016" s="4" t="s">
        <v>4361</v>
      </c>
      <c r="D1016" s="4" t="s">
        <v>4361</v>
      </c>
      <c r="E1016" s="4" t="s">
        <v>4308</v>
      </c>
      <c r="F1016" s="4" t="s">
        <v>4357</v>
      </c>
      <c r="G1016" s="4" t="s">
        <v>456</v>
      </c>
      <c r="H1016" s="4" t="s">
        <v>4358</v>
      </c>
      <c r="I1016" s="4">
        <v>10</v>
      </c>
      <c r="J1016" s="4">
        <v>0.2</v>
      </c>
      <c r="K1016" s="4" t="s">
        <v>1688</v>
      </c>
      <c r="L1016" s="4" t="s">
        <v>52</v>
      </c>
      <c r="M1016" s="4">
        <v>5</v>
      </c>
      <c r="N1016" s="4">
        <v>28.8</v>
      </c>
      <c r="O1016" s="4">
        <v>68.899000000000001</v>
      </c>
      <c r="P1016" s="4">
        <v>-166.423</v>
      </c>
      <c r="Q1016" s="4">
        <v>10.220000000000001</v>
      </c>
      <c r="R1016" s="4">
        <v>30.07</v>
      </c>
      <c r="S1016" s="4">
        <v>267.14100000000002</v>
      </c>
      <c r="T1016" s="4"/>
      <c r="U1016" s="4"/>
      <c r="V1016" s="4"/>
      <c r="W1016" s="4">
        <v>1.06</v>
      </c>
      <c r="X1016" s="4">
        <v>4</v>
      </c>
      <c r="Y1016" s="4">
        <v>1.7629999999999999</v>
      </c>
      <c r="Z1016" s="4"/>
      <c r="AA1016" s="4">
        <v>0.53</v>
      </c>
      <c r="AB1016" s="4">
        <v>7.12</v>
      </c>
      <c r="AC1016" s="4"/>
      <c r="AD1016" s="4"/>
      <c r="AE1016" s="4">
        <v>0.42</v>
      </c>
      <c r="AF1016" s="4">
        <v>0.18</v>
      </c>
      <c r="AG1016" s="4"/>
      <c r="AH1016" s="4" t="s">
        <v>4362</v>
      </c>
      <c r="AI1016" s="4">
        <v>4</v>
      </c>
      <c r="AJ1016" s="4"/>
      <c r="AK1016" s="4"/>
      <c r="AL1016" s="4">
        <v>91.659199999999998</v>
      </c>
      <c r="AM1016" s="4"/>
      <c r="AN1016" s="4"/>
      <c r="AO1016" s="4"/>
      <c r="AP1016" s="4"/>
      <c r="AQ1016" s="4">
        <v>-3.6168333330000002</v>
      </c>
      <c r="AR1016" s="4"/>
      <c r="AS1016" s="4"/>
      <c r="AT1016" s="4"/>
    </row>
    <row r="1017" spans="1:46">
      <c r="A1017" s="4" t="s">
        <v>4363</v>
      </c>
      <c r="B1017" s="4"/>
      <c r="C1017" s="4" t="s">
        <v>4363</v>
      </c>
      <c r="D1017" s="4" t="s">
        <v>4363</v>
      </c>
      <c r="E1017" s="4" t="s">
        <v>4308</v>
      </c>
      <c r="F1017" s="4" t="s">
        <v>4357</v>
      </c>
      <c r="G1017" s="4" t="s">
        <v>456</v>
      </c>
      <c r="H1017" s="4" t="s">
        <v>4358</v>
      </c>
      <c r="I1017" s="4">
        <v>10</v>
      </c>
      <c r="J1017" s="4">
        <v>0.2</v>
      </c>
      <c r="K1017" s="4" t="s">
        <v>65</v>
      </c>
      <c r="L1017" s="4" t="s">
        <v>65</v>
      </c>
      <c r="M1017" s="4">
        <v>10</v>
      </c>
      <c r="N1017" s="4">
        <v>28.8</v>
      </c>
      <c r="O1017" s="4">
        <v>68.899000000000001</v>
      </c>
      <c r="P1017" s="4">
        <v>-166.423</v>
      </c>
      <c r="Q1017" s="4">
        <v>10.11</v>
      </c>
      <c r="R1017" s="4">
        <v>30.12</v>
      </c>
      <c r="S1017" s="4">
        <v>269.02999999999997</v>
      </c>
      <c r="T1017" s="4"/>
      <c r="U1017" s="4"/>
      <c r="V1017" s="4"/>
      <c r="W1017" s="4">
        <v>0.86899999999999999</v>
      </c>
      <c r="X1017" s="4">
        <v>3</v>
      </c>
      <c r="Y1017" s="4">
        <v>1.786</v>
      </c>
      <c r="Z1017" s="4"/>
      <c r="AA1017" s="4">
        <v>0.56000000000000005</v>
      </c>
      <c r="AB1017" s="4">
        <v>7.83</v>
      </c>
      <c r="AC1017" s="4"/>
      <c r="AD1017" s="4"/>
      <c r="AE1017" s="4">
        <v>0.3</v>
      </c>
      <c r="AF1017" s="4">
        <v>0.21</v>
      </c>
      <c r="AG1017" s="4"/>
      <c r="AH1017" s="4" t="s">
        <v>4364</v>
      </c>
      <c r="AI1017" s="4">
        <v>3</v>
      </c>
      <c r="AJ1017" s="4"/>
      <c r="AK1017" s="4"/>
      <c r="AL1017" s="4">
        <v>91.168899999999994</v>
      </c>
      <c r="AM1017" s="4"/>
      <c r="AN1017" s="4"/>
      <c r="AO1017" s="4"/>
      <c r="AP1017" s="4"/>
      <c r="AQ1017" s="4"/>
      <c r="AR1017" s="4"/>
      <c r="AS1017" s="4"/>
      <c r="AT1017" s="4"/>
    </row>
    <row r="1018" spans="1:46">
      <c r="A1018" s="4" t="s">
        <v>4365</v>
      </c>
      <c r="B1018" s="4"/>
      <c r="C1018" s="4" t="s">
        <v>4365</v>
      </c>
      <c r="D1018" s="4" t="s">
        <v>4365</v>
      </c>
      <c r="E1018" s="4" t="s">
        <v>4308</v>
      </c>
      <c r="F1018" s="4" t="s">
        <v>4366</v>
      </c>
      <c r="G1018" s="4" t="s">
        <v>456</v>
      </c>
      <c r="H1018" s="4" t="s">
        <v>4367</v>
      </c>
      <c r="I1018" s="4">
        <v>12</v>
      </c>
      <c r="J1018" s="4">
        <v>0.2</v>
      </c>
      <c r="K1018" s="4" t="s">
        <v>150</v>
      </c>
      <c r="L1018" s="4" t="s">
        <v>78</v>
      </c>
      <c r="M1018" s="4">
        <v>41</v>
      </c>
      <c r="N1018" s="4">
        <v>44.2</v>
      </c>
      <c r="O1018" s="4">
        <v>68.947999999999993</v>
      </c>
      <c r="P1018" s="4">
        <v>-166.90799999999999</v>
      </c>
      <c r="Q1018" s="4">
        <v>7.47</v>
      </c>
      <c r="R1018" s="4">
        <v>31.7</v>
      </c>
      <c r="S1018" s="4">
        <v>276.25900000000001</v>
      </c>
      <c r="T1018" s="4"/>
      <c r="U1018" s="4"/>
      <c r="V1018" s="4"/>
      <c r="W1018" s="4">
        <v>0.40899999999999997</v>
      </c>
      <c r="X1018" s="4">
        <v>1</v>
      </c>
      <c r="Y1018" s="4">
        <v>0.79200000000000004</v>
      </c>
      <c r="Z1018" s="4"/>
      <c r="AA1018" s="4">
        <v>0.78</v>
      </c>
      <c r="AB1018" s="4">
        <v>9.25</v>
      </c>
      <c r="AC1018" s="4"/>
      <c r="AD1018" s="4"/>
      <c r="AE1018" s="4">
        <v>1.53</v>
      </c>
      <c r="AF1018" s="4">
        <v>1.1299999999999999</v>
      </c>
      <c r="AG1018" s="4"/>
      <c r="AH1018" s="4" t="s">
        <v>4368</v>
      </c>
      <c r="AI1018" s="4">
        <v>1</v>
      </c>
      <c r="AJ1018" s="4"/>
      <c r="AK1018" s="4"/>
      <c r="AL1018" s="4">
        <v>62.644300000000001</v>
      </c>
      <c r="AM1018" s="4"/>
      <c r="AN1018" s="4"/>
      <c r="AO1018" s="4"/>
      <c r="AP1018" s="4"/>
      <c r="AQ1018" s="4">
        <v>-1.388344925</v>
      </c>
      <c r="AR1018" s="4"/>
      <c r="AS1018" s="4"/>
      <c r="AT1018" s="4"/>
    </row>
    <row r="1019" spans="1:46">
      <c r="A1019" s="4" t="s">
        <v>4369</v>
      </c>
      <c r="B1019" s="4"/>
      <c r="C1019" s="4" t="s">
        <v>4369</v>
      </c>
      <c r="D1019" s="4" t="s">
        <v>4369</v>
      </c>
      <c r="E1019" s="4" t="s">
        <v>4308</v>
      </c>
      <c r="F1019" s="4" t="s">
        <v>4370</v>
      </c>
      <c r="G1019" s="4" t="s">
        <v>456</v>
      </c>
      <c r="H1019" s="4" t="s">
        <v>4371</v>
      </c>
      <c r="I1019" s="4">
        <v>9</v>
      </c>
      <c r="J1019" s="4">
        <v>0.2</v>
      </c>
      <c r="K1019" s="4" t="s">
        <v>65</v>
      </c>
      <c r="L1019" s="4" t="s">
        <v>65</v>
      </c>
      <c r="M1019" s="4">
        <v>10</v>
      </c>
      <c r="N1019" s="4">
        <v>32.6</v>
      </c>
      <c r="O1019" s="4">
        <v>68.299000000000007</v>
      </c>
      <c r="P1019" s="4">
        <v>-166.93600000000001</v>
      </c>
      <c r="Q1019" s="4">
        <v>9.9</v>
      </c>
      <c r="R1019" s="4">
        <v>30.32</v>
      </c>
      <c r="S1019" s="4">
        <v>270.65899999999999</v>
      </c>
      <c r="T1019" s="4"/>
      <c r="U1019" s="4"/>
      <c r="V1019" s="4"/>
      <c r="W1019" s="4">
        <v>1.1339999999999999</v>
      </c>
      <c r="X1019" s="4">
        <v>3</v>
      </c>
      <c r="Y1019" s="4">
        <v>1.619</v>
      </c>
      <c r="Z1019" s="4"/>
      <c r="AA1019" s="4">
        <v>0.54</v>
      </c>
      <c r="AB1019" s="4">
        <v>7.12</v>
      </c>
      <c r="AC1019" s="4"/>
      <c r="AD1019" s="4"/>
      <c r="AE1019" s="4">
        <v>0.24</v>
      </c>
      <c r="AF1019" s="4">
        <v>0.33</v>
      </c>
      <c r="AG1019" s="4"/>
      <c r="AH1019" s="4" t="s">
        <v>4372</v>
      </c>
      <c r="AI1019" s="4">
        <v>3</v>
      </c>
      <c r="AJ1019" s="4"/>
      <c r="AK1019" s="4"/>
      <c r="AL1019" s="4">
        <v>83.681200000000004</v>
      </c>
      <c r="AM1019" s="4"/>
      <c r="AN1019" s="4"/>
      <c r="AO1019" s="4"/>
      <c r="AP1019" s="4"/>
      <c r="AQ1019" s="4">
        <v>-3.1404178780000001</v>
      </c>
      <c r="AR1019" s="4"/>
      <c r="AS1019" s="4"/>
      <c r="AT1019" s="4"/>
    </row>
    <row r="1020" spans="1:46">
      <c r="A1020" s="4" t="s">
        <v>4373</v>
      </c>
      <c r="B1020" s="4"/>
      <c r="C1020" s="4" t="s">
        <v>4373</v>
      </c>
      <c r="D1020" s="4" t="s">
        <v>4373</v>
      </c>
      <c r="E1020" s="4" t="s">
        <v>4308</v>
      </c>
      <c r="F1020" s="4" t="s">
        <v>4370</v>
      </c>
      <c r="G1020" s="4" t="s">
        <v>456</v>
      </c>
      <c r="H1020" s="4" t="s">
        <v>4371</v>
      </c>
      <c r="I1020" s="4">
        <v>9</v>
      </c>
      <c r="J1020" s="4">
        <v>0.2</v>
      </c>
      <c r="K1020" s="4" t="s">
        <v>150</v>
      </c>
      <c r="L1020" s="4" t="s">
        <v>78</v>
      </c>
      <c r="M1020" s="4">
        <v>27</v>
      </c>
      <c r="N1020" s="4">
        <v>32.6</v>
      </c>
      <c r="O1020" s="4">
        <v>68.299000000000007</v>
      </c>
      <c r="P1020" s="4">
        <v>-166.93600000000001</v>
      </c>
      <c r="Q1020" s="4">
        <v>8.4700000000000006</v>
      </c>
      <c r="R1020" s="4">
        <v>31.19</v>
      </c>
      <c r="S1020" s="4">
        <v>278.69099999999997</v>
      </c>
      <c r="T1020" s="4"/>
      <c r="U1020" s="4"/>
      <c r="V1020" s="4"/>
      <c r="W1020" s="4">
        <v>0.77800000000000002</v>
      </c>
      <c r="X1020" s="4">
        <v>1</v>
      </c>
      <c r="Y1020" s="4">
        <v>0.96299999999999997</v>
      </c>
      <c r="Z1020" s="4"/>
      <c r="AA1020" s="4">
        <v>0.56999999999999995</v>
      </c>
      <c r="AB1020" s="4">
        <v>9.9600000000000009</v>
      </c>
      <c r="AC1020" s="4"/>
      <c r="AD1020" s="4"/>
      <c r="AE1020" s="4">
        <v>0.96</v>
      </c>
      <c r="AF1020" s="4">
        <v>1.1299999999999999</v>
      </c>
      <c r="AG1020" s="4"/>
      <c r="AH1020" s="4" t="s">
        <v>4374</v>
      </c>
      <c r="AI1020" s="4">
        <v>1</v>
      </c>
      <c r="AJ1020" s="4"/>
      <c r="AK1020" s="4"/>
      <c r="AL1020" s="4">
        <v>84.892799999999994</v>
      </c>
      <c r="AM1020" s="4"/>
      <c r="AN1020" s="4"/>
      <c r="AO1020" s="4"/>
      <c r="AP1020" s="4"/>
      <c r="AQ1020" s="4">
        <v>-1.8465192610000001</v>
      </c>
      <c r="AR1020" s="4"/>
      <c r="AS1020" s="4"/>
      <c r="AT1020" s="4"/>
    </row>
    <row r="1021" spans="1:46">
      <c r="A1021" s="4" t="s">
        <v>4375</v>
      </c>
      <c r="B1021" s="4"/>
      <c r="C1021" s="4" t="s">
        <v>4375</v>
      </c>
      <c r="D1021" s="4" t="s">
        <v>4375</v>
      </c>
      <c r="E1021" s="4" t="s">
        <v>4308</v>
      </c>
      <c r="F1021" s="4" t="s">
        <v>4370</v>
      </c>
      <c r="G1021" s="4" t="s">
        <v>456</v>
      </c>
      <c r="H1021" s="4" t="s">
        <v>4371</v>
      </c>
      <c r="I1021" s="4">
        <v>9</v>
      </c>
      <c r="J1021" s="4">
        <v>0.2</v>
      </c>
      <c r="K1021" s="4" t="s">
        <v>1688</v>
      </c>
      <c r="L1021" s="4" t="s">
        <v>52</v>
      </c>
      <c r="M1021" s="4">
        <v>5</v>
      </c>
      <c r="N1021" s="4">
        <v>32.6</v>
      </c>
      <c r="O1021" s="4">
        <v>68.299000000000007</v>
      </c>
      <c r="P1021" s="4">
        <v>-166.93600000000001</v>
      </c>
      <c r="Q1021" s="4">
        <v>10.31</v>
      </c>
      <c r="R1021" s="4">
        <v>30.07</v>
      </c>
      <c r="S1021" s="4">
        <v>267.52600000000001</v>
      </c>
      <c r="T1021" s="4"/>
      <c r="U1021" s="4"/>
      <c r="V1021" s="4"/>
      <c r="W1021" s="4">
        <v>1.198</v>
      </c>
      <c r="X1021" s="4">
        <v>4</v>
      </c>
      <c r="Y1021" s="4">
        <v>1.4239999999999999</v>
      </c>
      <c r="Z1021" s="4"/>
      <c r="AA1021" s="4">
        <v>0.55000000000000004</v>
      </c>
      <c r="AB1021" s="4">
        <v>8.19</v>
      </c>
      <c r="AC1021" s="4"/>
      <c r="AD1021" s="4"/>
      <c r="AE1021" s="4">
        <v>0.3</v>
      </c>
      <c r="AF1021" s="4">
        <v>0.59</v>
      </c>
      <c r="AG1021" s="4"/>
      <c r="AH1021" s="4" t="s">
        <v>4376</v>
      </c>
      <c r="AI1021" s="4">
        <v>4</v>
      </c>
      <c r="AJ1021" s="4"/>
      <c r="AK1021" s="4"/>
      <c r="AL1021" s="4">
        <v>86.043199999999999</v>
      </c>
      <c r="AM1021" s="4"/>
      <c r="AN1021" s="4"/>
      <c r="AO1021" s="4"/>
      <c r="AP1021" s="4"/>
      <c r="AQ1021" s="4">
        <v>-2.67653951</v>
      </c>
      <c r="AR1021" s="4"/>
      <c r="AS1021" s="4"/>
      <c r="AT1021" s="4"/>
    </row>
    <row r="1022" spans="1:46">
      <c r="A1022" s="4" t="s">
        <v>4377</v>
      </c>
      <c r="B1022" s="4"/>
      <c r="C1022" s="4" t="s">
        <v>4377</v>
      </c>
      <c r="D1022" s="4" t="s">
        <v>4377</v>
      </c>
      <c r="E1022" s="4" t="s">
        <v>4308</v>
      </c>
      <c r="F1022" s="4" t="s">
        <v>4378</v>
      </c>
      <c r="G1022" s="4" t="s">
        <v>456</v>
      </c>
      <c r="H1022" s="4" t="s">
        <v>4379</v>
      </c>
      <c r="I1022" s="4">
        <v>8</v>
      </c>
      <c r="J1022" s="4">
        <v>0.2</v>
      </c>
      <c r="K1022" s="4" t="s">
        <v>65</v>
      </c>
      <c r="L1022" s="4" t="s">
        <v>65</v>
      </c>
      <c r="M1022" s="4">
        <v>21</v>
      </c>
      <c r="N1022" s="4">
        <v>41</v>
      </c>
      <c r="O1022" s="4">
        <v>68.242999999999995</v>
      </c>
      <c r="P1022" s="4">
        <v>-167.124</v>
      </c>
      <c r="Q1022" s="4">
        <v>7.69</v>
      </c>
      <c r="R1022" s="4">
        <v>31.63</v>
      </c>
      <c r="S1022" s="4">
        <v>280.23700000000002</v>
      </c>
      <c r="T1022" s="4"/>
      <c r="U1022" s="4"/>
      <c r="V1022" s="4"/>
      <c r="W1022" s="4">
        <v>0.627</v>
      </c>
      <c r="X1022" s="4">
        <v>3</v>
      </c>
      <c r="Y1022" s="4">
        <v>0.76500000000000001</v>
      </c>
      <c r="Z1022" s="4"/>
      <c r="AA1022" s="4">
        <v>0.62</v>
      </c>
      <c r="AB1022" s="4">
        <v>11.03</v>
      </c>
      <c r="AC1022" s="4"/>
      <c r="AD1022" s="4"/>
      <c r="AE1022" s="4">
        <v>1.66</v>
      </c>
      <c r="AF1022" s="4">
        <v>0.61</v>
      </c>
      <c r="AG1022" s="4"/>
      <c r="AH1022" s="4" t="s">
        <v>4380</v>
      </c>
      <c r="AI1022" s="4">
        <v>3</v>
      </c>
      <c r="AJ1022" s="4"/>
      <c r="AK1022" s="4"/>
      <c r="AL1022" s="4">
        <v>80.913300000000007</v>
      </c>
      <c r="AM1022" s="4"/>
      <c r="AN1022" s="4"/>
      <c r="AO1022" s="4"/>
      <c r="AP1022" s="4"/>
      <c r="AQ1022" s="4">
        <v>-1.5631672430000001</v>
      </c>
      <c r="AR1022" s="4"/>
      <c r="AS1022" s="4"/>
      <c r="AT1022" s="4"/>
    </row>
    <row r="1023" spans="1:46">
      <c r="A1023" s="4" t="s">
        <v>4381</v>
      </c>
      <c r="B1023" s="4"/>
      <c r="C1023" s="4" t="s">
        <v>4381</v>
      </c>
      <c r="D1023" s="4" t="s">
        <v>4381</v>
      </c>
      <c r="E1023" s="4" t="s">
        <v>4308</v>
      </c>
      <c r="F1023" s="4" t="s">
        <v>4378</v>
      </c>
      <c r="G1023" s="4" t="s">
        <v>456</v>
      </c>
      <c r="H1023" s="4" t="s">
        <v>4379</v>
      </c>
      <c r="I1023" s="4">
        <v>8</v>
      </c>
      <c r="J1023" s="4">
        <v>0.2</v>
      </c>
      <c r="K1023" s="4" t="s">
        <v>1688</v>
      </c>
      <c r="L1023" s="4" t="s">
        <v>52</v>
      </c>
      <c r="M1023" s="4">
        <v>4</v>
      </c>
      <c r="N1023" s="4">
        <v>41</v>
      </c>
      <c r="O1023" s="4">
        <v>68.242999999999995</v>
      </c>
      <c r="P1023" s="4">
        <v>-167.124</v>
      </c>
      <c r="Q1023" s="4">
        <v>8.5</v>
      </c>
      <c r="R1023" s="4">
        <v>31.5</v>
      </c>
      <c r="S1023" s="4">
        <v>284.08600000000001</v>
      </c>
      <c r="T1023" s="4"/>
      <c r="U1023" s="4"/>
      <c r="V1023" s="4"/>
      <c r="W1023" s="4">
        <v>1.2070000000000001</v>
      </c>
      <c r="X1023" s="4">
        <v>5</v>
      </c>
      <c r="Y1023" s="4">
        <v>1.2</v>
      </c>
      <c r="Z1023" s="4"/>
      <c r="AA1023" s="4">
        <v>0.36</v>
      </c>
      <c r="AB1023" s="4">
        <v>10.68</v>
      </c>
      <c r="AC1023" s="4"/>
      <c r="AD1023" s="4"/>
      <c r="AE1023" s="4">
        <v>0.7</v>
      </c>
      <c r="AF1023" s="4">
        <v>0.81</v>
      </c>
      <c r="AG1023" s="4"/>
      <c r="AH1023" s="4" t="s">
        <v>4382</v>
      </c>
      <c r="AI1023" s="4">
        <v>5</v>
      </c>
      <c r="AJ1023" s="4"/>
      <c r="AK1023" s="4"/>
      <c r="AL1023" s="4">
        <v>89.798199999999994</v>
      </c>
      <c r="AM1023" s="4"/>
      <c r="AN1023" s="4"/>
      <c r="AO1023" s="4"/>
      <c r="AP1023" s="4"/>
      <c r="AQ1023" s="4">
        <v>-1.3231753100000001</v>
      </c>
      <c r="AR1023" s="4"/>
      <c r="AS1023" s="4"/>
      <c r="AT1023" s="4"/>
    </row>
    <row r="1024" spans="1:46">
      <c r="A1024" s="4" t="s">
        <v>4383</v>
      </c>
      <c r="B1024" s="4"/>
      <c r="C1024" s="4" t="s">
        <v>4383</v>
      </c>
      <c r="D1024" s="4" t="s">
        <v>4383</v>
      </c>
      <c r="E1024" s="4" t="s">
        <v>4308</v>
      </c>
      <c r="F1024" s="4" t="s">
        <v>4378</v>
      </c>
      <c r="G1024" s="4" t="s">
        <v>456</v>
      </c>
      <c r="H1024" s="4" t="s">
        <v>4379</v>
      </c>
      <c r="I1024" s="4">
        <v>8</v>
      </c>
      <c r="J1024" s="4">
        <v>0.2</v>
      </c>
      <c r="K1024" s="4" t="s">
        <v>150</v>
      </c>
      <c r="L1024" s="4" t="s">
        <v>78</v>
      </c>
      <c r="M1024" s="4">
        <v>36</v>
      </c>
      <c r="N1024" s="4">
        <v>41</v>
      </c>
      <c r="O1024" s="4">
        <v>68.242999999999995</v>
      </c>
      <c r="P1024" s="4">
        <v>-167.124</v>
      </c>
      <c r="Q1024" s="4">
        <v>7.64</v>
      </c>
      <c r="R1024" s="4">
        <v>31.72</v>
      </c>
      <c r="S1024" s="4">
        <v>283.07</v>
      </c>
      <c r="T1024" s="4"/>
      <c r="U1024" s="4"/>
      <c r="V1024" s="4"/>
      <c r="W1024" s="4">
        <v>0.7</v>
      </c>
      <c r="X1024" s="4">
        <v>1</v>
      </c>
      <c r="Y1024" s="4">
        <v>0.91200000000000003</v>
      </c>
      <c r="Z1024" s="4"/>
      <c r="AA1024" s="4">
        <v>0.61</v>
      </c>
      <c r="AB1024" s="4">
        <v>10.68</v>
      </c>
      <c r="AC1024" s="4"/>
      <c r="AD1024" s="4"/>
      <c r="AE1024" s="4">
        <v>1.45</v>
      </c>
      <c r="AF1024" s="4">
        <v>0.65</v>
      </c>
      <c r="AG1024" s="4"/>
      <c r="AH1024" s="4" t="s">
        <v>4384</v>
      </c>
      <c r="AI1024" s="4">
        <v>1</v>
      </c>
      <c r="AJ1024" s="4"/>
      <c r="AK1024" s="4"/>
      <c r="AL1024" s="4">
        <v>80.135400000000004</v>
      </c>
      <c r="AM1024" s="4"/>
      <c r="AN1024" s="4"/>
      <c r="AO1024" s="4"/>
      <c r="AP1024" s="4"/>
      <c r="AQ1024" s="4">
        <v>-1.416127854</v>
      </c>
      <c r="AR1024" s="4"/>
      <c r="AS1024" s="4"/>
      <c r="AT1024" s="4"/>
    </row>
    <row r="1025" spans="1:46">
      <c r="A1025" s="4" t="s">
        <v>4385</v>
      </c>
      <c r="B1025" s="4"/>
      <c r="C1025" s="4" t="s">
        <v>4385</v>
      </c>
      <c r="D1025" s="4" t="s">
        <v>4385</v>
      </c>
      <c r="E1025" s="4" t="s">
        <v>4308</v>
      </c>
      <c r="F1025" s="4" t="s">
        <v>4386</v>
      </c>
      <c r="G1025" s="4" t="s">
        <v>456</v>
      </c>
      <c r="H1025" s="4" t="s">
        <v>4387</v>
      </c>
      <c r="I1025" s="4">
        <v>7</v>
      </c>
      <c r="J1025" s="4">
        <v>0.2</v>
      </c>
      <c r="K1025" s="4" t="s">
        <v>150</v>
      </c>
      <c r="L1025" s="4" t="s">
        <v>78</v>
      </c>
      <c r="M1025" s="4">
        <v>41</v>
      </c>
      <c r="N1025" s="4">
        <v>45.6</v>
      </c>
      <c r="O1025" s="4">
        <v>68.186000000000007</v>
      </c>
      <c r="P1025" s="4">
        <v>-167.30699999999999</v>
      </c>
      <c r="Q1025" s="4">
        <v>7.37</v>
      </c>
      <c r="R1025" s="4">
        <v>31.9</v>
      </c>
      <c r="S1025" s="4">
        <v>284.68099999999998</v>
      </c>
      <c r="T1025" s="4"/>
      <c r="U1025" s="4"/>
      <c r="V1025" s="4"/>
      <c r="W1025" s="4">
        <v>1.1140000000000001</v>
      </c>
      <c r="X1025" s="4">
        <v>1</v>
      </c>
      <c r="Y1025" s="4">
        <v>1.101</v>
      </c>
      <c r="Z1025" s="4"/>
      <c r="AA1025" s="4">
        <v>0.59</v>
      </c>
      <c r="AB1025" s="4">
        <v>11.39</v>
      </c>
      <c r="AC1025" s="4"/>
      <c r="AD1025" s="4"/>
      <c r="AE1025" s="4">
        <v>2.2200000000000002</v>
      </c>
      <c r="AF1025" s="4">
        <v>0.56000000000000005</v>
      </c>
      <c r="AG1025" s="4"/>
      <c r="AH1025" s="4" t="s">
        <v>4388</v>
      </c>
      <c r="AI1025" s="4">
        <v>1</v>
      </c>
      <c r="AJ1025" s="4"/>
      <c r="AK1025" s="4"/>
      <c r="AL1025" s="4">
        <v>78.883099999999999</v>
      </c>
      <c r="AM1025" s="4"/>
      <c r="AN1025" s="4"/>
      <c r="AO1025" s="4"/>
      <c r="AP1025" s="4"/>
      <c r="AQ1025" s="4">
        <v>-0.446257022</v>
      </c>
      <c r="AR1025" s="4"/>
      <c r="AS1025" s="4"/>
      <c r="AT1025" s="4"/>
    </row>
    <row r="1026" spans="1:46">
      <c r="A1026" s="4" t="s">
        <v>4389</v>
      </c>
      <c r="B1026" s="4"/>
      <c r="C1026" s="4" t="s">
        <v>4389</v>
      </c>
      <c r="D1026" s="4" t="s">
        <v>4389</v>
      </c>
      <c r="E1026" s="4" t="s">
        <v>4308</v>
      </c>
      <c r="F1026" s="4" t="s">
        <v>4386</v>
      </c>
      <c r="G1026" s="4" t="s">
        <v>456</v>
      </c>
      <c r="H1026" s="4" t="s">
        <v>4387</v>
      </c>
      <c r="I1026" s="4">
        <v>7</v>
      </c>
      <c r="J1026" s="4">
        <v>0.2</v>
      </c>
      <c r="K1026" s="4" t="s">
        <v>1688</v>
      </c>
      <c r="L1026" s="4" t="s">
        <v>52</v>
      </c>
      <c r="M1026" s="4">
        <v>5</v>
      </c>
      <c r="N1026" s="4">
        <v>45.6</v>
      </c>
      <c r="O1026" s="4">
        <v>68.186000000000007</v>
      </c>
      <c r="P1026" s="4">
        <v>-167.30699999999999</v>
      </c>
      <c r="Q1026" s="4">
        <v>7.65</v>
      </c>
      <c r="R1026" s="4">
        <v>31.78</v>
      </c>
      <c r="S1026" s="4">
        <v>288.62</v>
      </c>
      <c r="T1026" s="4"/>
      <c r="U1026" s="4"/>
      <c r="V1026" s="4"/>
      <c r="W1026" s="4">
        <v>2.2330000000000001</v>
      </c>
      <c r="X1026" s="4">
        <v>5</v>
      </c>
      <c r="Y1026" s="4">
        <v>2.17</v>
      </c>
      <c r="Z1026" s="4"/>
      <c r="AA1026" s="4">
        <v>0.47</v>
      </c>
      <c r="AB1026" s="4">
        <v>12.46</v>
      </c>
      <c r="AC1026" s="4"/>
      <c r="AD1026" s="4"/>
      <c r="AE1026" s="4">
        <v>0.52</v>
      </c>
      <c r="AF1026" s="4">
        <v>0.24</v>
      </c>
      <c r="AG1026" s="4"/>
      <c r="AH1026" s="4" t="s">
        <v>4390</v>
      </c>
      <c r="AI1026" s="4">
        <v>5</v>
      </c>
      <c r="AJ1026" s="4"/>
      <c r="AK1026" s="4"/>
      <c r="AL1026" s="4">
        <v>86.027299999999997</v>
      </c>
      <c r="AM1026" s="4"/>
      <c r="AN1026" s="4"/>
      <c r="AO1026" s="4"/>
      <c r="AP1026" s="4"/>
      <c r="AQ1026" s="4">
        <v>-0.999926125</v>
      </c>
      <c r="AR1026" s="4"/>
      <c r="AS1026" s="4"/>
      <c r="AT1026" s="4"/>
    </row>
    <row r="1027" spans="1:46">
      <c r="A1027" s="4" t="s">
        <v>4391</v>
      </c>
      <c r="B1027" s="4"/>
      <c r="C1027" s="4" t="s">
        <v>4391</v>
      </c>
      <c r="D1027" s="4" t="s">
        <v>4391</v>
      </c>
      <c r="E1027" s="4" t="s">
        <v>4308</v>
      </c>
      <c r="F1027" s="4" t="s">
        <v>4392</v>
      </c>
      <c r="G1027" s="4" t="s">
        <v>456</v>
      </c>
      <c r="H1027" s="4" t="s">
        <v>4393</v>
      </c>
      <c r="I1027" s="4">
        <v>15</v>
      </c>
      <c r="J1027" s="4">
        <v>0.2</v>
      </c>
      <c r="K1027" s="4" t="s">
        <v>65</v>
      </c>
      <c r="L1027" s="4" t="s">
        <v>65</v>
      </c>
      <c r="M1027" s="4">
        <v>10</v>
      </c>
      <c r="N1027" s="4">
        <v>47.7</v>
      </c>
      <c r="O1027" s="4">
        <v>69.028999999999996</v>
      </c>
      <c r="P1027" s="4">
        <v>-167.934</v>
      </c>
      <c r="Q1027" s="4">
        <v>7.59</v>
      </c>
      <c r="R1027" s="4">
        <v>31.65</v>
      </c>
      <c r="S1027" s="4">
        <v>281.64100000000002</v>
      </c>
      <c r="T1027" s="4"/>
      <c r="U1027" s="4"/>
      <c r="V1027" s="4"/>
      <c r="W1027" s="4">
        <v>0.49299999999999999</v>
      </c>
      <c r="X1027" s="4">
        <v>4</v>
      </c>
      <c r="Y1027" s="4">
        <v>0.56399999999999995</v>
      </c>
      <c r="Z1027" s="4"/>
      <c r="AA1027" s="4">
        <v>0.67</v>
      </c>
      <c r="AB1027" s="4">
        <v>8.9</v>
      </c>
      <c r="AC1027" s="4"/>
      <c r="AD1027" s="4"/>
      <c r="AE1027" s="4">
        <v>1.0900000000000001</v>
      </c>
      <c r="AF1027" s="4">
        <v>0.7</v>
      </c>
      <c r="AG1027" s="4"/>
      <c r="AH1027" s="4" t="s">
        <v>4394</v>
      </c>
      <c r="AI1027" s="4">
        <v>4</v>
      </c>
      <c r="AJ1027" s="4"/>
      <c r="AK1027" s="4"/>
      <c r="AL1027" s="4">
        <v>95.941500000000005</v>
      </c>
      <c r="AM1027" s="4"/>
      <c r="AN1027" s="4"/>
      <c r="AO1027" s="4"/>
      <c r="AP1027" s="4"/>
      <c r="AQ1027" s="4"/>
      <c r="AR1027" s="4"/>
      <c r="AS1027" s="4"/>
      <c r="AT1027" s="4"/>
    </row>
    <row r="1028" spans="1:46">
      <c r="A1028" s="4" t="s">
        <v>4395</v>
      </c>
      <c r="B1028" s="4"/>
      <c r="C1028" s="4" t="s">
        <v>4395</v>
      </c>
      <c r="D1028" s="4" t="s">
        <v>4395</v>
      </c>
      <c r="E1028" s="4" t="s">
        <v>4308</v>
      </c>
      <c r="F1028" s="4" t="s">
        <v>4392</v>
      </c>
      <c r="G1028" s="4" t="s">
        <v>456</v>
      </c>
      <c r="H1028" s="4" t="s">
        <v>4393</v>
      </c>
      <c r="I1028" s="4">
        <v>15</v>
      </c>
      <c r="J1028" s="4">
        <v>0.2</v>
      </c>
      <c r="K1028" s="4" t="s">
        <v>150</v>
      </c>
      <c r="L1028" s="4" t="s">
        <v>78</v>
      </c>
      <c r="M1028" s="4">
        <v>42</v>
      </c>
      <c r="N1028" s="4">
        <v>47.7</v>
      </c>
      <c r="O1028" s="4">
        <v>69.028999999999996</v>
      </c>
      <c r="P1028" s="4">
        <v>-167.934</v>
      </c>
      <c r="Q1028" s="4">
        <v>6.62</v>
      </c>
      <c r="R1028" s="4">
        <v>31.96</v>
      </c>
      <c r="S1028" s="4">
        <v>289.32499999999999</v>
      </c>
      <c r="T1028" s="4"/>
      <c r="U1028" s="4"/>
      <c r="V1028" s="4"/>
      <c r="W1028" s="4">
        <v>0.30399999999999999</v>
      </c>
      <c r="X1028" s="4">
        <v>1</v>
      </c>
      <c r="Y1028" s="4">
        <v>0.46400000000000002</v>
      </c>
      <c r="Z1028" s="4"/>
      <c r="AA1028" s="4">
        <v>0.79</v>
      </c>
      <c r="AB1028" s="4">
        <v>8.5399999999999991</v>
      </c>
      <c r="AC1028" s="4"/>
      <c r="AD1028" s="4"/>
      <c r="AE1028" s="4">
        <v>2.02</v>
      </c>
      <c r="AF1028" s="4">
        <v>0.76</v>
      </c>
      <c r="AG1028" s="4"/>
      <c r="AH1028" s="4" t="s">
        <v>4396</v>
      </c>
      <c r="AI1028" s="4">
        <v>1</v>
      </c>
      <c r="AJ1028" s="4"/>
      <c r="AK1028" s="4"/>
      <c r="AL1028" s="4">
        <v>88.101900000000001</v>
      </c>
      <c r="AM1028" s="4"/>
      <c r="AN1028" s="4"/>
      <c r="AO1028" s="4"/>
      <c r="AP1028" s="4"/>
      <c r="AQ1028" s="4"/>
      <c r="AR1028" s="4"/>
      <c r="AS1028" s="4"/>
      <c r="AT1028" s="4"/>
    </row>
    <row r="1029" spans="1:46">
      <c r="A1029" s="4" t="s">
        <v>4397</v>
      </c>
      <c r="B1029" s="4"/>
      <c r="C1029" s="4" t="s">
        <v>4397</v>
      </c>
      <c r="D1029" s="4" t="s">
        <v>4397</v>
      </c>
      <c r="E1029" s="4" t="s">
        <v>4308</v>
      </c>
      <c r="F1029" s="4" t="s">
        <v>4392</v>
      </c>
      <c r="G1029" s="4" t="s">
        <v>456</v>
      </c>
      <c r="H1029" s="4" t="s">
        <v>4393</v>
      </c>
      <c r="I1029" s="4">
        <v>15</v>
      </c>
      <c r="J1029" s="4">
        <v>0.2</v>
      </c>
      <c r="K1029" s="4" t="s">
        <v>1688</v>
      </c>
      <c r="L1029" s="4" t="s">
        <v>52</v>
      </c>
      <c r="M1029" s="4">
        <v>6</v>
      </c>
      <c r="N1029" s="4">
        <v>47.7</v>
      </c>
      <c r="O1029" s="4">
        <v>69.028999999999996</v>
      </c>
      <c r="P1029" s="4">
        <v>-167.934</v>
      </c>
      <c r="Q1029" s="4">
        <v>8.66</v>
      </c>
      <c r="R1029" s="4">
        <v>31.15</v>
      </c>
      <c r="S1029" s="4">
        <v>279.589</v>
      </c>
      <c r="T1029" s="4"/>
      <c r="U1029" s="4"/>
      <c r="V1029" s="4"/>
      <c r="W1029" s="4">
        <v>0.71699999999999997</v>
      </c>
      <c r="X1029" s="4">
        <v>5</v>
      </c>
      <c r="Y1029" s="4">
        <v>0.67200000000000004</v>
      </c>
      <c r="Z1029" s="4"/>
      <c r="AA1029" s="4">
        <v>0.54</v>
      </c>
      <c r="AB1029" s="4">
        <v>8.01</v>
      </c>
      <c r="AC1029" s="4"/>
      <c r="AD1029" s="4"/>
      <c r="AE1029" s="4">
        <v>0.4</v>
      </c>
      <c r="AF1029" s="4">
        <v>0.16</v>
      </c>
      <c r="AG1029" s="4"/>
      <c r="AH1029" s="4" t="s">
        <v>4398</v>
      </c>
      <c r="AI1029" s="4">
        <v>5</v>
      </c>
      <c r="AJ1029" s="4"/>
      <c r="AK1029" s="4"/>
      <c r="AL1029" s="4">
        <v>95.071200000000005</v>
      </c>
      <c r="AM1029" s="4"/>
      <c r="AN1029" s="4"/>
      <c r="AO1029" s="4"/>
      <c r="AP1029" s="4"/>
      <c r="AQ1029" s="4">
        <v>-2.0148862740000002</v>
      </c>
      <c r="AR1029" s="4"/>
      <c r="AS1029" s="4"/>
      <c r="AT1029" s="4"/>
    </row>
    <row r="1030" spans="1:46">
      <c r="A1030" s="4" t="s">
        <v>4399</v>
      </c>
      <c r="B1030" s="4"/>
      <c r="C1030" s="4" t="s">
        <v>4399</v>
      </c>
      <c r="D1030" s="4" t="s">
        <v>4399</v>
      </c>
      <c r="E1030" s="4" t="s">
        <v>4308</v>
      </c>
      <c r="F1030" s="4" t="s">
        <v>4400</v>
      </c>
      <c r="G1030" s="4" t="s">
        <v>456</v>
      </c>
      <c r="H1030" s="4" t="s">
        <v>4401</v>
      </c>
      <c r="I1030" s="4">
        <v>14</v>
      </c>
      <c r="J1030" s="4">
        <v>0.2</v>
      </c>
      <c r="K1030" s="4" t="s">
        <v>65</v>
      </c>
      <c r="L1030" s="4" t="s">
        <v>65</v>
      </c>
      <c r="M1030" s="4">
        <v>20</v>
      </c>
      <c r="N1030" s="4">
        <v>48.4</v>
      </c>
      <c r="O1030" s="4">
        <v>69.03</v>
      </c>
      <c r="P1030" s="4">
        <v>-168.411</v>
      </c>
      <c r="Q1030" s="4">
        <v>7.58</v>
      </c>
      <c r="R1030" s="4">
        <v>31.72</v>
      </c>
      <c r="S1030" s="4">
        <v>279.27600000000001</v>
      </c>
      <c r="T1030" s="4"/>
      <c r="U1030" s="4"/>
      <c r="V1030" s="4"/>
      <c r="W1030" s="4">
        <v>0.309</v>
      </c>
      <c r="X1030" s="4">
        <v>3</v>
      </c>
      <c r="Y1030" s="4">
        <v>0.5</v>
      </c>
      <c r="Z1030" s="4"/>
      <c r="AA1030" s="4">
        <v>0.72</v>
      </c>
      <c r="AB1030" s="4">
        <v>8.9</v>
      </c>
      <c r="AC1030" s="4"/>
      <c r="AD1030" s="4"/>
      <c r="AE1030" s="4">
        <v>1.5</v>
      </c>
      <c r="AF1030" s="4">
        <v>0.33</v>
      </c>
      <c r="AG1030" s="4"/>
      <c r="AH1030" s="4" t="s">
        <v>4402</v>
      </c>
      <c r="AI1030" s="4">
        <v>3</v>
      </c>
      <c r="AJ1030" s="4"/>
      <c r="AK1030" s="4"/>
      <c r="AL1030" s="4">
        <v>88.796800000000005</v>
      </c>
      <c r="AM1030" s="4"/>
      <c r="AN1030" s="4"/>
      <c r="AO1030" s="4"/>
      <c r="AP1030" s="4"/>
      <c r="AQ1030" s="4"/>
      <c r="AR1030" s="4"/>
      <c r="AS1030" s="4"/>
      <c r="AT1030" s="4"/>
    </row>
    <row r="1031" spans="1:46">
      <c r="A1031" s="4" t="s">
        <v>4403</v>
      </c>
      <c r="B1031" s="4"/>
      <c r="C1031" s="4" t="s">
        <v>4403</v>
      </c>
      <c r="D1031" s="4" t="s">
        <v>4403</v>
      </c>
      <c r="E1031" s="4" t="s">
        <v>4308</v>
      </c>
      <c r="F1031" s="4" t="s">
        <v>4400</v>
      </c>
      <c r="G1031" s="4" t="s">
        <v>456</v>
      </c>
      <c r="H1031" s="4" t="s">
        <v>4401</v>
      </c>
      <c r="I1031" s="4">
        <v>14</v>
      </c>
      <c r="J1031" s="4">
        <v>0.2</v>
      </c>
      <c r="K1031" s="4" t="s">
        <v>150</v>
      </c>
      <c r="L1031" s="4" t="s">
        <v>78</v>
      </c>
      <c r="M1031" s="4">
        <v>43</v>
      </c>
      <c r="N1031" s="4">
        <v>48.4</v>
      </c>
      <c r="O1031" s="4">
        <v>69.03</v>
      </c>
      <c r="P1031" s="4">
        <v>-168.411</v>
      </c>
      <c r="Q1031" s="4">
        <v>6.99</v>
      </c>
      <c r="R1031" s="4">
        <v>31.82</v>
      </c>
      <c r="S1031" s="4">
        <v>275.51100000000002</v>
      </c>
      <c r="T1031" s="4"/>
      <c r="U1031" s="4"/>
      <c r="V1031" s="4"/>
      <c r="W1031" s="4">
        <v>0.35799999999999998</v>
      </c>
      <c r="X1031" s="4">
        <v>1</v>
      </c>
      <c r="Y1031" s="4">
        <v>0.50800000000000001</v>
      </c>
      <c r="Z1031" s="4"/>
      <c r="AA1031" s="4">
        <v>0.74</v>
      </c>
      <c r="AB1031" s="4">
        <v>9.25</v>
      </c>
      <c r="AC1031" s="4"/>
      <c r="AD1031" s="4"/>
      <c r="AE1031" s="4">
        <v>1.43</v>
      </c>
      <c r="AF1031" s="4">
        <v>0.49</v>
      </c>
      <c r="AG1031" s="4"/>
      <c r="AH1031" s="4" t="s">
        <v>4404</v>
      </c>
      <c r="AI1031" s="4">
        <v>1</v>
      </c>
      <c r="AJ1031" s="4"/>
      <c r="AK1031" s="4"/>
      <c r="AL1031" s="4">
        <v>79.609700000000004</v>
      </c>
      <c r="AM1031" s="4"/>
      <c r="AN1031" s="4"/>
      <c r="AO1031" s="4"/>
      <c r="AP1031" s="4"/>
      <c r="AQ1031" s="4">
        <v>-1.0276598669999999</v>
      </c>
      <c r="AR1031" s="4"/>
      <c r="AS1031" s="4"/>
      <c r="AT1031" s="4"/>
    </row>
    <row r="1032" spans="1:46">
      <c r="A1032" s="4" t="s">
        <v>4405</v>
      </c>
      <c r="B1032" s="4"/>
      <c r="C1032" s="4" t="s">
        <v>4405</v>
      </c>
      <c r="D1032" s="4" t="s">
        <v>4405</v>
      </c>
      <c r="E1032" s="4" t="s">
        <v>4308</v>
      </c>
      <c r="F1032" s="4" t="s">
        <v>4400</v>
      </c>
      <c r="G1032" s="4" t="s">
        <v>456</v>
      </c>
      <c r="H1032" s="4" t="s">
        <v>4401</v>
      </c>
      <c r="I1032" s="4">
        <v>14</v>
      </c>
      <c r="J1032" s="4">
        <v>0.2</v>
      </c>
      <c r="K1032" s="4" t="s">
        <v>1688</v>
      </c>
      <c r="L1032" s="4" t="s">
        <v>52</v>
      </c>
      <c r="M1032" s="4">
        <v>5</v>
      </c>
      <c r="N1032" s="4">
        <v>48.4</v>
      </c>
      <c r="O1032" s="4">
        <v>69.03</v>
      </c>
      <c r="P1032" s="4">
        <v>-168.411</v>
      </c>
      <c r="Q1032" s="4">
        <v>8.65</v>
      </c>
      <c r="R1032" s="4">
        <v>31.2</v>
      </c>
      <c r="S1032" s="4">
        <v>280.20600000000002</v>
      </c>
      <c r="T1032" s="4"/>
      <c r="U1032" s="4"/>
      <c r="V1032" s="4"/>
      <c r="W1032" s="4">
        <v>0.61099999999999999</v>
      </c>
      <c r="X1032" s="4">
        <v>5</v>
      </c>
      <c r="Y1032" s="4">
        <v>0.52</v>
      </c>
      <c r="Z1032" s="4"/>
      <c r="AA1032" s="4">
        <v>0.55000000000000004</v>
      </c>
      <c r="AB1032" s="4">
        <v>8.5399999999999991</v>
      </c>
      <c r="AC1032" s="4"/>
      <c r="AD1032" s="4"/>
      <c r="AE1032" s="4">
        <v>0.28000000000000003</v>
      </c>
      <c r="AF1032" s="4">
        <v>0.13</v>
      </c>
      <c r="AG1032" s="4"/>
      <c r="AH1032" s="4" t="s">
        <v>4406</v>
      </c>
      <c r="AI1032" s="4">
        <v>5</v>
      </c>
      <c r="AJ1032" s="4"/>
      <c r="AK1032" s="4"/>
      <c r="AL1032" s="4">
        <v>94.298199999999994</v>
      </c>
      <c r="AM1032" s="4"/>
      <c r="AN1032" s="4"/>
      <c r="AO1032" s="4"/>
      <c r="AP1032" s="4"/>
      <c r="AQ1032" s="4">
        <v>-1.52505289</v>
      </c>
      <c r="AR1032" s="4"/>
      <c r="AS1032" s="4"/>
      <c r="AT1032" s="4"/>
    </row>
    <row r="1033" spans="1:46">
      <c r="A1033" s="4" t="s">
        <v>4407</v>
      </c>
      <c r="B1033" s="4"/>
      <c r="C1033" s="4" t="s">
        <v>4407</v>
      </c>
      <c r="D1033" s="4" t="s">
        <v>4407</v>
      </c>
      <c r="E1033" s="4" t="s">
        <v>4308</v>
      </c>
      <c r="F1033" s="4" t="s">
        <v>4408</v>
      </c>
      <c r="G1033" s="4" t="s">
        <v>456</v>
      </c>
      <c r="H1033" s="4" t="s">
        <v>4409</v>
      </c>
      <c r="I1033" s="4">
        <v>13</v>
      </c>
      <c r="J1033" s="4">
        <v>0.2</v>
      </c>
      <c r="K1033" s="4" t="s">
        <v>65</v>
      </c>
      <c r="L1033" s="4" t="s">
        <v>65</v>
      </c>
      <c r="M1033" s="4">
        <v>21</v>
      </c>
      <c r="N1033" s="4">
        <v>50.6</v>
      </c>
      <c r="O1033" s="4">
        <v>69.034000000000006</v>
      </c>
      <c r="P1033" s="4">
        <v>-168.893</v>
      </c>
      <c r="Q1033" s="4">
        <v>5.77</v>
      </c>
      <c r="R1033" s="4">
        <v>32.06</v>
      </c>
      <c r="S1033" s="4">
        <v>289.29000000000002</v>
      </c>
      <c r="T1033" s="4"/>
      <c r="U1033" s="4"/>
      <c r="V1033" s="4"/>
      <c r="W1033" s="4">
        <v>0.76300000000000001</v>
      </c>
      <c r="X1033" s="4">
        <v>3</v>
      </c>
      <c r="Y1033" s="4">
        <v>1.048</v>
      </c>
      <c r="Z1033" s="4"/>
      <c r="AA1033" s="4">
        <v>0.79</v>
      </c>
      <c r="AB1033" s="4">
        <v>5.69</v>
      </c>
      <c r="AC1033" s="4"/>
      <c r="AD1033" s="4"/>
      <c r="AE1033" s="4">
        <v>1.91</v>
      </c>
      <c r="AF1033" s="4">
        <v>0.66</v>
      </c>
      <c r="AG1033" s="4"/>
      <c r="AH1033" s="4" t="s">
        <v>4410</v>
      </c>
      <c r="AI1033" s="4">
        <v>3</v>
      </c>
      <c r="AJ1033" s="4"/>
      <c r="AK1033" s="4"/>
      <c r="AL1033" s="4">
        <v>95.361900000000006</v>
      </c>
      <c r="AM1033" s="4"/>
      <c r="AN1033" s="4"/>
      <c r="AO1033" s="4"/>
      <c r="AP1033" s="4"/>
      <c r="AQ1033" s="4"/>
      <c r="AR1033" s="4"/>
      <c r="AS1033" s="4"/>
      <c r="AT1033" s="4"/>
    </row>
    <row r="1034" spans="1:46">
      <c r="A1034" s="4" t="s">
        <v>4411</v>
      </c>
      <c r="B1034" s="4"/>
      <c r="C1034" s="4" t="s">
        <v>4411</v>
      </c>
      <c r="D1034" s="4" t="s">
        <v>4411</v>
      </c>
      <c r="E1034" s="4" t="s">
        <v>4308</v>
      </c>
      <c r="F1034" s="4" t="s">
        <v>4408</v>
      </c>
      <c r="G1034" s="4" t="s">
        <v>456</v>
      </c>
      <c r="H1034" s="4" t="s">
        <v>4409</v>
      </c>
      <c r="I1034" s="4">
        <v>13</v>
      </c>
      <c r="J1034" s="4">
        <v>0.2</v>
      </c>
      <c r="K1034" s="4" t="s">
        <v>150</v>
      </c>
      <c r="L1034" s="4" t="s">
        <v>78</v>
      </c>
      <c r="M1034" s="4">
        <v>42</v>
      </c>
      <c r="N1034" s="4">
        <v>50.6</v>
      </c>
      <c r="O1034" s="4">
        <v>69.034000000000006</v>
      </c>
      <c r="P1034" s="4">
        <v>-168.893</v>
      </c>
      <c r="Q1034" s="4">
        <v>4.7300000000000004</v>
      </c>
      <c r="R1034" s="4">
        <v>32.14</v>
      </c>
      <c r="S1034" s="4">
        <v>255.535</v>
      </c>
      <c r="T1034" s="4"/>
      <c r="U1034" s="4"/>
      <c r="V1034" s="4"/>
      <c r="W1034" s="4">
        <v>0.46200000000000002</v>
      </c>
      <c r="X1034" s="4">
        <v>1</v>
      </c>
      <c r="Y1034" s="4">
        <v>0.70399999999999996</v>
      </c>
      <c r="Z1034" s="4"/>
      <c r="AA1034" s="4">
        <v>0.96</v>
      </c>
      <c r="AB1034" s="4">
        <v>9.25</v>
      </c>
      <c r="AC1034" s="4"/>
      <c r="AD1034" s="4"/>
      <c r="AE1034" s="4">
        <v>2.4300000000000002</v>
      </c>
      <c r="AF1034" s="4">
        <v>1.46</v>
      </c>
      <c r="AG1034" s="4"/>
      <c r="AH1034" s="4" t="s">
        <v>4412</v>
      </c>
      <c r="AI1034" s="4">
        <v>1</v>
      </c>
      <c r="AJ1034" s="4"/>
      <c r="AK1034" s="4"/>
      <c r="AL1034" s="4">
        <v>68.442599999999999</v>
      </c>
      <c r="AM1034" s="4"/>
      <c r="AN1034" s="4"/>
      <c r="AO1034" s="4"/>
      <c r="AP1034" s="4"/>
      <c r="AQ1034" s="4">
        <v>-1.0108226140000001</v>
      </c>
      <c r="AR1034" s="4"/>
      <c r="AS1034" s="4"/>
      <c r="AT1034" s="4"/>
    </row>
    <row r="1035" spans="1:46">
      <c r="A1035" s="4" t="s">
        <v>4413</v>
      </c>
      <c r="B1035" s="4"/>
      <c r="C1035" s="4" t="s">
        <v>4413</v>
      </c>
      <c r="D1035" s="4" t="s">
        <v>4413</v>
      </c>
      <c r="E1035" s="4" t="s">
        <v>4308</v>
      </c>
      <c r="F1035" s="4" t="s">
        <v>4408</v>
      </c>
      <c r="G1035" s="4" t="s">
        <v>456</v>
      </c>
      <c r="H1035" s="4" t="s">
        <v>4409</v>
      </c>
      <c r="I1035" s="4">
        <v>13</v>
      </c>
      <c r="J1035" s="4">
        <v>0.2</v>
      </c>
      <c r="K1035" s="4" t="s">
        <v>1688</v>
      </c>
      <c r="L1035" s="4" t="s">
        <v>52</v>
      </c>
      <c r="M1035" s="4">
        <v>5</v>
      </c>
      <c r="N1035" s="4">
        <v>50.6</v>
      </c>
      <c r="O1035" s="4">
        <v>69.034000000000006</v>
      </c>
      <c r="P1035" s="4">
        <v>-168.893</v>
      </c>
      <c r="Q1035" s="4">
        <v>7.9</v>
      </c>
      <c r="R1035" s="4">
        <v>31.77</v>
      </c>
      <c r="S1035" s="4">
        <v>291.05500000000001</v>
      </c>
      <c r="T1035" s="4"/>
      <c r="U1035" s="4"/>
      <c r="V1035" s="4"/>
      <c r="W1035" s="4">
        <v>0.70099999999999996</v>
      </c>
      <c r="X1035" s="4">
        <v>6</v>
      </c>
      <c r="Y1035" s="4">
        <v>0.60799999999999998</v>
      </c>
      <c r="Z1035" s="4"/>
      <c r="AA1035" s="4">
        <v>0.46</v>
      </c>
      <c r="AB1035" s="4">
        <v>6.41</v>
      </c>
      <c r="AC1035" s="4"/>
      <c r="AD1035" s="4"/>
      <c r="AE1035" s="4">
        <v>0.28000000000000003</v>
      </c>
      <c r="AF1035" s="4">
        <v>0.06</v>
      </c>
      <c r="AG1035" s="4"/>
      <c r="AH1035" s="4" t="s">
        <v>4414</v>
      </c>
      <c r="AI1035" s="4">
        <v>6</v>
      </c>
      <c r="AJ1035" s="4"/>
      <c r="AK1035" s="4"/>
      <c r="AL1035" s="4">
        <v>93.506600000000006</v>
      </c>
      <c r="AM1035" s="4"/>
      <c r="AN1035" s="4"/>
      <c r="AO1035" s="4"/>
      <c r="AP1035" s="4"/>
      <c r="AQ1035" s="4">
        <v>-1.030506205</v>
      </c>
      <c r="AR1035" s="4"/>
      <c r="AS1035" s="4"/>
      <c r="AT1035" s="4"/>
    </row>
    <row r="1036" spans="1:46">
      <c r="A1036" s="4" t="s">
        <v>4415</v>
      </c>
      <c r="B1036" s="4"/>
      <c r="C1036" s="4" t="s">
        <v>4415</v>
      </c>
      <c r="D1036" s="4" t="s">
        <v>4415</v>
      </c>
      <c r="E1036" s="4" t="s">
        <v>4308</v>
      </c>
      <c r="F1036" s="4" t="s">
        <v>4416</v>
      </c>
      <c r="G1036" s="4" t="s">
        <v>456</v>
      </c>
      <c r="H1036" s="4" t="s">
        <v>4417</v>
      </c>
      <c r="I1036" s="4">
        <v>17</v>
      </c>
      <c r="J1036" s="4">
        <v>0.2</v>
      </c>
      <c r="K1036" s="4" t="s">
        <v>150</v>
      </c>
      <c r="L1036" s="4" t="s">
        <v>78</v>
      </c>
      <c r="M1036" s="4">
        <v>30</v>
      </c>
      <c r="N1036" s="4">
        <v>29.5</v>
      </c>
      <c r="O1036" s="4">
        <v>70.087000000000003</v>
      </c>
      <c r="P1036" s="4">
        <v>-163.96</v>
      </c>
      <c r="Q1036" s="4">
        <v>5.88</v>
      </c>
      <c r="R1036" s="4">
        <v>31.03</v>
      </c>
      <c r="S1036" s="4">
        <v>234.62100000000001</v>
      </c>
      <c r="T1036" s="4"/>
      <c r="U1036" s="4"/>
      <c r="V1036" s="4"/>
      <c r="W1036" s="4">
        <v>1.008</v>
      </c>
      <c r="X1036" s="4">
        <v>1</v>
      </c>
      <c r="Y1036" s="4">
        <v>1.0880000000000001</v>
      </c>
      <c r="Z1036" s="4"/>
      <c r="AA1036" s="4">
        <v>0.9</v>
      </c>
      <c r="AB1036" s="4">
        <v>23.13</v>
      </c>
      <c r="AC1036" s="4"/>
      <c r="AD1036" s="4"/>
      <c r="AE1036" s="4">
        <v>1.86</v>
      </c>
      <c r="AF1036" s="4">
        <v>0.86</v>
      </c>
      <c r="AG1036" s="4"/>
      <c r="AH1036" s="4" t="s">
        <v>4418</v>
      </c>
      <c r="AI1036" s="4">
        <v>1</v>
      </c>
      <c r="AJ1036" s="4"/>
      <c r="AK1036" s="4"/>
      <c r="AL1036" s="4">
        <v>67.1036</v>
      </c>
      <c r="AM1036" s="4"/>
      <c r="AN1036" s="4"/>
      <c r="AO1036" s="4"/>
      <c r="AP1036" s="4"/>
      <c r="AQ1036" s="4">
        <v>-2.989291572</v>
      </c>
      <c r="AR1036" s="4"/>
      <c r="AS1036" s="4"/>
      <c r="AT1036" s="4"/>
    </row>
    <row r="1037" spans="1:46">
      <c r="A1037" s="4" t="s">
        <v>4419</v>
      </c>
      <c r="B1037" s="4"/>
      <c r="C1037" s="4" t="s">
        <v>4419</v>
      </c>
      <c r="D1037" s="4" t="s">
        <v>4419</v>
      </c>
      <c r="E1037" s="4" t="s">
        <v>4308</v>
      </c>
      <c r="F1037" s="4" t="s">
        <v>4420</v>
      </c>
      <c r="G1037" s="4" t="s">
        <v>456</v>
      </c>
      <c r="H1037" s="4" t="s">
        <v>4421</v>
      </c>
      <c r="I1037" s="4">
        <v>18</v>
      </c>
      <c r="J1037" s="4">
        <v>0.2</v>
      </c>
      <c r="K1037" s="4" t="s">
        <v>150</v>
      </c>
      <c r="L1037" s="4" t="s">
        <v>78</v>
      </c>
      <c r="M1037" s="4">
        <v>28</v>
      </c>
      <c r="N1037" s="4">
        <v>28.5</v>
      </c>
      <c r="O1037" s="4">
        <v>70.266999999999996</v>
      </c>
      <c r="P1037" s="4">
        <v>-163.40799999999999</v>
      </c>
      <c r="Q1037" s="4">
        <v>7.32</v>
      </c>
      <c r="R1037" s="4">
        <v>30.91</v>
      </c>
      <c r="S1037" s="4">
        <v>228.833</v>
      </c>
      <c r="T1037" s="4"/>
      <c r="U1037" s="4"/>
      <c r="V1037" s="4"/>
      <c r="W1037" s="4">
        <v>0.88900000000000001</v>
      </c>
      <c r="X1037" s="4">
        <v>1</v>
      </c>
      <c r="Y1037" s="4">
        <v>0.96399999999999997</v>
      </c>
      <c r="Z1037" s="4"/>
      <c r="AA1037" s="4">
        <v>0.77</v>
      </c>
      <c r="AB1037" s="4">
        <v>17.440000000000001</v>
      </c>
      <c r="AC1037" s="4"/>
      <c r="AD1037" s="4"/>
      <c r="AE1037" s="4">
        <v>1.83</v>
      </c>
      <c r="AF1037" s="4">
        <v>2.91</v>
      </c>
      <c r="AG1037" s="4"/>
      <c r="AH1037" s="4" t="s">
        <v>4422</v>
      </c>
      <c r="AI1037" s="4">
        <v>1</v>
      </c>
      <c r="AJ1037" s="4"/>
      <c r="AK1037" s="4"/>
      <c r="AL1037" s="4">
        <v>81.090900000000005</v>
      </c>
      <c r="AM1037" s="4"/>
      <c r="AN1037" s="4"/>
      <c r="AO1037" s="4"/>
      <c r="AP1037" s="4"/>
      <c r="AQ1037" s="4">
        <v>-2.2480831920000002</v>
      </c>
      <c r="AR1037" s="4"/>
      <c r="AS1037" s="4"/>
      <c r="AT1037" s="4"/>
    </row>
    <row r="1038" spans="1:46">
      <c r="A1038" s="4" t="s">
        <v>4423</v>
      </c>
      <c r="B1038" s="4"/>
      <c r="C1038" s="4" t="s">
        <v>4423</v>
      </c>
      <c r="D1038" s="4" t="s">
        <v>4423</v>
      </c>
      <c r="E1038" s="4" t="s">
        <v>4308</v>
      </c>
      <c r="F1038" s="4" t="s">
        <v>4420</v>
      </c>
      <c r="G1038" s="4" t="s">
        <v>456</v>
      </c>
      <c r="H1038" s="4" t="s">
        <v>4421</v>
      </c>
      <c r="I1038" s="4">
        <v>18</v>
      </c>
      <c r="J1038" s="4">
        <v>0.2</v>
      </c>
      <c r="K1038" s="4" t="s">
        <v>1688</v>
      </c>
      <c r="L1038" s="4" t="s">
        <v>52</v>
      </c>
      <c r="M1038" s="4">
        <v>6</v>
      </c>
      <c r="N1038" s="4">
        <v>28.5</v>
      </c>
      <c r="O1038" s="4">
        <v>70.266999999999996</v>
      </c>
      <c r="P1038" s="4">
        <v>-163.40799999999999</v>
      </c>
      <c r="Q1038" s="4">
        <v>9.1999999999999993</v>
      </c>
      <c r="R1038" s="4">
        <v>30.73</v>
      </c>
      <c r="S1038" s="4">
        <v>275.27999999999997</v>
      </c>
      <c r="T1038" s="4"/>
      <c r="U1038" s="4"/>
      <c r="V1038" s="4"/>
      <c r="W1038" s="4">
        <v>0.94499999999999995</v>
      </c>
      <c r="X1038" s="4">
        <v>4</v>
      </c>
      <c r="Y1038" s="4">
        <v>0.90400000000000003</v>
      </c>
      <c r="Z1038" s="4"/>
      <c r="AA1038" s="4">
        <v>0.48</v>
      </c>
      <c r="AB1038" s="4">
        <v>7.83</v>
      </c>
      <c r="AC1038" s="4"/>
      <c r="AD1038" s="4"/>
      <c r="AE1038" s="4">
        <v>0.46</v>
      </c>
      <c r="AF1038" s="4">
        <v>0.22</v>
      </c>
      <c r="AG1038" s="4"/>
      <c r="AH1038" s="4" t="s">
        <v>4424</v>
      </c>
      <c r="AI1038" s="4">
        <v>4</v>
      </c>
      <c r="AJ1038" s="4"/>
      <c r="AK1038" s="4"/>
      <c r="AL1038" s="4">
        <v>90.638800000000003</v>
      </c>
      <c r="AM1038" s="4"/>
      <c r="AN1038" s="4"/>
      <c r="AO1038" s="4"/>
      <c r="AP1038" s="4"/>
      <c r="AQ1038" s="4">
        <v>-2.1560766519999999</v>
      </c>
      <c r="AR1038" s="4"/>
      <c r="AS1038" s="4"/>
      <c r="AT1038" s="4"/>
    </row>
    <row r="1039" spans="1:46">
      <c r="A1039" s="4" t="s">
        <v>4425</v>
      </c>
      <c r="B1039" s="4"/>
      <c r="C1039" s="4" t="s">
        <v>4425</v>
      </c>
      <c r="D1039" s="4" t="s">
        <v>4425</v>
      </c>
      <c r="E1039" s="4" t="s">
        <v>4308</v>
      </c>
      <c r="F1039" s="4" t="s">
        <v>4426</v>
      </c>
      <c r="G1039" s="4" t="s">
        <v>456</v>
      </c>
      <c r="H1039" s="4" t="s">
        <v>4427</v>
      </c>
      <c r="I1039" s="4">
        <v>19</v>
      </c>
      <c r="J1039" s="4">
        <v>0.2</v>
      </c>
      <c r="K1039" s="4" t="s">
        <v>150</v>
      </c>
      <c r="L1039" s="4" t="s">
        <v>78</v>
      </c>
      <c r="M1039" s="4">
        <v>29</v>
      </c>
      <c r="N1039" s="4">
        <v>30</v>
      </c>
      <c r="O1039" s="4">
        <v>70.388999999999996</v>
      </c>
      <c r="P1039" s="4">
        <v>-163.02199999999999</v>
      </c>
      <c r="Q1039" s="4">
        <v>7.82</v>
      </c>
      <c r="R1039" s="4">
        <v>30.92</v>
      </c>
      <c r="S1039" s="4">
        <v>246.482</v>
      </c>
      <c r="T1039" s="4"/>
      <c r="U1039" s="4"/>
      <c r="V1039" s="4"/>
      <c r="W1039" s="4">
        <v>0.78800000000000003</v>
      </c>
      <c r="X1039" s="4">
        <v>1</v>
      </c>
      <c r="Y1039" s="4">
        <v>0.82</v>
      </c>
      <c r="Z1039" s="4"/>
      <c r="AA1039" s="4">
        <v>0.71</v>
      </c>
      <c r="AB1039" s="4">
        <v>13.52</v>
      </c>
      <c r="AC1039" s="4"/>
      <c r="AD1039" s="4"/>
      <c r="AE1039" s="4">
        <v>1.63</v>
      </c>
      <c r="AF1039" s="4">
        <v>1.49</v>
      </c>
      <c r="AG1039" s="4"/>
      <c r="AH1039" s="4" t="s">
        <v>4428</v>
      </c>
      <c r="AI1039" s="4">
        <v>1</v>
      </c>
      <c r="AJ1039" s="4"/>
      <c r="AK1039" s="4"/>
      <c r="AL1039" s="4">
        <v>85.386899999999997</v>
      </c>
      <c r="AM1039" s="4"/>
      <c r="AN1039" s="4"/>
      <c r="AO1039" s="4"/>
      <c r="AP1039" s="4"/>
      <c r="AQ1039" s="4">
        <v>-1.936935045</v>
      </c>
      <c r="AR1039" s="4"/>
      <c r="AS1039" s="4"/>
      <c r="AT1039" s="4"/>
    </row>
    <row r="1040" spans="1:46">
      <c r="A1040" s="4" t="s">
        <v>4429</v>
      </c>
      <c r="B1040" s="4"/>
      <c r="C1040" s="4" t="s">
        <v>4429</v>
      </c>
      <c r="D1040" s="4" t="s">
        <v>4429</v>
      </c>
      <c r="E1040" s="4" t="s">
        <v>4308</v>
      </c>
      <c r="F1040" s="4" t="s">
        <v>4426</v>
      </c>
      <c r="G1040" s="4" t="s">
        <v>456</v>
      </c>
      <c r="H1040" s="4" t="s">
        <v>4427</v>
      </c>
      <c r="I1040" s="4">
        <v>19</v>
      </c>
      <c r="J1040" s="4">
        <v>0.2</v>
      </c>
      <c r="K1040" s="4" t="s">
        <v>1688</v>
      </c>
      <c r="L1040" s="4" t="s">
        <v>52</v>
      </c>
      <c r="M1040" s="4">
        <v>5</v>
      </c>
      <c r="N1040" s="4">
        <v>30</v>
      </c>
      <c r="O1040" s="4">
        <v>70.388999999999996</v>
      </c>
      <c r="P1040" s="4">
        <v>-163.02199999999999</v>
      </c>
      <c r="Q1040" s="4">
        <v>9.07</v>
      </c>
      <c r="R1040" s="4">
        <v>30.77</v>
      </c>
      <c r="S1040" s="4">
        <v>273.65499999999997</v>
      </c>
      <c r="T1040" s="4"/>
      <c r="U1040" s="4"/>
      <c r="V1040" s="4"/>
      <c r="W1040" s="4">
        <v>0.98</v>
      </c>
      <c r="X1040" s="4">
        <v>4</v>
      </c>
      <c r="Y1040" s="4">
        <v>0.84399999999999997</v>
      </c>
      <c r="Z1040" s="4"/>
      <c r="AA1040" s="4">
        <v>0.52</v>
      </c>
      <c r="AB1040" s="4">
        <v>8.19</v>
      </c>
      <c r="AC1040" s="4"/>
      <c r="AD1040" s="4"/>
      <c r="AE1040" s="4">
        <v>0.15</v>
      </c>
      <c r="AF1040" s="4">
        <v>0.27</v>
      </c>
      <c r="AG1040" s="4"/>
      <c r="AH1040" s="4" t="s">
        <v>4430</v>
      </c>
      <c r="AI1040" s="4">
        <v>4</v>
      </c>
      <c r="AJ1040" s="4"/>
      <c r="AK1040" s="4"/>
      <c r="AL1040" s="4">
        <v>91.400300000000001</v>
      </c>
      <c r="AM1040" s="4"/>
      <c r="AN1040" s="4"/>
      <c r="AO1040" s="4"/>
      <c r="AP1040" s="4"/>
      <c r="AQ1040" s="4">
        <v>-1.9135302460000001</v>
      </c>
      <c r="AR1040" s="4"/>
      <c r="AS1040" s="4"/>
      <c r="AT1040" s="4"/>
    </row>
    <row r="1041" spans="1:46">
      <c r="A1041" s="4" t="s">
        <v>4431</v>
      </c>
      <c r="B1041" s="4"/>
      <c r="C1041" s="4" t="s">
        <v>4431</v>
      </c>
      <c r="D1041" s="4" t="s">
        <v>4431</v>
      </c>
      <c r="E1041" s="4" t="s">
        <v>4308</v>
      </c>
      <c r="F1041" s="4" t="s">
        <v>4432</v>
      </c>
      <c r="G1041" s="4" t="s">
        <v>456</v>
      </c>
      <c r="H1041" s="4" t="s">
        <v>4433</v>
      </c>
      <c r="I1041" s="4">
        <v>21</v>
      </c>
      <c r="J1041" s="4">
        <v>0.2</v>
      </c>
      <c r="K1041" s="4" t="s">
        <v>150</v>
      </c>
      <c r="L1041" s="4" t="s">
        <v>78</v>
      </c>
      <c r="M1041" s="4">
        <v>32</v>
      </c>
      <c r="N1041" s="4">
        <v>37.4</v>
      </c>
      <c r="O1041" s="4">
        <v>70.626999999999995</v>
      </c>
      <c r="P1041" s="4">
        <v>-162.249</v>
      </c>
      <c r="Q1041" s="4">
        <v>5.47</v>
      </c>
      <c r="R1041" s="4">
        <v>31.28</v>
      </c>
      <c r="S1041" s="4">
        <v>244.833</v>
      </c>
      <c r="T1041" s="4"/>
      <c r="U1041" s="4"/>
      <c r="V1041" s="4"/>
      <c r="W1041" s="4">
        <v>0.76</v>
      </c>
      <c r="X1041" s="4">
        <v>1</v>
      </c>
      <c r="Y1041" s="4">
        <v>0.876</v>
      </c>
      <c r="Z1041" s="4"/>
      <c r="AA1041" s="4">
        <v>1</v>
      </c>
      <c r="AB1041" s="4">
        <v>18.510000000000002</v>
      </c>
      <c r="AC1041" s="4"/>
      <c r="AD1041" s="4"/>
      <c r="AE1041" s="4">
        <v>2.72</v>
      </c>
      <c r="AF1041" s="4">
        <v>1.71</v>
      </c>
      <c r="AG1041" s="4"/>
      <c r="AH1041" s="4" t="s">
        <v>4434</v>
      </c>
      <c r="AI1041" s="4">
        <v>1</v>
      </c>
      <c r="AJ1041" s="4"/>
      <c r="AK1041" s="4"/>
      <c r="AL1041" s="4">
        <v>78.290800000000004</v>
      </c>
      <c r="AM1041" s="4"/>
      <c r="AN1041" s="4"/>
      <c r="AO1041" s="4"/>
      <c r="AP1041" s="4"/>
      <c r="AQ1041" s="4">
        <v>-1.512133266</v>
      </c>
      <c r="AR1041" s="4"/>
      <c r="AS1041" s="4"/>
      <c r="AT1041" s="4"/>
    </row>
    <row r="1042" spans="1:46">
      <c r="A1042" s="4" t="s">
        <v>4435</v>
      </c>
      <c r="B1042" s="4"/>
      <c r="C1042" s="4" t="s">
        <v>4435</v>
      </c>
      <c r="D1042" s="4" t="s">
        <v>4435</v>
      </c>
      <c r="E1042" s="4" t="s">
        <v>4308</v>
      </c>
      <c r="F1042" s="4" t="s">
        <v>4432</v>
      </c>
      <c r="G1042" s="4" t="s">
        <v>456</v>
      </c>
      <c r="H1042" s="4" t="s">
        <v>4433</v>
      </c>
      <c r="I1042" s="4">
        <v>21</v>
      </c>
      <c r="J1042" s="4">
        <v>0.2</v>
      </c>
      <c r="K1042" s="4" t="s">
        <v>1688</v>
      </c>
      <c r="L1042" s="4" t="s">
        <v>52</v>
      </c>
      <c r="M1042" s="4">
        <v>4</v>
      </c>
      <c r="N1042" s="4">
        <v>37.4</v>
      </c>
      <c r="O1042" s="4">
        <v>70.626999999999995</v>
      </c>
      <c r="P1042" s="4">
        <v>-162.249</v>
      </c>
      <c r="Q1042" s="4">
        <v>8.61</v>
      </c>
      <c r="R1042" s="4">
        <v>31.02</v>
      </c>
      <c r="S1042" s="4">
        <v>275.12200000000001</v>
      </c>
      <c r="T1042" s="4"/>
      <c r="U1042" s="4"/>
      <c r="V1042" s="4"/>
      <c r="W1042" s="4">
        <v>0.88400000000000001</v>
      </c>
      <c r="X1042" s="4">
        <v>4</v>
      </c>
      <c r="Y1042" s="4">
        <v>0.66800000000000004</v>
      </c>
      <c r="Z1042" s="4"/>
      <c r="AA1042" s="4">
        <v>0.47</v>
      </c>
      <c r="AB1042" s="4">
        <v>7.83</v>
      </c>
      <c r="AC1042" s="4"/>
      <c r="AD1042" s="4"/>
      <c r="AE1042" s="4">
        <v>0.26</v>
      </c>
      <c r="AF1042" s="4">
        <v>0.27</v>
      </c>
      <c r="AG1042" s="4"/>
      <c r="AH1042" s="4" t="s">
        <v>4436</v>
      </c>
      <c r="AI1042" s="4">
        <v>4</v>
      </c>
      <c r="AJ1042" s="4"/>
      <c r="AK1042" s="4"/>
      <c r="AL1042" s="4">
        <v>90.480400000000003</v>
      </c>
      <c r="AM1042" s="4"/>
      <c r="AN1042" s="4"/>
      <c r="AO1042" s="4"/>
      <c r="AP1042" s="4"/>
      <c r="AQ1042" s="4">
        <v>-1.696410854</v>
      </c>
      <c r="AR1042" s="4"/>
      <c r="AS1042" s="4"/>
      <c r="AT1042" s="4"/>
    </row>
    <row r="1043" spans="1:46">
      <c r="A1043" s="4" t="s">
        <v>4437</v>
      </c>
      <c r="B1043" s="4"/>
      <c r="C1043" s="4" t="s">
        <v>4437</v>
      </c>
      <c r="D1043" s="4" t="s">
        <v>4437</v>
      </c>
      <c r="E1043" s="4" t="s">
        <v>4308</v>
      </c>
      <c r="F1043" s="4" t="s">
        <v>4438</v>
      </c>
      <c r="G1043" s="4" t="s">
        <v>456</v>
      </c>
      <c r="H1043" s="4" t="s">
        <v>4439</v>
      </c>
      <c r="I1043" s="4">
        <v>22</v>
      </c>
      <c r="J1043" s="4">
        <v>0.2</v>
      </c>
      <c r="K1043" s="4" t="s">
        <v>65</v>
      </c>
      <c r="L1043" s="4" t="s">
        <v>65</v>
      </c>
      <c r="M1043" s="4">
        <v>23</v>
      </c>
      <c r="N1043" s="4">
        <v>39.4</v>
      </c>
      <c r="O1043" s="4">
        <v>70.725999999999999</v>
      </c>
      <c r="P1043" s="4">
        <v>-161.94</v>
      </c>
      <c r="Q1043" s="4">
        <v>5.17</v>
      </c>
      <c r="R1043" s="4">
        <v>31.44</v>
      </c>
      <c r="S1043" s="4">
        <v>253.929</v>
      </c>
      <c r="T1043" s="4"/>
      <c r="U1043" s="4"/>
      <c r="V1043" s="4"/>
      <c r="W1043" s="4">
        <v>0.6</v>
      </c>
      <c r="X1043" s="4">
        <v>3</v>
      </c>
      <c r="Y1043" s="4">
        <v>0.68</v>
      </c>
      <c r="Z1043" s="4"/>
      <c r="AA1043" s="4">
        <v>1.08</v>
      </c>
      <c r="AB1043" s="4">
        <v>17.440000000000001</v>
      </c>
      <c r="AC1043" s="4"/>
      <c r="AD1043" s="4"/>
      <c r="AE1043" s="4">
        <v>2.92</v>
      </c>
      <c r="AF1043" s="4">
        <v>2.63</v>
      </c>
      <c r="AG1043" s="4"/>
      <c r="AH1043" s="4" t="s">
        <v>4440</v>
      </c>
      <c r="AI1043" s="4">
        <v>3</v>
      </c>
      <c r="AJ1043" s="4"/>
      <c r="AK1043" s="4"/>
      <c r="AL1043" s="4">
        <v>71.541799999999995</v>
      </c>
      <c r="AM1043" s="4"/>
      <c r="AN1043" s="4"/>
      <c r="AO1043" s="4"/>
      <c r="AP1043" s="4"/>
      <c r="AQ1043" s="4"/>
      <c r="AR1043" s="4"/>
      <c r="AS1043" s="4"/>
      <c r="AT1043" s="4"/>
    </row>
    <row r="1044" spans="1:46">
      <c r="A1044" s="4" t="s">
        <v>4441</v>
      </c>
      <c r="B1044" s="4"/>
      <c r="C1044" s="4" t="s">
        <v>4441</v>
      </c>
      <c r="D1044" s="4" t="s">
        <v>4441</v>
      </c>
      <c r="E1044" s="4" t="s">
        <v>4308</v>
      </c>
      <c r="F1044" s="4" t="s">
        <v>4438</v>
      </c>
      <c r="G1044" s="4" t="s">
        <v>456</v>
      </c>
      <c r="H1044" s="4" t="s">
        <v>4439</v>
      </c>
      <c r="I1044" s="4">
        <v>22</v>
      </c>
      <c r="J1044" s="4">
        <v>0.2</v>
      </c>
      <c r="K1044" s="4" t="s">
        <v>150</v>
      </c>
      <c r="L1044" s="4" t="s">
        <v>78</v>
      </c>
      <c r="M1044" s="4">
        <v>35</v>
      </c>
      <c r="N1044" s="4">
        <v>39.4</v>
      </c>
      <c r="O1044" s="4">
        <v>70.725999999999999</v>
      </c>
      <c r="P1044" s="4">
        <v>-161.94</v>
      </c>
      <c r="Q1044" s="4">
        <v>5.24</v>
      </c>
      <c r="R1044" s="4">
        <v>31.45</v>
      </c>
      <c r="S1044" s="4">
        <v>255.34800000000001</v>
      </c>
      <c r="T1044" s="4"/>
      <c r="U1044" s="4"/>
      <c r="V1044" s="4"/>
      <c r="W1044" s="4">
        <v>0.57099999999999995</v>
      </c>
      <c r="X1044" s="4">
        <v>1</v>
      </c>
      <c r="Y1044" s="4">
        <v>0.70799999999999996</v>
      </c>
      <c r="Z1044" s="4"/>
      <c r="AA1044" s="4">
        <v>1.04</v>
      </c>
      <c r="AB1044" s="4">
        <v>16.73</v>
      </c>
      <c r="AC1044" s="4"/>
      <c r="AD1044" s="4"/>
      <c r="AE1044" s="4">
        <v>2.67</v>
      </c>
      <c r="AF1044" s="4">
        <v>2.81</v>
      </c>
      <c r="AG1044" s="4"/>
      <c r="AH1044" s="4" t="s">
        <v>4442</v>
      </c>
      <c r="AI1044" s="4">
        <v>1</v>
      </c>
      <c r="AJ1044" s="4"/>
      <c r="AK1044" s="4"/>
      <c r="AL1044" s="4">
        <v>70.233900000000006</v>
      </c>
      <c r="AM1044" s="4"/>
      <c r="AN1044" s="4"/>
      <c r="AO1044" s="4"/>
      <c r="AP1044" s="4"/>
      <c r="AQ1044" s="4">
        <v>-1.4264152189999999</v>
      </c>
      <c r="AR1044" s="4"/>
      <c r="AS1044" s="4"/>
      <c r="AT1044" s="4"/>
    </row>
    <row r="1045" spans="1:46">
      <c r="A1045" s="4" t="s">
        <v>4443</v>
      </c>
      <c r="B1045" s="4"/>
      <c r="C1045" s="4" t="s">
        <v>4443</v>
      </c>
      <c r="D1045" s="4" t="s">
        <v>4443</v>
      </c>
      <c r="E1045" s="4" t="s">
        <v>4308</v>
      </c>
      <c r="F1045" s="4" t="s">
        <v>4438</v>
      </c>
      <c r="G1045" s="4" t="s">
        <v>456</v>
      </c>
      <c r="H1045" s="4" t="s">
        <v>4439</v>
      </c>
      <c r="I1045" s="4">
        <v>22</v>
      </c>
      <c r="J1045" s="4">
        <v>0.2</v>
      </c>
      <c r="K1045" s="4" t="s">
        <v>1688</v>
      </c>
      <c r="L1045" s="4" t="s">
        <v>52</v>
      </c>
      <c r="M1045" s="4">
        <v>5</v>
      </c>
      <c r="N1045" s="4">
        <v>39.4</v>
      </c>
      <c r="O1045" s="4">
        <v>70.725999999999999</v>
      </c>
      <c r="P1045" s="4">
        <v>-161.94</v>
      </c>
      <c r="Q1045" s="4">
        <v>8.6199999999999992</v>
      </c>
      <c r="R1045" s="4">
        <v>31.02</v>
      </c>
      <c r="S1045" s="4">
        <v>278.63299999999998</v>
      </c>
      <c r="T1045" s="4"/>
      <c r="U1045" s="4"/>
      <c r="V1045" s="4"/>
      <c r="W1045" s="4">
        <v>0.85</v>
      </c>
      <c r="X1045" s="4">
        <v>5</v>
      </c>
      <c r="Y1045" s="4">
        <v>0.88400000000000001</v>
      </c>
      <c r="Z1045" s="4"/>
      <c r="AA1045" s="4">
        <v>0.48</v>
      </c>
      <c r="AB1045" s="4">
        <v>7.12</v>
      </c>
      <c r="AC1045" s="4"/>
      <c r="AD1045" s="4"/>
      <c r="AE1045" s="4">
        <v>0.36</v>
      </c>
      <c r="AF1045" s="4">
        <v>0.76</v>
      </c>
      <c r="AG1045" s="4"/>
      <c r="AH1045" s="4" t="s">
        <v>4444</v>
      </c>
      <c r="AI1045" s="4">
        <v>5</v>
      </c>
      <c r="AJ1045" s="4"/>
      <c r="AK1045" s="4"/>
      <c r="AL1045" s="4">
        <v>91.285600000000002</v>
      </c>
      <c r="AM1045" s="4"/>
      <c r="AN1045" s="4"/>
      <c r="AO1045" s="4"/>
      <c r="AP1045" s="4"/>
      <c r="AQ1045" s="4">
        <v>-1.5045478249999999</v>
      </c>
      <c r="AR1045" s="4"/>
      <c r="AS1045" s="4"/>
      <c r="AT1045" s="4"/>
    </row>
    <row r="1046" spans="1:46">
      <c r="A1046" s="4" t="s">
        <v>4445</v>
      </c>
      <c r="B1046" s="4"/>
      <c r="C1046" s="4" t="s">
        <v>4445</v>
      </c>
      <c r="D1046" s="4" t="s">
        <v>4445</v>
      </c>
      <c r="E1046" s="4" t="s">
        <v>4308</v>
      </c>
      <c r="F1046" s="4" t="s">
        <v>4446</v>
      </c>
      <c r="G1046" s="4" t="s">
        <v>456</v>
      </c>
      <c r="H1046" s="4" t="s">
        <v>4447</v>
      </c>
      <c r="I1046" s="4">
        <v>23</v>
      </c>
      <c r="J1046" s="4">
        <v>0.2</v>
      </c>
      <c r="K1046" s="4" t="s">
        <v>1688</v>
      </c>
      <c r="L1046" s="4" t="s">
        <v>52</v>
      </c>
      <c r="M1046" s="4">
        <v>3</v>
      </c>
      <c r="N1046" s="4">
        <v>42.8</v>
      </c>
      <c r="O1046" s="4">
        <v>70.843999999999994</v>
      </c>
      <c r="P1046" s="4">
        <v>-161.53800000000001</v>
      </c>
      <c r="Q1046" s="4">
        <v>8.73</v>
      </c>
      <c r="R1046" s="4">
        <v>30.74</v>
      </c>
      <c r="S1046" s="4">
        <v>279.13499999999999</v>
      </c>
      <c r="T1046" s="4"/>
      <c r="U1046" s="4"/>
      <c r="V1046" s="4"/>
      <c r="W1046" s="4">
        <v>0.81200000000000006</v>
      </c>
      <c r="X1046" s="4">
        <v>5</v>
      </c>
      <c r="Y1046" s="4">
        <v>0.78800000000000003</v>
      </c>
      <c r="Z1046" s="4"/>
      <c r="AA1046" s="4">
        <v>0.42</v>
      </c>
      <c r="AB1046" s="4">
        <v>6.41</v>
      </c>
      <c r="AC1046" s="4"/>
      <c r="AD1046" s="4"/>
      <c r="AE1046" s="4">
        <v>0.23</v>
      </c>
      <c r="AF1046" s="4">
        <v>0.18</v>
      </c>
      <c r="AG1046" s="4"/>
      <c r="AH1046" s="4" t="s">
        <v>4448</v>
      </c>
      <c r="AI1046" s="4">
        <v>5</v>
      </c>
      <c r="AJ1046" s="4"/>
      <c r="AK1046" s="4"/>
      <c r="AL1046" s="4">
        <v>91.362799999999993</v>
      </c>
      <c r="AM1046" s="4"/>
      <c r="AN1046" s="4"/>
      <c r="AO1046" s="4"/>
      <c r="AP1046" s="4"/>
      <c r="AQ1046" s="4">
        <v>-1.7781953930000001</v>
      </c>
      <c r="AR1046" s="4"/>
      <c r="AS1046" s="4"/>
      <c r="AT1046" s="4"/>
    </row>
    <row r="1047" spans="1:46">
      <c r="A1047" s="4" t="s">
        <v>4449</v>
      </c>
      <c r="B1047" s="4"/>
      <c r="C1047" s="4" t="s">
        <v>4449</v>
      </c>
      <c r="D1047" s="4" t="s">
        <v>4449</v>
      </c>
      <c r="E1047" s="4" t="s">
        <v>4308</v>
      </c>
      <c r="F1047" s="4" t="s">
        <v>4446</v>
      </c>
      <c r="G1047" s="4" t="s">
        <v>456</v>
      </c>
      <c r="H1047" s="4" t="s">
        <v>4447</v>
      </c>
      <c r="I1047" s="4">
        <v>23</v>
      </c>
      <c r="J1047" s="4">
        <v>0.2</v>
      </c>
      <c r="K1047" s="4" t="s">
        <v>65</v>
      </c>
      <c r="L1047" s="4" t="s">
        <v>65</v>
      </c>
      <c r="M1047" s="4">
        <v>22</v>
      </c>
      <c r="N1047" s="4">
        <v>42.8</v>
      </c>
      <c r="O1047" s="4">
        <v>70.843999999999994</v>
      </c>
      <c r="P1047" s="4">
        <v>-161.53800000000001</v>
      </c>
      <c r="Q1047" s="4">
        <v>5.01</v>
      </c>
      <c r="R1047" s="4">
        <v>31.62</v>
      </c>
      <c r="S1047" s="4">
        <v>271.303</v>
      </c>
      <c r="T1047" s="4"/>
      <c r="U1047" s="4"/>
      <c r="V1047" s="4"/>
      <c r="W1047" s="4">
        <v>0.78500000000000003</v>
      </c>
      <c r="X1047" s="4">
        <v>3</v>
      </c>
      <c r="Y1047" s="4">
        <v>1.3759999999999999</v>
      </c>
      <c r="Z1047" s="4"/>
      <c r="AA1047" s="4">
        <v>0.56000000000000005</v>
      </c>
      <c r="AB1047" s="4">
        <v>7.83</v>
      </c>
      <c r="AC1047" s="4"/>
      <c r="AD1047" s="4"/>
      <c r="AE1047" s="4">
        <v>1.36</v>
      </c>
      <c r="AF1047" s="4">
        <v>0.33</v>
      </c>
      <c r="AG1047" s="4"/>
      <c r="AH1047" s="4" t="s">
        <v>4450</v>
      </c>
      <c r="AI1047" s="4">
        <v>3</v>
      </c>
      <c r="AJ1047" s="4"/>
      <c r="AK1047" s="4"/>
      <c r="AL1047" s="4">
        <v>74.850700000000003</v>
      </c>
      <c r="AM1047" s="4"/>
      <c r="AN1047" s="4"/>
      <c r="AO1047" s="4"/>
      <c r="AP1047" s="4"/>
      <c r="AQ1047" s="4"/>
      <c r="AR1047" s="4"/>
      <c r="AS1047" s="4"/>
      <c r="AT1047" s="4"/>
    </row>
    <row r="1048" spans="1:46">
      <c r="A1048" s="4" t="s">
        <v>4451</v>
      </c>
      <c r="B1048" s="4"/>
      <c r="C1048" s="4" t="s">
        <v>4451</v>
      </c>
      <c r="D1048" s="4" t="s">
        <v>4451</v>
      </c>
      <c r="E1048" s="4" t="s">
        <v>4308</v>
      </c>
      <c r="F1048" s="4" t="s">
        <v>4446</v>
      </c>
      <c r="G1048" s="4" t="s">
        <v>456</v>
      </c>
      <c r="H1048" s="4" t="s">
        <v>4447</v>
      </c>
      <c r="I1048" s="4">
        <v>23</v>
      </c>
      <c r="J1048" s="4">
        <v>0.2</v>
      </c>
      <c r="K1048" s="4" t="s">
        <v>150</v>
      </c>
      <c r="L1048" s="4" t="s">
        <v>78</v>
      </c>
      <c r="M1048" s="4">
        <v>40</v>
      </c>
      <c r="N1048" s="4">
        <v>42.8</v>
      </c>
      <c r="O1048" s="4">
        <v>70.843999999999994</v>
      </c>
      <c r="P1048" s="4">
        <v>-161.53800000000001</v>
      </c>
      <c r="Q1048" s="4">
        <v>4.93</v>
      </c>
      <c r="R1048" s="4">
        <v>31.67</v>
      </c>
      <c r="S1048" s="4">
        <v>273.32900000000001</v>
      </c>
      <c r="T1048" s="4"/>
      <c r="U1048" s="4"/>
      <c r="V1048" s="4"/>
      <c r="W1048" s="4">
        <v>0.80900000000000005</v>
      </c>
      <c r="X1048" s="4">
        <v>1</v>
      </c>
      <c r="Y1048" s="4">
        <v>0.76800000000000002</v>
      </c>
      <c r="Z1048" s="4"/>
      <c r="AA1048" s="4">
        <v>0.95</v>
      </c>
      <c r="AB1048" s="4">
        <v>13.52</v>
      </c>
      <c r="AC1048" s="4"/>
      <c r="AD1048" s="4"/>
      <c r="AE1048" s="4">
        <v>1.58</v>
      </c>
      <c r="AF1048" s="4">
        <v>1.5</v>
      </c>
      <c r="AG1048" s="4"/>
      <c r="AH1048" s="4" t="s">
        <v>4452</v>
      </c>
      <c r="AI1048" s="4">
        <v>1</v>
      </c>
      <c r="AJ1048" s="4"/>
      <c r="AK1048" s="4"/>
      <c r="AL1048" s="4">
        <v>73.044600000000003</v>
      </c>
      <c r="AM1048" s="4"/>
      <c r="AN1048" s="4"/>
      <c r="AO1048" s="4"/>
      <c r="AP1048" s="4"/>
      <c r="AQ1048" s="4">
        <v>-1.7386555340000001</v>
      </c>
      <c r="AR1048" s="4"/>
      <c r="AS1048" s="4"/>
      <c r="AT1048" s="4"/>
    </row>
    <row r="1049" spans="1:46">
      <c r="A1049" s="4" t="s">
        <v>4453</v>
      </c>
      <c r="B1049" s="4"/>
      <c r="C1049" s="4" t="s">
        <v>4453</v>
      </c>
      <c r="D1049" s="4" t="s">
        <v>4453</v>
      </c>
      <c r="E1049" s="4" t="s">
        <v>4308</v>
      </c>
      <c r="F1049" s="4" t="s">
        <v>4454</v>
      </c>
      <c r="G1049" s="4" t="s">
        <v>456</v>
      </c>
      <c r="H1049" s="4" t="s">
        <v>4455</v>
      </c>
      <c r="I1049" s="4">
        <v>24</v>
      </c>
      <c r="J1049" s="4">
        <v>0.2</v>
      </c>
      <c r="K1049" s="4" t="s">
        <v>65</v>
      </c>
      <c r="L1049" s="4" t="s">
        <v>65</v>
      </c>
      <c r="M1049" s="4">
        <v>21</v>
      </c>
      <c r="N1049" s="4">
        <v>41.8</v>
      </c>
      <c r="O1049" s="4">
        <v>70.959999999999994</v>
      </c>
      <c r="P1049" s="4">
        <v>-161.13800000000001</v>
      </c>
      <c r="Q1049" s="4">
        <v>4.6399999999999997</v>
      </c>
      <c r="R1049" s="4">
        <v>31.28</v>
      </c>
      <c r="S1049" s="4">
        <v>326.30700000000002</v>
      </c>
      <c r="T1049" s="4"/>
      <c r="U1049" s="4"/>
      <c r="V1049" s="4"/>
      <c r="W1049" s="4">
        <v>1.694</v>
      </c>
      <c r="X1049" s="4">
        <v>3</v>
      </c>
      <c r="Y1049" s="4">
        <v>1.6879999999999999</v>
      </c>
      <c r="Z1049" s="4"/>
      <c r="AA1049" s="4">
        <v>0.51</v>
      </c>
      <c r="AB1049" s="4">
        <v>6.41</v>
      </c>
      <c r="AC1049" s="4"/>
      <c r="AD1049" s="4"/>
      <c r="AE1049" s="4">
        <v>1.79</v>
      </c>
      <c r="AF1049" s="4">
        <v>0.12</v>
      </c>
      <c r="AG1049" s="4"/>
      <c r="AH1049" s="4" t="s">
        <v>4456</v>
      </c>
      <c r="AI1049" s="4">
        <v>3</v>
      </c>
      <c r="AJ1049" s="4"/>
      <c r="AK1049" s="4"/>
      <c r="AL1049" s="4">
        <v>91.212199999999996</v>
      </c>
      <c r="AM1049" s="4"/>
      <c r="AN1049" s="4"/>
      <c r="AO1049" s="4"/>
      <c r="AP1049" s="4"/>
      <c r="AQ1049" s="4"/>
      <c r="AR1049" s="4"/>
      <c r="AS1049" s="4"/>
      <c r="AT1049" s="4"/>
    </row>
    <row r="1050" spans="1:46">
      <c r="A1050" s="4" t="s">
        <v>4457</v>
      </c>
      <c r="B1050" s="4"/>
      <c r="C1050" s="4" t="s">
        <v>4457</v>
      </c>
      <c r="D1050" s="4" t="s">
        <v>4457</v>
      </c>
      <c r="E1050" s="4" t="s">
        <v>4308</v>
      </c>
      <c r="F1050" s="4" t="s">
        <v>4454</v>
      </c>
      <c r="G1050" s="4" t="s">
        <v>456</v>
      </c>
      <c r="H1050" s="4" t="s">
        <v>4455</v>
      </c>
      <c r="I1050" s="4">
        <v>24</v>
      </c>
      <c r="J1050" s="4">
        <v>0.2</v>
      </c>
      <c r="K1050" s="4" t="s">
        <v>150</v>
      </c>
      <c r="L1050" s="4" t="s">
        <v>78</v>
      </c>
      <c r="M1050" s="4">
        <v>36</v>
      </c>
      <c r="N1050" s="4">
        <v>41.8</v>
      </c>
      <c r="O1050" s="4">
        <v>70.959999999999994</v>
      </c>
      <c r="P1050" s="4">
        <v>-161.13800000000001</v>
      </c>
      <c r="Q1050" s="4">
        <v>2.72</v>
      </c>
      <c r="R1050" s="4">
        <v>31.57</v>
      </c>
      <c r="S1050" s="4">
        <v>300.65199999999999</v>
      </c>
      <c r="T1050" s="4"/>
      <c r="U1050" s="4"/>
      <c r="V1050" s="4"/>
      <c r="W1050" s="4">
        <v>0.84399999999999997</v>
      </c>
      <c r="X1050" s="4">
        <v>1</v>
      </c>
      <c r="Y1050" s="4">
        <v>0.92800000000000005</v>
      </c>
      <c r="Z1050" s="4"/>
      <c r="AA1050" s="4">
        <v>0.95</v>
      </c>
      <c r="AB1050" s="4">
        <v>14.23</v>
      </c>
      <c r="AC1050" s="4"/>
      <c r="AD1050" s="4"/>
      <c r="AE1050" s="4">
        <v>3.23</v>
      </c>
      <c r="AF1050" s="4">
        <v>1.27</v>
      </c>
      <c r="AG1050" s="4"/>
      <c r="AH1050" s="4" t="s">
        <v>4458</v>
      </c>
      <c r="AI1050" s="4">
        <v>1</v>
      </c>
      <c r="AJ1050" s="4"/>
      <c r="AK1050" s="4"/>
      <c r="AL1050" s="4">
        <v>72.447000000000003</v>
      </c>
      <c r="AM1050" s="4"/>
      <c r="AN1050" s="4"/>
      <c r="AO1050" s="4"/>
      <c r="AP1050" s="4"/>
      <c r="AQ1050" s="4">
        <v>-1.28003924</v>
      </c>
      <c r="AR1050" s="4"/>
      <c r="AS1050" s="4"/>
      <c r="AT1050" s="4"/>
    </row>
    <row r="1051" spans="1:46">
      <c r="A1051" s="4" t="s">
        <v>4459</v>
      </c>
      <c r="B1051" s="4"/>
      <c r="C1051" s="4" t="s">
        <v>4459</v>
      </c>
      <c r="D1051" s="4" t="s">
        <v>4459</v>
      </c>
      <c r="E1051" s="4" t="s">
        <v>4308</v>
      </c>
      <c r="F1051" s="4" t="s">
        <v>4454</v>
      </c>
      <c r="G1051" s="4" t="s">
        <v>456</v>
      </c>
      <c r="H1051" s="4" t="s">
        <v>4455</v>
      </c>
      <c r="I1051" s="4">
        <v>24</v>
      </c>
      <c r="J1051" s="4">
        <v>0.2</v>
      </c>
      <c r="K1051" s="4" t="s">
        <v>1688</v>
      </c>
      <c r="L1051" s="4" t="s">
        <v>52</v>
      </c>
      <c r="M1051" s="4">
        <v>5</v>
      </c>
      <c r="N1051" s="4">
        <v>41.8</v>
      </c>
      <c r="O1051" s="4">
        <v>70.959999999999994</v>
      </c>
      <c r="P1051" s="4">
        <v>-161.13800000000001</v>
      </c>
      <c r="Q1051" s="4">
        <v>8.66</v>
      </c>
      <c r="R1051" s="4">
        <v>30.41</v>
      </c>
      <c r="S1051" s="4">
        <v>280.12700000000001</v>
      </c>
      <c r="T1051" s="4"/>
      <c r="U1051" s="4"/>
      <c r="V1051" s="4"/>
      <c r="W1051" s="4">
        <v>0.74199999999999999</v>
      </c>
      <c r="X1051" s="4">
        <v>5</v>
      </c>
      <c r="Y1051" s="4">
        <v>0.77200000000000002</v>
      </c>
      <c r="Z1051" s="4"/>
      <c r="AA1051" s="4">
        <v>0.45</v>
      </c>
      <c r="AB1051" s="4">
        <v>6.23</v>
      </c>
      <c r="AC1051" s="4"/>
      <c r="AD1051" s="4"/>
      <c r="AE1051" s="4">
        <v>0.24</v>
      </c>
      <c r="AF1051" s="4">
        <v>0.11</v>
      </c>
      <c r="AG1051" s="4"/>
      <c r="AH1051" s="4" t="s">
        <v>4460</v>
      </c>
      <c r="AI1051" s="4">
        <v>5</v>
      </c>
      <c r="AJ1051" s="4"/>
      <c r="AK1051" s="4"/>
      <c r="AL1051" s="4">
        <v>91.834199999999996</v>
      </c>
      <c r="AM1051" s="4"/>
      <c r="AN1051" s="4"/>
      <c r="AO1051" s="4"/>
      <c r="AP1051" s="4"/>
      <c r="AQ1051" s="4">
        <v>-1.9013542910000001</v>
      </c>
      <c r="AR1051" s="4"/>
      <c r="AS1051" s="4"/>
      <c r="AT1051" s="4"/>
    </row>
    <row r="1052" spans="1:46">
      <c r="A1052" s="4" t="s">
        <v>4461</v>
      </c>
      <c r="B1052" s="4"/>
      <c r="C1052" s="4" t="s">
        <v>4461</v>
      </c>
      <c r="D1052" s="4" t="s">
        <v>4461</v>
      </c>
      <c r="E1052" s="4" t="s">
        <v>4308</v>
      </c>
      <c r="F1052" s="4" t="s">
        <v>4462</v>
      </c>
      <c r="G1052" s="4" t="s">
        <v>456</v>
      </c>
      <c r="H1052" s="4" t="s">
        <v>4463</v>
      </c>
      <c r="I1052" s="4">
        <v>25</v>
      </c>
      <c r="J1052" s="4">
        <v>0.2</v>
      </c>
      <c r="K1052" s="4" t="s">
        <v>65</v>
      </c>
      <c r="L1052" s="4" t="s">
        <v>65</v>
      </c>
      <c r="M1052" s="4">
        <v>22</v>
      </c>
      <c r="N1052" s="4">
        <v>52.2</v>
      </c>
      <c r="O1052" s="4">
        <v>71.075000000000003</v>
      </c>
      <c r="P1052" s="4">
        <v>-160.73500000000001</v>
      </c>
      <c r="Q1052" s="4">
        <v>1.37</v>
      </c>
      <c r="R1052" s="4">
        <v>32.14</v>
      </c>
      <c r="S1052" s="4">
        <v>320.13799999999998</v>
      </c>
      <c r="T1052" s="4"/>
      <c r="U1052" s="4"/>
      <c r="V1052" s="4"/>
      <c r="W1052" s="4">
        <v>0.93400000000000005</v>
      </c>
      <c r="X1052" s="4">
        <v>4</v>
      </c>
      <c r="Y1052" s="4">
        <v>1.292</v>
      </c>
      <c r="Z1052" s="4"/>
      <c r="AA1052" s="4">
        <v>0.65</v>
      </c>
      <c r="AB1052" s="4">
        <v>8.5399999999999991</v>
      </c>
      <c r="AC1052" s="4"/>
      <c r="AD1052" s="4"/>
      <c r="AE1052" s="4">
        <v>0.72</v>
      </c>
      <c r="AF1052" s="4">
        <v>0.39</v>
      </c>
      <c r="AG1052" s="4"/>
      <c r="AH1052" s="4" t="s">
        <v>4464</v>
      </c>
      <c r="AI1052" s="4">
        <v>4</v>
      </c>
      <c r="AJ1052" s="4"/>
      <c r="AK1052" s="4"/>
      <c r="AL1052" s="4">
        <v>86.6678</v>
      </c>
      <c r="AM1052" s="4"/>
      <c r="AN1052" s="4"/>
      <c r="AO1052" s="4"/>
      <c r="AP1052" s="4"/>
      <c r="AQ1052" s="4"/>
      <c r="AR1052" s="4"/>
      <c r="AS1052" s="4"/>
      <c r="AT1052" s="4"/>
    </row>
    <row r="1053" spans="1:46">
      <c r="A1053" s="4" t="s">
        <v>4465</v>
      </c>
      <c r="B1053" s="4"/>
      <c r="C1053" s="4" t="s">
        <v>4465</v>
      </c>
      <c r="D1053" s="4" t="s">
        <v>4465</v>
      </c>
      <c r="E1053" s="4" t="s">
        <v>4308</v>
      </c>
      <c r="F1053" s="4" t="s">
        <v>4462</v>
      </c>
      <c r="G1053" s="4" t="s">
        <v>456</v>
      </c>
      <c r="H1053" s="4" t="s">
        <v>4463</v>
      </c>
      <c r="I1053" s="4">
        <v>25</v>
      </c>
      <c r="J1053" s="4">
        <v>0.2</v>
      </c>
      <c r="K1053" s="4" t="s">
        <v>150</v>
      </c>
      <c r="L1053" s="4" t="s">
        <v>78</v>
      </c>
      <c r="M1053" s="4">
        <v>47</v>
      </c>
      <c r="N1053" s="4">
        <v>52.2</v>
      </c>
      <c r="O1053" s="4">
        <v>71.075000000000003</v>
      </c>
      <c r="P1053" s="4">
        <v>-160.73500000000001</v>
      </c>
      <c r="Q1053" s="4">
        <v>1.26</v>
      </c>
      <c r="R1053" s="4">
        <v>32.15</v>
      </c>
      <c r="S1053" s="4">
        <v>313.608</v>
      </c>
      <c r="T1053" s="4"/>
      <c r="U1053" s="4"/>
      <c r="V1053" s="4"/>
      <c r="W1053" s="4">
        <v>0.54400000000000004</v>
      </c>
      <c r="X1053" s="4">
        <v>1</v>
      </c>
      <c r="Y1053" s="4">
        <v>0.70399999999999996</v>
      </c>
      <c r="Z1053" s="4"/>
      <c r="AA1053" s="4">
        <v>0.98</v>
      </c>
      <c r="AB1053" s="4">
        <v>11.03</v>
      </c>
      <c r="AC1053" s="4"/>
      <c r="AD1053" s="4"/>
      <c r="AE1053" s="4">
        <v>1.83</v>
      </c>
      <c r="AF1053" s="4">
        <v>1.44</v>
      </c>
      <c r="AG1053" s="4"/>
      <c r="AH1053" s="4" t="s">
        <v>4466</v>
      </c>
      <c r="AI1053" s="4">
        <v>1</v>
      </c>
      <c r="AJ1053" s="4"/>
      <c r="AK1053" s="4"/>
      <c r="AL1053" s="4">
        <v>82.498599999999996</v>
      </c>
      <c r="AM1053" s="4"/>
      <c r="AN1053" s="4"/>
      <c r="AO1053" s="4"/>
      <c r="AP1053" s="4"/>
      <c r="AQ1053" s="4">
        <v>-0.85916243599999997</v>
      </c>
      <c r="AR1053" s="4"/>
      <c r="AS1053" s="4"/>
      <c r="AT1053" s="4"/>
    </row>
    <row r="1054" spans="1:46">
      <c r="A1054" s="4" t="s">
        <v>4467</v>
      </c>
      <c r="B1054" s="4"/>
      <c r="C1054" s="4" t="s">
        <v>4467</v>
      </c>
      <c r="D1054" s="4" t="s">
        <v>4467</v>
      </c>
      <c r="E1054" s="4" t="s">
        <v>4308</v>
      </c>
      <c r="F1054" s="4" t="s">
        <v>4462</v>
      </c>
      <c r="G1054" s="4" t="s">
        <v>456</v>
      </c>
      <c r="H1054" s="4" t="s">
        <v>4463</v>
      </c>
      <c r="I1054" s="4">
        <v>25</v>
      </c>
      <c r="J1054" s="4">
        <v>0.2</v>
      </c>
      <c r="K1054" s="4" t="s">
        <v>1688</v>
      </c>
      <c r="L1054" s="4" t="s">
        <v>52</v>
      </c>
      <c r="M1054" s="4">
        <v>6</v>
      </c>
      <c r="N1054" s="4">
        <v>52.2</v>
      </c>
      <c r="O1054" s="4">
        <v>71.075000000000003</v>
      </c>
      <c r="P1054" s="4">
        <v>-160.73500000000001</v>
      </c>
      <c r="Q1054" s="4">
        <v>8.07</v>
      </c>
      <c r="R1054" s="4">
        <v>30.5</v>
      </c>
      <c r="S1054" s="4">
        <v>283.59300000000002</v>
      </c>
      <c r="T1054" s="4"/>
      <c r="U1054" s="4"/>
      <c r="V1054" s="4"/>
      <c r="W1054" s="4">
        <v>0.48499999999999999</v>
      </c>
      <c r="X1054" s="4">
        <v>6</v>
      </c>
      <c r="Y1054" s="4">
        <v>0.52800000000000002</v>
      </c>
      <c r="Z1054" s="4"/>
      <c r="AA1054" s="4">
        <v>0.46</v>
      </c>
      <c r="AB1054" s="4">
        <v>5.69</v>
      </c>
      <c r="AC1054" s="4"/>
      <c r="AD1054" s="4"/>
      <c r="AE1054" s="4">
        <v>0.3</v>
      </c>
      <c r="AF1054" s="4">
        <v>0.21</v>
      </c>
      <c r="AG1054" s="4"/>
      <c r="AH1054" s="4" t="s">
        <v>4468</v>
      </c>
      <c r="AI1054" s="4">
        <v>6</v>
      </c>
      <c r="AJ1054" s="4"/>
      <c r="AK1054" s="4"/>
      <c r="AL1054" s="4">
        <v>93.090199999999996</v>
      </c>
      <c r="AM1054" s="4"/>
      <c r="AN1054" s="4"/>
      <c r="AO1054" s="4"/>
      <c r="AP1054" s="4"/>
      <c r="AQ1054" s="4">
        <v>-1.8651250619999999</v>
      </c>
      <c r="AR1054" s="4"/>
      <c r="AS1054" s="4"/>
      <c r="AT1054" s="4"/>
    </row>
    <row r="1055" spans="1:46">
      <c r="A1055" s="4" t="s">
        <v>4469</v>
      </c>
      <c r="B1055" s="4"/>
      <c r="C1055" s="4" t="s">
        <v>4469</v>
      </c>
      <c r="D1055" s="4" t="s">
        <v>4469</v>
      </c>
      <c r="E1055" s="4" t="s">
        <v>4308</v>
      </c>
      <c r="F1055" s="4" t="s">
        <v>4470</v>
      </c>
      <c r="G1055" s="4" t="s">
        <v>456</v>
      </c>
      <c r="H1055" s="4" t="s">
        <v>4471</v>
      </c>
      <c r="I1055" s="4">
        <v>26</v>
      </c>
      <c r="J1055" s="4">
        <v>0.2</v>
      </c>
      <c r="K1055" s="4" t="s">
        <v>150</v>
      </c>
      <c r="L1055" s="4" t="s">
        <v>78</v>
      </c>
      <c r="M1055" s="4">
        <v>23</v>
      </c>
      <c r="N1055" s="4">
        <v>25.9</v>
      </c>
      <c r="O1055" s="4">
        <v>70.891999999999996</v>
      </c>
      <c r="P1055" s="4">
        <v>-159.393</v>
      </c>
      <c r="Q1055" s="4">
        <v>3.93</v>
      </c>
      <c r="R1055" s="4">
        <v>31.41</v>
      </c>
      <c r="S1055" s="4">
        <v>288.67700000000002</v>
      </c>
      <c r="T1055" s="4"/>
      <c r="U1055" s="4"/>
      <c r="V1055" s="4"/>
      <c r="W1055" s="4">
        <v>0.495</v>
      </c>
      <c r="X1055" s="4">
        <v>1</v>
      </c>
      <c r="Y1055" s="4">
        <v>0.748</v>
      </c>
      <c r="Z1055" s="4"/>
      <c r="AA1055" s="4">
        <v>0.91</v>
      </c>
      <c r="AB1055" s="4">
        <v>13.52</v>
      </c>
      <c r="AC1055" s="4"/>
      <c r="AD1055" s="4"/>
      <c r="AE1055" s="4">
        <v>1.85</v>
      </c>
      <c r="AF1055" s="4">
        <v>0.84</v>
      </c>
      <c r="AG1055" s="4"/>
      <c r="AH1055" s="4" t="s">
        <v>4472</v>
      </c>
      <c r="AI1055" s="4">
        <v>1</v>
      </c>
      <c r="AJ1055" s="4"/>
      <c r="AK1055" s="4"/>
      <c r="AL1055" s="4">
        <v>80.232699999999994</v>
      </c>
      <c r="AM1055" s="4"/>
      <c r="AN1055" s="4"/>
      <c r="AO1055" s="4"/>
      <c r="AP1055" s="4"/>
      <c r="AQ1055" s="4">
        <v>-1.571298002</v>
      </c>
      <c r="AR1055" s="4"/>
      <c r="AS1055" s="4"/>
      <c r="AT1055" s="4"/>
    </row>
    <row r="1056" spans="1:46">
      <c r="A1056" s="4" t="s">
        <v>4473</v>
      </c>
      <c r="B1056" s="4"/>
      <c r="C1056" s="4" t="s">
        <v>4473</v>
      </c>
      <c r="D1056" s="4" t="s">
        <v>4473</v>
      </c>
      <c r="E1056" s="4" t="s">
        <v>4308</v>
      </c>
      <c r="F1056" s="4" t="s">
        <v>4470</v>
      </c>
      <c r="G1056" s="4" t="s">
        <v>456</v>
      </c>
      <c r="H1056" s="4" t="s">
        <v>4471</v>
      </c>
      <c r="I1056" s="4">
        <v>26</v>
      </c>
      <c r="J1056" s="4">
        <v>0.2</v>
      </c>
      <c r="K1056" s="4" t="s">
        <v>1688</v>
      </c>
      <c r="L1056" s="4" t="s">
        <v>52</v>
      </c>
      <c r="M1056" s="4">
        <v>4</v>
      </c>
      <c r="N1056" s="4">
        <v>25.9</v>
      </c>
      <c r="O1056" s="4">
        <v>70.891999999999996</v>
      </c>
      <c r="P1056" s="4">
        <v>-159.393</v>
      </c>
      <c r="Q1056" s="4">
        <v>7.59</v>
      </c>
      <c r="R1056" s="4">
        <v>30.89</v>
      </c>
      <c r="S1056" s="4">
        <v>280.27</v>
      </c>
      <c r="T1056" s="4"/>
      <c r="U1056" s="4"/>
      <c r="V1056" s="4"/>
      <c r="W1056" s="4">
        <v>0.93</v>
      </c>
      <c r="X1056" s="4">
        <v>4</v>
      </c>
      <c r="Y1056" s="4">
        <v>1.464</v>
      </c>
      <c r="Z1056" s="4"/>
      <c r="AA1056" s="4">
        <v>0.55000000000000004</v>
      </c>
      <c r="AB1056" s="4">
        <v>8.19</v>
      </c>
      <c r="AC1056" s="4"/>
      <c r="AD1056" s="4"/>
      <c r="AE1056" s="4">
        <v>0.28999999999999998</v>
      </c>
      <c r="AF1056" s="4">
        <v>0.21</v>
      </c>
      <c r="AG1056" s="4"/>
      <c r="AH1056" s="4" t="s">
        <v>4474</v>
      </c>
      <c r="AI1056" s="4">
        <v>4</v>
      </c>
      <c r="AJ1056" s="4"/>
      <c r="AK1056" s="4"/>
      <c r="AL1056" s="4">
        <v>70.398799999999994</v>
      </c>
      <c r="AM1056" s="4"/>
      <c r="AN1056" s="4"/>
      <c r="AO1056" s="4"/>
      <c r="AP1056" s="4"/>
      <c r="AQ1056" s="4"/>
      <c r="AR1056" s="4"/>
      <c r="AS1056" s="4"/>
      <c r="AT1056" s="4"/>
    </row>
    <row r="1057" spans="1:46">
      <c r="A1057" s="4" t="s">
        <v>4475</v>
      </c>
      <c r="B1057" s="4"/>
      <c r="C1057" s="4" t="s">
        <v>4475</v>
      </c>
      <c r="D1057" s="4" t="s">
        <v>4475</v>
      </c>
      <c r="E1057" s="4" t="s">
        <v>4308</v>
      </c>
      <c r="F1057" s="4" t="s">
        <v>4476</v>
      </c>
      <c r="G1057" s="4" t="s">
        <v>456</v>
      </c>
      <c r="H1057" s="4" t="s">
        <v>4477</v>
      </c>
      <c r="I1057" s="4">
        <v>27</v>
      </c>
      <c r="J1057" s="4">
        <v>0.2</v>
      </c>
      <c r="K1057" s="4" t="s">
        <v>65</v>
      </c>
      <c r="L1057" s="4" t="s">
        <v>65</v>
      </c>
      <c r="M1057" s="4">
        <v>30</v>
      </c>
      <c r="N1057" s="4">
        <v>43.6</v>
      </c>
      <c r="O1057" s="4">
        <v>70.932000000000002</v>
      </c>
      <c r="P1057" s="4">
        <v>-159.50399999999999</v>
      </c>
      <c r="Q1057" s="4">
        <v>4.0199999999999996</v>
      </c>
      <c r="R1057" s="4">
        <v>31.38</v>
      </c>
      <c r="S1057" s="4">
        <v>281.03699999999998</v>
      </c>
      <c r="T1057" s="4"/>
      <c r="U1057" s="4"/>
      <c r="V1057" s="4"/>
      <c r="W1057" s="4">
        <v>0.48599999999999999</v>
      </c>
      <c r="X1057" s="4">
        <v>2</v>
      </c>
      <c r="Y1057" s="4">
        <v>0.61199999999999999</v>
      </c>
      <c r="Z1057" s="4"/>
      <c r="AA1057" s="4">
        <v>0.95</v>
      </c>
      <c r="AB1057" s="4">
        <v>14.95</v>
      </c>
      <c r="AC1057" s="4"/>
      <c r="AD1057" s="4"/>
      <c r="AE1057" s="4">
        <v>1.9</v>
      </c>
      <c r="AF1057" s="4">
        <v>0.86</v>
      </c>
      <c r="AG1057" s="4"/>
      <c r="AH1057" s="4" t="s">
        <v>4478</v>
      </c>
      <c r="AI1057" s="4">
        <v>2</v>
      </c>
      <c r="AJ1057" s="4"/>
      <c r="AK1057" s="4"/>
      <c r="AL1057" s="4">
        <v>85.7029</v>
      </c>
      <c r="AM1057" s="4"/>
      <c r="AN1057" s="4"/>
      <c r="AO1057" s="4"/>
      <c r="AP1057" s="4"/>
      <c r="AQ1057" s="4"/>
      <c r="AR1057" s="4"/>
      <c r="AS1057" s="4"/>
      <c r="AT1057" s="4"/>
    </row>
    <row r="1058" spans="1:46">
      <c r="A1058" s="4" t="s">
        <v>4479</v>
      </c>
      <c r="B1058" s="4"/>
      <c r="C1058" s="4" t="s">
        <v>4479</v>
      </c>
      <c r="D1058" s="4" t="s">
        <v>4479</v>
      </c>
      <c r="E1058" s="4" t="s">
        <v>4308</v>
      </c>
      <c r="F1058" s="4" t="s">
        <v>4476</v>
      </c>
      <c r="G1058" s="4" t="s">
        <v>456</v>
      </c>
      <c r="H1058" s="4" t="s">
        <v>4477</v>
      </c>
      <c r="I1058" s="4">
        <v>27</v>
      </c>
      <c r="J1058" s="4">
        <v>0.2</v>
      </c>
      <c r="K1058" s="4" t="s">
        <v>150</v>
      </c>
      <c r="L1058" s="4" t="s">
        <v>78</v>
      </c>
      <c r="M1058" s="4">
        <v>41</v>
      </c>
      <c r="N1058" s="4">
        <v>43.6</v>
      </c>
      <c r="O1058" s="4">
        <v>70.932000000000002</v>
      </c>
      <c r="P1058" s="4">
        <v>-159.50399999999999</v>
      </c>
      <c r="Q1058" s="4">
        <v>0.75</v>
      </c>
      <c r="R1058" s="4">
        <v>32.08</v>
      </c>
      <c r="S1058" s="4">
        <v>343.036</v>
      </c>
      <c r="T1058" s="4"/>
      <c r="U1058" s="4"/>
      <c r="V1058" s="4"/>
      <c r="W1058" s="4">
        <v>0.34799999999999998</v>
      </c>
      <c r="X1058" s="4">
        <v>1</v>
      </c>
      <c r="Y1058" s="4">
        <v>0.52400000000000002</v>
      </c>
      <c r="Z1058" s="4"/>
      <c r="AA1058" s="4">
        <v>0.88</v>
      </c>
      <c r="AB1058" s="4">
        <v>9.9600000000000009</v>
      </c>
      <c r="AC1058" s="4"/>
      <c r="AD1058" s="4"/>
      <c r="AE1058" s="4">
        <v>1.42</v>
      </c>
      <c r="AF1058" s="4">
        <v>1.38</v>
      </c>
      <c r="AG1058" s="4"/>
      <c r="AH1058" s="4" t="s">
        <v>4480</v>
      </c>
      <c r="AI1058" s="4">
        <v>1</v>
      </c>
      <c r="AJ1058" s="4"/>
      <c r="AK1058" s="4"/>
      <c r="AL1058" s="4">
        <v>87.927000000000007</v>
      </c>
      <c r="AM1058" s="4"/>
      <c r="AN1058" s="4"/>
      <c r="AO1058" s="4"/>
      <c r="AP1058" s="4"/>
      <c r="AQ1058" s="4">
        <v>-1.054156914</v>
      </c>
      <c r="AR1058" s="4"/>
      <c r="AS1058" s="4"/>
      <c r="AT1058" s="4"/>
    </row>
    <row r="1059" spans="1:46">
      <c r="A1059" s="4" t="s">
        <v>4481</v>
      </c>
      <c r="B1059" s="4"/>
      <c r="C1059" s="4" t="s">
        <v>4481</v>
      </c>
      <c r="D1059" s="4" t="s">
        <v>4481</v>
      </c>
      <c r="E1059" s="4" t="s">
        <v>4308</v>
      </c>
      <c r="F1059" s="4" t="s">
        <v>4476</v>
      </c>
      <c r="G1059" s="4" t="s">
        <v>456</v>
      </c>
      <c r="H1059" s="4" t="s">
        <v>4477</v>
      </c>
      <c r="I1059" s="4">
        <v>27</v>
      </c>
      <c r="J1059" s="4">
        <v>0.2</v>
      </c>
      <c r="K1059" s="4" t="s">
        <v>1688</v>
      </c>
      <c r="L1059" s="4" t="s">
        <v>52</v>
      </c>
      <c r="M1059" s="4">
        <v>6</v>
      </c>
      <c r="N1059" s="4">
        <v>43.6</v>
      </c>
      <c r="O1059" s="4">
        <v>70.932000000000002</v>
      </c>
      <c r="P1059" s="4">
        <v>-159.50399999999999</v>
      </c>
      <c r="Q1059" s="4">
        <v>8.16</v>
      </c>
      <c r="R1059" s="4">
        <v>30.58</v>
      </c>
      <c r="S1059" s="4">
        <v>279.06700000000001</v>
      </c>
      <c r="T1059" s="4"/>
      <c r="U1059" s="4"/>
      <c r="V1059" s="4"/>
      <c r="W1059" s="4">
        <v>1.0289999999999999</v>
      </c>
      <c r="X1059" s="4">
        <v>5</v>
      </c>
      <c r="Y1059" s="4">
        <v>1.3919999999999999</v>
      </c>
      <c r="Z1059" s="4"/>
      <c r="AA1059" s="4">
        <v>0.49</v>
      </c>
      <c r="AB1059" s="4">
        <v>7.83</v>
      </c>
      <c r="AC1059" s="4"/>
      <c r="AD1059" s="4"/>
      <c r="AE1059" s="4">
        <v>0.4</v>
      </c>
      <c r="AF1059" s="4">
        <v>0.53</v>
      </c>
      <c r="AG1059" s="4"/>
      <c r="AH1059" s="4" t="s">
        <v>4482</v>
      </c>
      <c r="AI1059" s="4">
        <v>5</v>
      </c>
      <c r="AJ1059" s="4"/>
      <c r="AK1059" s="4"/>
      <c r="AL1059" s="4">
        <v>79.252499999999998</v>
      </c>
      <c r="AM1059" s="4"/>
      <c r="AN1059" s="4"/>
      <c r="AO1059" s="4"/>
      <c r="AP1059" s="4"/>
      <c r="AQ1059" s="4">
        <v>-2.0192400689999999</v>
      </c>
      <c r="AR1059" s="4"/>
      <c r="AS1059" s="4"/>
      <c r="AT1059" s="4"/>
    </row>
    <row r="1060" spans="1:46">
      <c r="A1060" s="4" t="s">
        <v>4483</v>
      </c>
      <c r="B1060" s="4"/>
      <c r="C1060" s="4" t="s">
        <v>4483</v>
      </c>
      <c r="D1060" s="4" t="s">
        <v>4483</v>
      </c>
      <c r="E1060" s="4" t="s">
        <v>4308</v>
      </c>
      <c r="F1060" s="4" t="s">
        <v>4484</v>
      </c>
      <c r="G1060" s="4" t="s">
        <v>456</v>
      </c>
      <c r="H1060" s="4" t="s">
        <v>4485</v>
      </c>
      <c r="I1060" s="4">
        <v>28</v>
      </c>
      <c r="J1060" s="4">
        <v>0.2</v>
      </c>
      <c r="K1060" s="4" t="s">
        <v>65</v>
      </c>
      <c r="L1060" s="4" t="s">
        <v>65</v>
      </c>
      <c r="M1060" s="4">
        <v>28</v>
      </c>
      <c r="N1060" s="4">
        <v>55.6</v>
      </c>
      <c r="O1060" s="4">
        <v>71.063000000000002</v>
      </c>
      <c r="P1060" s="4">
        <v>-159.88200000000001</v>
      </c>
      <c r="Q1060" s="4">
        <v>-1.57</v>
      </c>
      <c r="R1060" s="4">
        <v>32.39</v>
      </c>
      <c r="S1060" s="4">
        <v>257.34199999999998</v>
      </c>
      <c r="T1060" s="4"/>
      <c r="U1060" s="4"/>
      <c r="V1060" s="4"/>
      <c r="W1060" s="4">
        <v>4.62</v>
      </c>
      <c r="X1060" s="4">
        <v>4</v>
      </c>
      <c r="Y1060" s="4">
        <v>9.32</v>
      </c>
      <c r="Z1060" s="4"/>
      <c r="AA1060" s="4">
        <v>1.95</v>
      </c>
      <c r="AB1060" s="4">
        <v>37.72</v>
      </c>
      <c r="AC1060" s="4"/>
      <c r="AD1060" s="4"/>
      <c r="AE1060" s="4">
        <v>3.55</v>
      </c>
      <c r="AF1060" s="4">
        <v>13.79</v>
      </c>
      <c r="AG1060" s="4"/>
      <c r="AH1060" s="4" t="s">
        <v>4486</v>
      </c>
      <c r="AI1060" s="4">
        <v>4</v>
      </c>
      <c r="AJ1060" s="4"/>
      <c r="AK1060" s="4"/>
      <c r="AL1060" s="4">
        <v>77.357100000000003</v>
      </c>
      <c r="AM1060" s="4"/>
      <c r="AN1060" s="4"/>
      <c r="AO1060" s="4"/>
      <c r="AP1060" s="4"/>
      <c r="AQ1060" s="4"/>
      <c r="AR1060" s="4"/>
      <c r="AS1060" s="4"/>
      <c r="AT1060" s="4"/>
    </row>
    <row r="1061" spans="1:46">
      <c r="A1061" s="4" t="s">
        <v>4487</v>
      </c>
      <c r="B1061" s="4"/>
      <c r="C1061" s="4" t="s">
        <v>4487</v>
      </c>
      <c r="D1061" s="4" t="s">
        <v>4487</v>
      </c>
      <c r="E1061" s="4" t="s">
        <v>4308</v>
      </c>
      <c r="F1061" s="4" t="s">
        <v>4484</v>
      </c>
      <c r="G1061" s="4" t="s">
        <v>456</v>
      </c>
      <c r="H1061" s="4" t="s">
        <v>4485</v>
      </c>
      <c r="I1061" s="4">
        <v>28</v>
      </c>
      <c r="J1061" s="4">
        <v>0.2</v>
      </c>
      <c r="K1061" s="4" t="s">
        <v>1688</v>
      </c>
      <c r="L1061" s="4" t="s">
        <v>52</v>
      </c>
      <c r="M1061" s="4">
        <v>5</v>
      </c>
      <c r="N1061" s="4">
        <v>55.6</v>
      </c>
      <c r="O1061" s="4">
        <v>71.063000000000002</v>
      </c>
      <c r="P1061" s="4">
        <v>-159.88200000000001</v>
      </c>
      <c r="Q1061" s="4">
        <v>6.98</v>
      </c>
      <c r="R1061" s="4">
        <v>30.67</v>
      </c>
      <c r="S1061" s="4">
        <v>292.59500000000003</v>
      </c>
      <c r="T1061" s="4"/>
      <c r="U1061" s="4"/>
      <c r="V1061" s="4"/>
      <c r="W1061" s="4">
        <v>0.46800000000000003</v>
      </c>
      <c r="X1061" s="4">
        <v>7</v>
      </c>
      <c r="Y1061" s="4">
        <v>0.44</v>
      </c>
      <c r="Z1061" s="4"/>
      <c r="AA1061" s="4">
        <v>0.41</v>
      </c>
      <c r="AB1061" s="4">
        <v>4.9800000000000004</v>
      </c>
      <c r="AC1061" s="4"/>
      <c r="AD1061" s="4"/>
      <c r="AE1061" s="4">
        <v>0.4</v>
      </c>
      <c r="AF1061" s="4">
        <v>0.19</v>
      </c>
      <c r="AG1061" s="4"/>
      <c r="AH1061" s="4" t="s">
        <v>4488</v>
      </c>
      <c r="AI1061" s="4">
        <v>7</v>
      </c>
      <c r="AJ1061" s="4"/>
      <c r="AK1061" s="4"/>
      <c r="AL1061" s="4">
        <v>93.874899999999997</v>
      </c>
      <c r="AM1061" s="4"/>
      <c r="AN1061" s="4"/>
      <c r="AO1061" s="4"/>
      <c r="AP1061" s="4"/>
      <c r="AQ1061" s="4">
        <v>-1.868759931</v>
      </c>
      <c r="AR1061" s="4"/>
      <c r="AS1061" s="4"/>
      <c r="AT1061" s="4"/>
    </row>
    <row r="1062" spans="1:46">
      <c r="A1062" s="4" t="s">
        <v>4489</v>
      </c>
      <c r="B1062" s="4"/>
      <c r="C1062" s="4" t="s">
        <v>4489</v>
      </c>
      <c r="D1062" s="4" t="s">
        <v>4489</v>
      </c>
      <c r="E1062" s="4" t="s">
        <v>4308</v>
      </c>
      <c r="F1062" s="4" t="s">
        <v>4484</v>
      </c>
      <c r="G1062" s="4" t="s">
        <v>456</v>
      </c>
      <c r="H1062" s="4" t="s">
        <v>4485</v>
      </c>
      <c r="I1062" s="4">
        <v>28</v>
      </c>
      <c r="J1062" s="4">
        <v>0.2</v>
      </c>
      <c r="K1062" s="4" t="s">
        <v>150</v>
      </c>
      <c r="L1062" s="4" t="s">
        <v>78</v>
      </c>
      <c r="M1062" s="4">
        <v>51</v>
      </c>
      <c r="N1062" s="4">
        <v>55.6</v>
      </c>
      <c r="O1062" s="4">
        <v>71.063000000000002</v>
      </c>
      <c r="P1062" s="4">
        <v>-159.88200000000001</v>
      </c>
      <c r="Q1062" s="4">
        <v>-1.63</v>
      </c>
      <c r="R1062" s="4">
        <v>32.47</v>
      </c>
      <c r="S1062" s="4">
        <v>226.333</v>
      </c>
      <c r="T1062" s="4"/>
      <c r="U1062" s="4"/>
      <c r="V1062" s="4"/>
      <c r="W1062" s="4">
        <v>0.88300000000000001</v>
      </c>
      <c r="X1062" s="4">
        <v>1</v>
      </c>
      <c r="Y1062" s="4">
        <v>1.948</v>
      </c>
      <c r="Z1062" s="4"/>
      <c r="AA1062" s="4">
        <v>2.2000000000000002</v>
      </c>
      <c r="AB1062" s="4">
        <v>42.17</v>
      </c>
      <c r="AC1062" s="4"/>
      <c r="AD1062" s="4"/>
      <c r="AE1062" s="4">
        <v>2.98</v>
      </c>
      <c r="AF1062" s="4">
        <v>14.79</v>
      </c>
      <c r="AG1062" s="4"/>
      <c r="AH1062" s="4" t="s">
        <v>4490</v>
      </c>
      <c r="AI1062" s="4">
        <v>1</v>
      </c>
      <c r="AJ1062" s="4"/>
      <c r="AK1062" s="4"/>
      <c r="AL1062" s="4">
        <v>80.771100000000004</v>
      </c>
      <c r="AM1062" s="4"/>
      <c r="AN1062" s="4"/>
      <c r="AO1062" s="4"/>
      <c r="AP1062" s="4"/>
      <c r="AQ1062" s="4">
        <v>-1.1354209660000001</v>
      </c>
      <c r="AR1062" s="4"/>
      <c r="AS1062" s="4"/>
      <c r="AT1062" s="4"/>
    </row>
    <row r="1063" spans="1:46">
      <c r="A1063" s="4" t="s">
        <v>4491</v>
      </c>
      <c r="B1063" s="4"/>
      <c r="C1063" s="4" t="s">
        <v>4491</v>
      </c>
      <c r="D1063" s="4" t="s">
        <v>4491</v>
      </c>
      <c r="E1063" s="4" t="s">
        <v>4308</v>
      </c>
      <c r="F1063" s="4" t="s">
        <v>4492</v>
      </c>
      <c r="G1063" s="4" t="s">
        <v>456</v>
      </c>
      <c r="H1063" s="4" t="s">
        <v>4493</v>
      </c>
      <c r="I1063" s="4">
        <v>29</v>
      </c>
      <c r="J1063" s="4">
        <v>0.2</v>
      </c>
      <c r="K1063" s="4" t="s">
        <v>65</v>
      </c>
      <c r="L1063" s="4" t="s">
        <v>65</v>
      </c>
      <c r="M1063" s="4">
        <v>30</v>
      </c>
      <c r="N1063" s="4">
        <v>52.7</v>
      </c>
      <c r="O1063" s="4">
        <v>71.192999999999998</v>
      </c>
      <c r="P1063" s="4">
        <v>-160.27000000000001</v>
      </c>
      <c r="Q1063" s="4">
        <v>-1.6</v>
      </c>
      <c r="R1063" s="4">
        <v>32.270000000000003</v>
      </c>
      <c r="S1063" s="4">
        <v>295.80099999999999</v>
      </c>
      <c r="T1063" s="4"/>
      <c r="U1063" s="4"/>
      <c r="V1063" s="4"/>
      <c r="W1063" s="4">
        <v>4.4249999999999998</v>
      </c>
      <c r="X1063" s="4">
        <v>3</v>
      </c>
      <c r="Y1063" s="4">
        <v>7.08</v>
      </c>
      <c r="Z1063" s="4"/>
      <c r="AA1063" s="4">
        <v>1.62</v>
      </c>
      <c r="AB1063" s="4">
        <v>20.28</v>
      </c>
      <c r="AC1063" s="4"/>
      <c r="AD1063" s="4"/>
      <c r="AE1063" s="4">
        <v>0.96</v>
      </c>
      <c r="AF1063" s="4">
        <v>6.44</v>
      </c>
      <c r="AG1063" s="4"/>
      <c r="AH1063" s="4" t="s">
        <v>4494</v>
      </c>
      <c r="AI1063" s="4">
        <v>3</v>
      </c>
      <c r="AJ1063" s="4"/>
      <c r="AK1063" s="4"/>
      <c r="AL1063" s="4">
        <v>85.639499999999998</v>
      </c>
      <c r="AM1063" s="4"/>
      <c r="AN1063" s="4"/>
      <c r="AO1063" s="4"/>
      <c r="AP1063" s="4"/>
      <c r="AQ1063" s="4">
        <v>-3.561833333</v>
      </c>
      <c r="AR1063" s="4"/>
      <c r="AS1063" s="4"/>
      <c r="AT1063" s="4"/>
    </row>
    <row r="1064" spans="1:46">
      <c r="A1064" s="4" t="s">
        <v>4495</v>
      </c>
      <c r="B1064" s="4"/>
      <c r="C1064" s="4" t="s">
        <v>4495</v>
      </c>
      <c r="D1064" s="4" t="s">
        <v>4495</v>
      </c>
      <c r="E1064" s="4" t="s">
        <v>4308</v>
      </c>
      <c r="F1064" s="4" t="s">
        <v>4492</v>
      </c>
      <c r="G1064" s="4" t="s">
        <v>456</v>
      </c>
      <c r="H1064" s="4" t="s">
        <v>4493</v>
      </c>
      <c r="I1064" s="4">
        <v>29</v>
      </c>
      <c r="J1064" s="4">
        <v>0.2</v>
      </c>
      <c r="K1064" s="4" t="s">
        <v>1688</v>
      </c>
      <c r="L1064" s="4" t="s">
        <v>52</v>
      </c>
      <c r="M1064" s="4">
        <v>6</v>
      </c>
      <c r="N1064" s="4">
        <v>52.7</v>
      </c>
      <c r="O1064" s="4">
        <v>71.192999999999998</v>
      </c>
      <c r="P1064" s="4">
        <v>-160.27000000000001</v>
      </c>
      <c r="Q1064" s="4">
        <v>4.3</v>
      </c>
      <c r="R1064" s="4">
        <v>29.46</v>
      </c>
      <c r="S1064" s="4">
        <v>340.38499999999999</v>
      </c>
      <c r="T1064" s="4"/>
      <c r="U1064" s="4"/>
      <c r="V1064" s="4"/>
      <c r="W1064" s="4">
        <v>0.33300000000000002</v>
      </c>
      <c r="X1064" s="4">
        <v>6</v>
      </c>
      <c r="Y1064" s="4">
        <v>0.28699999999999998</v>
      </c>
      <c r="Z1064" s="4"/>
      <c r="AA1064" s="4">
        <v>0.23</v>
      </c>
      <c r="AB1064" s="4">
        <v>4.9800000000000004</v>
      </c>
      <c r="AC1064" s="4"/>
      <c r="AD1064" s="4"/>
      <c r="AE1064" s="4">
        <v>0.31</v>
      </c>
      <c r="AF1064" s="4">
        <v>0.3</v>
      </c>
      <c r="AG1064" s="4"/>
      <c r="AH1064" s="4" t="s">
        <v>4496</v>
      </c>
      <c r="AI1064" s="4">
        <v>6</v>
      </c>
      <c r="AJ1064" s="4"/>
      <c r="AK1064" s="4"/>
      <c r="AL1064" s="4">
        <v>95.437899999999999</v>
      </c>
      <c r="AM1064" s="4"/>
      <c r="AN1064" s="4"/>
      <c r="AO1064" s="4"/>
      <c r="AP1064" s="4"/>
      <c r="AQ1064" s="4">
        <v>-3.0118333329999998</v>
      </c>
      <c r="AR1064" s="4"/>
      <c r="AS1064" s="4"/>
      <c r="AT1064" s="4"/>
    </row>
    <row r="1065" spans="1:46">
      <c r="A1065" s="4" t="s">
        <v>4497</v>
      </c>
      <c r="B1065" s="4"/>
      <c r="C1065" s="4" t="s">
        <v>4497</v>
      </c>
      <c r="D1065" s="4" t="s">
        <v>4497</v>
      </c>
      <c r="E1065" s="4" t="s">
        <v>4308</v>
      </c>
      <c r="F1065" s="4" t="s">
        <v>4492</v>
      </c>
      <c r="G1065" s="4" t="s">
        <v>456</v>
      </c>
      <c r="H1065" s="4" t="s">
        <v>4493</v>
      </c>
      <c r="I1065" s="4">
        <v>29</v>
      </c>
      <c r="J1065" s="4">
        <v>0.2</v>
      </c>
      <c r="K1065" s="4" t="s">
        <v>150</v>
      </c>
      <c r="L1065" s="4" t="s">
        <v>78</v>
      </c>
      <c r="M1065" s="4">
        <v>50</v>
      </c>
      <c r="N1065" s="4">
        <v>52.7</v>
      </c>
      <c r="O1065" s="4">
        <v>71.192999999999998</v>
      </c>
      <c r="P1065" s="4">
        <v>-160.27000000000001</v>
      </c>
      <c r="Q1065" s="4">
        <v>-1.65</v>
      </c>
      <c r="R1065" s="4">
        <v>32.47</v>
      </c>
      <c r="S1065" s="4">
        <v>230.821</v>
      </c>
      <c r="T1065" s="4"/>
      <c r="U1065" s="4"/>
      <c r="V1065" s="4"/>
      <c r="W1065" s="4">
        <v>0.99199999999999999</v>
      </c>
      <c r="X1065" s="4">
        <v>1</v>
      </c>
      <c r="Y1065" s="4">
        <v>2.1</v>
      </c>
      <c r="Z1065" s="4"/>
      <c r="AA1065" s="4">
        <v>2.27</v>
      </c>
      <c r="AB1065" s="4">
        <v>45.55</v>
      </c>
      <c r="AC1065" s="4"/>
      <c r="AD1065" s="4"/>
      <c r="AE1065" s="4">
        <v>5.24</v>
      </c>
      <c r="AF1065" s="4">
        <v>14.86</v>
      </c>
      <c r="AG1065" s="4"/>
      <c r="AH1065" s="4" t="s">
        <v>4498</v>
      </c>
      <c r="AI1065" s="4">
        <v>1</v>
      </c>
      <c r="AJ1065" s="4"/>
      <c r="AK1065" s="4"/>
      <c r="AL1065" s="4">
        <v>78.465100000000007</v>
      </c>
      <c r="AM1065" s="4"/>
      <c r="AN1065" s="4"/>
      <c r="AO1065" s="4"/>
      <c r="AP1065" s="4"/>
      <c r="AQ1065" s="4">
        <v>-0.820714744</v>
      </c>
      <c r="AR1065" s="4"/>
      <c r="AS1065" s="4"/>
      <c r="AT1065" s="4"/>
    </row>
    <row r="1066" spans="1:46">
      <c r="A1066" s="4" t="s">
        <v>4499</v>
      </c>
      <c r="B1066" s="4"/>
      <c r="C1066" s="4" t="s">
        <v>4499</v>
      </c>
      <c r="D1066" s="4" t="s">
        <v>4499</v>
      </c>
      <c r="E1066" s="4" t="s">
        <v>4308</v>
      </c>
      <c r="F1066" s="4" t="s">
        <v>4500</v>
      </c>
      <c r="G1066" s="4" t="s">
        <v>456</v>
      </c>
      <c r="H1066" s="4" t="s">
        <v>4501</v>
      </c>
      <c r="I1066" s="4">
        <v>30</v>
      </c>
      <c r="J1066" s="4">
        <v>0.2</v>
      </c>
      <c r="K1066" s="4" t="s">
        <v>4502</v>
      </c>
      <c r="L1066" s="4" t="s">
        <v>65</v>
      </c>
      <c r="M1066" s="4">
        <v>10</v>
      </c>
      <c r="N1066" s="4">
        <v>48.6</v>
      </c>
      <c r="O1066" s="4">
        <v>71.361000000000004</v>
      </c>
      <c r="P1066" s="4">
        <v>-159.69300000000001</v>
      </c>
      <c r="Q1066" s="4">
        <v>4.88</v>
      </c>
      <c r="R1066" s="4">
        <v>28.11</v>
      </c>
      <c r="S1066" s="4">
        <v>319.94</v>
      </c>
      <c r="T1066" s="4"/>
      <c r="U1066" s="4"/>
      <c r="V1066" s="4"/>
      <c r="W1066" s="4">
        <v>0.36699999999999999</v>
      </c>
      <c r="X1066" s="4">
        <v>11</v>
      </c>
      <c r="Y1066" s="4">
        <v>0.27700000000000002</v>
      </c>
      <c r="Z1066" s="4"/>
      <c r="AA1066" s="4">
        <v>0.23</v>
      </c>
      <c r="AB1066" s="4">
        <v>3.56</v>
      </c>
      <c r="AC1066" s="4"/>
      <c r="AD1066" s="4"/>
      <c r="AE1066" s="4">
        <v>0.43</v>
      </c>
      <c r="AF1066" s="4">
        <v>1.1200000000000001</v>
      </c>
      <c r="AG1066" s="4"/>
      <c r="AH1066" s="4" t="s">
        <v>4503</v>
      </c>
      <c r="AI1066" s="4">
        <v>11</v>
      </c>
      <c r="AJ1066" s="4"/>
      <c r="AK1066" s="4"/>
      <c r="AL1066" s="4">
        <v>93.903999999999996</v>
      </c>
      <c r="AM1066" s="4"/>
      <c r="AN1066" s="4"/>
      <c r="AO1066" s="4"/>
      <c r="AP1066" s="4"/>
      <c r="AQ1066" s="4"/>
      <c r="AR1066" s="4"/>
      <c r="AS1066" s="4"/>
      <c r="AT1066" s="4"/>
    </row>
    <row r="1067" spans="1:46">
      <c r="A1067" s="4" t="s">
        <v>4504</v>
      </c>
      <c r="B1067" s="4"/>
      <c r="C1067" s="4" t="s">
        <v>4504</v>
      </c>
      <c r="D1067" s="4" t="s">
        <v>4504</v>
      </c>
      <c r="E1067" s="4" t="s">
        <v>4308</v>
      </c>
      <c r="F1067" s="4" t="s">
        <v>4500</v>
      </c>
      <c r="G1067" s="4" t="s">
        <v>456</v>
      </c>
      <c r="H1067" s="4" t="s">
        <v>4501</v>
      </c>
      <c r="I1067" s="4">
        <v>30</v>
      </c>
      <c r="J1067" s="4">
        <v>0.2</v>
      </c>
      <c r="K1067" s="4" t="s">
        <v>4505</v>
      </c>
      <c r="L1067" s="4" t="s">
        <v>65</v>
      </c>
      <c r="M1067" s="4">
        <v>20</v>
      </c>
      <c r="N1067" s="4">
        <v>48.6</v>
      </c>
      <c r="O1067" s="4">
        <v>71.361000000000004</v>
      </c>
      <c r="P1067" s="4">
        <v>-159.69300000000001</v>
      </c>
      <c r="Q1067" s="4">
        <v>-0.78</v>
      </c>
      <c r="R1067" s="4">
        <v>31.77</v>
      </c>
      <c r="S1067" s="4">
        <v>454.27300000000002</v>
      </c>
      <c r="T1067" s="4"/>
      <c r="U1067" s="4"/>
      <c r="V1067" s="4"/>
      <c r="W1067" s="4">
        <v>0.52500000000000002</v>
      </c>
      <c r="X1067" s="4">
        <v>10</v>
      </c>
      <c r="Y1067" s="4">
        <v>0.36099999999999999</v>
      </c>
      <c r="Z1067" s="4"/>
      <c r="AA1067" s="4">
        <v>0.62</v>
      </c>
      <c r="AB1067" s="4">
        <v>20.64</v>
      </c>
      <c r="AC1067" s="4"/>
      <c r="AD1067" s="4"/>
      <c r="AE1067" s="4">
        <v>1</v>
      </c>
      <c r="AF1067" s="4">
        <v>1.76</v>
      </c>
      <c r="AG1067" s="4"/>
      <c r="AH1067" s="4" t="s">
        <v>4506</v>
      </c>
      <c r="AI1067" s="4">
        <v>10</v>
      </c>
      <c r="AJ1067" s="4"/>
      <c r="AK1067" s="4"/>
      <c r="AL1067" s="4">
        <v>94.023899999999998</v>
      </c>
      <c r="AM1067" s="4"/>
      <c r="AN1067" s="4"/>
      <c r="AO1067" s="4"/>
      <c r="AP1067" s="4"/>
      <c r="AQ1067" s="4"/>
      <c r="AR1067" s="4"/>
      <c r="AS1067" s="4"/>
      <c r="AT1067" s="4"/>
    </row>
    <row r="1068" spans="1:46">
      <c r="A1068" s="4" t="s">
        <v>4507</v>
      </c>
      <c r="B1068" s="4"/>
      <c r="C1068" s="4" t="s">
        <v>4507</v>
      </c>
      <c r="D1068" s="4" t="s">
        <v>4507</v>
      </c>
      <c r="E1068" s="4" t="s">
        <v>4308</v>
      </c>
      <c r="F1068" s="4" t="s">
        <v>4500</v>
      </c>
      <c r="G1068" s="4" t="s">
        <v>456</v>
      </c>
      <c r="H1068" s="4" t="s">
        <v>4501</v>
      </c>
      <c r="I1068" s="4">
        <v>30</v>
      </c>
      <c r="J1068" s="4">
        <v>0.2</v>
      </c>
      <c r="K1068" s="4" t="s">
        <v>4508</v>
      </c>
      <c r="L1068" s="4" t="s">
        <v>65</v>
      </c>
      <c r="M1068" s="4">
        <v>31</v>
      </c>
      <c r="N1068" s="4">
        <v>48.6</v>
      </c>
      <c r="O1068" s="4">
        <v>71.361000000000004</v>
      </c>
      <c r="P1068" s="4">
        <v>-159.69300000000001</v>
      </c>
      <c r="Q1068" s="4">
        <v>-1.41</v>
      </c>
      <c r="R1068" s="4">
        <v>32.21</v>
      </c>
      <c r="S1068" s="4">
        <v>415.87400000000002</v>
      </c>
      <c r="T1068" s="4"/>
      <c r="U1068" s="4"/>
      <c r="V1068" s="4"/>
      <c r="W1068" s="4">
        <v>4.0670000000000002</v>
      </c>
      <c r="X1068" s="4">
        <v>9</v>
      </c>
      <c r="Y1068" s="4">
        <v>5.96</v>
      </c>
      <c r="Z1068" s="4"/>
      <c r="AA1068" s="4">
        <v>1.8</v>
      </c>
      <c r="AB1068" s="4">
        <v>12.1</v>
      </c>
      <c r="AC1068" s="4"/>
      <c r="AD1068" s="4"/>
      <c r="AE1068" s="4">
        <v>1.1000000000000001</v>
      </c>
      <c r="AF1068" s="4">
        <v>1.96</v>
      </c>
      <c r="AG1068" s="4"/>
      <c r="AH1068" s="4" t="s">
        <v>4509</v>
      </c>
      <c r="AI1068" s="4">
        <v>9</v>
      </c>
      <c r="AJ1068" s="4"/>
      <c r="AK1068" s="4"/>
      <c r="AL1068" s="4">
        <v>86.2303</v>
      </c>
      <c r="AM1068" s="4"/>
      <c r="AN1068" s="4"/>
      <c r="AO1068" s="4"/>
      <c r="AP1068" s="4"/>
      <c r="AQ1068" s="4">
        <v>-1.1028948670000001</v>
      </c>
      <c r="AR1068" s="4"/>
      <c r="AS1068" s="4"/>
      <c r="AT1068" s="4"/>
    </row>
    <row r="1069" spans="1:46">
      <c r="A1069" s="4" t="s">
        <v>4510</v>
      </c>
      <c r="B1069" s="4"/>
      <c r="C1069" s="4" t="s">
        <v>4510</v>
      </c>
      <c r="D1069" s="4" t="s">
        <v>4510</v>
      </c>
      <c r="E1069" s="4" t="s">
        <v>4308</v>
      </c>
      <c r="F1069" s="4" t="s">
        <v>4500</v>
      </c>
      <c r="G1069" s="4" t="s">
        <v>456</v>
      </c>
      <c r="H1069" s="4" t="s">
        <v>4501</v>
      </c>
      <c r="I1069" s="4">
        <v>30</v>
      </c>
      <c r="J1069" s="4">
        <v>0.2</v>
      </c>
      <c r="K1069" s="4" t="s">
        <v>150</v>
      </c>
      <c r="L1069" s="4" t="s">
        <v>78</v>
      </c>
      <c r="M1069" s="4">
        <v>46</v>
      </c>
      <c r="N1069" s="4">
        <v>48.6</v>
      </c>
      <c r="O1069" s="4">
        <v>71.361000000000004</v>
      </c>
      <c r="P1069" s="4">
        <v>-159.69300000000001</v>
      </c>
      <c r="Q1069" s="4">
        <v>-1.66</v>
      </c>
      <c r="R1069" s="4">
        <v>32.47</v>
      </c>
      <c r="S1069" s="4">
        <v>230.339</v>
      </c>
      <c r="T1069" s="4"/>
      <c r="U1069" s="4"/>
      <c r="V1069" s="4"/>
      <c r="W1069" s="4">
        <v>0.44500000000000001</v>
      </c>
      <c r="X1069" s="4">
        <v>8</v>
      </c>
      <c r="Y1069" s="4">
        <v>0.73599999999999999</v>
      </c>
      <c r="Z1069" s="4"/>
      <c r="AA1069" s="4">
        <v>2.2000000000000002</v>
      </c>
      <c r="AB1069" s="4">
        <v>48.75</v>
      </c>
      <c r="AC1069" s="4"/>
      <c r="AD1069" s="4"/>
      <c r="AE1069" s="4">
        <v>3</v>
      </c>
      <c r="AF1069" s="4">
        <v>16.86</v>
      </c>
      <c r="AG1069" s="4"/>
      <c r="AH1069" s="4" t="s">
        <v>4511</v>
      </c>
      <c r="AI1069" s="4">
        <v>8</v>
      </c>
      <c r="AJ1069" s="4"/>
      <c r="AK1069" s="4"/>
      <c r="AL1069" s="4">
        <v>72.700599999999994</v>
      </c>
      <c r="AM1069" s="4"/>
      <c r="AN1069" s="4"/>
      <c r="AO1069" s="4"/>
      <c r="AP1069" s="4"/>
      <c r="AQ1069" s="4"/>
      <c r="AR1069" s="4"/>
      <c r="AS1069" s="4"/>
      <c r="AT1069" s="4"/>
    </row>
    <row r="1070" spans="1:46">
      <c r="A1070" s="4" t="s">
        <v>4512</v>
      </c>
      <c r="B1070" s="4"/>
      <c r="C1070" s="4" t="s">
        <v>4512</v>
      </c>
      <c r="D1070" s="4" t="s">
        <v>4512</v>
      </c>
      <c r="E1070" s="4" t="s">
        <v>4308</v>
      </c>
      <c r="F1070" s="4" t="s">
        <v>4500</v>
      </c>
      <c r="G1070" s="4" t="s">
        <v>456</v>
      </c>
      <c r="H1070" s="4" t="s">
        <v>4501</v>
      </c>
      <c r="I1070" s="4">
        <v>30</v>
      </c>
      <c r="J1070" s="4">
        <v>0.2</v>
      </c>
      <c r="K1070" s="4" t="s">
        <v>1688</v>
      </c>
      <c r="L1070" s="4" t="s">
        <v>52</v>
      </c>
      <c r="M1070" s="4">
        <v>5</v>
      </c>
      <c r="N1070" s="4">
        <v>48.6</v>
      </c>
      <c r="O1070" s="4">
        <v>71.361000000000004</v>
      </c>
      <c r="P1070" s="4">
        <v>-159.69300000000001</v>
      </c>
      <c r="Q1070" s="4">
        <v>4.8499999999999996</v>
      </c>
      <c r="R1070" s="4">
        <v>28.08</v>
      </c>
      <c r="S1070" s="4">
        <v>319.35000000000002</v>
      </c>
      <c r="T1070" s="4"/>
      <c r="U1070" s="4"/>
      <c r="V1070" s="4"/>
      <c r="W1070" s="4">
        <v>0.38400000000000001</v>
      </c>
      <c r="X1070" s="4">
        <v>12</v>
      </c>
      <c r="Y1070" s="4">
        <v>0.309</v>
      </c>
      <c r="Z1070" s="4"/>
      <c r="AA1070" s="4">
        <v>0.23</v>
      </c>
      <c r="AB1070" s="4">
        <v>3.56</v>
      </c>
      <c r="AC1070" s="4"/>
      <c r="AD1070" s="4"/>
      <c r="AE1070" s="4">
        <v>0.38</v>
      </c>
      <c r="AF1070" s="4">
        <v>0.63</v>
      </c>
      <c r="AG1070" s="4"/>
      <c r="AH1070" s="4" t="s">
        <v>4513</v>
      </c>
      <c r="AI1070" s="4">
        <v>12</v>
      </c>
      <c r="AJ1070" s="4"/>
      <c r="AK1070" s="4"/>
      <c r="AL1070" s="4">
        <v>93.874899999999997</v>
      </c>
      <c r="AM1070" s="4"/>
      <c r="AN1070" s="4"/>
      <c r="AO1070" s="4"/>
      <c r="AP1070" s="4"/>
      <c r="AQ1070" s="4">
        <v>-1.4538047199999999</v>
      </c>
      <c r="AR1070" s="4"/>
      <c r="AS1070" s="4"/>
      <c r="AT1070" s="4"/>
    </row>
    <row r="1071" spans="1:46">
      <c r="A1071" s="4" t="s">
        <v>4514</v>
      </c>
      <c r="B1071" s="4"/>
      <c r="C1071" s="4" t="s">
        <v>4514</v>
      </c>
      <c r="D1071" s="4" t="s">
        <v>4514</v>
      </c>
      <c r="E1071" s="4" t="s">
        <v>4308</v>
      </c>
      <c r="F1071" s="4" t="s">
        <v>4515</v>
      </c>
      <c r="G1071" s="4" t="s">
        <v>456</v>
      </c>
      <c r="H1071" s="4" t="s">
        <v>4516</v>
      </c>
      <c r="I1071" s="4">
        <v>31</v>
      </c>
      <c r="J1071" s="4">
        <v>0.2</v>
      </c>
      <c r="K1071" s="4" t="s">
        <v>1488</v>
      </c>
      <c r="L1071" s="4" t="s">
        <v>65</v>
      </c>
      <c r="M1071" s="4">
        <v>31</v>
      </c>
      <c r="N1071" s="4">
        <v>46.4</v>
      </c>
      <c r="O1071" s="4">
        <v>71.323999999999998</v>
      </c>
      <c r="P1071" s="4">
        <v>-160.65600000000001</v>
      </c>
      <c r="Q1071" s="4">
        <v>-1.61</v>
      </c>
      <c r="R1071" s="4">
        <v>32.409999999999997</v>
      </c>
      <c r="S1071" s="4">
        <v>258.87900000000002</v>
      </c>
      <c r="T1071" s="4"/>
      <c r="U1071" s="4"/>
      <c r="V1071" s="4"/>
      <c r="W1071" s="4">
        <v>4.4580000000000002</v>
      </c>
      <c r="X1071" s="4">
        <v>2</v>
      </c>
      <c r="Y1071" s="4">
        <v>2.1640000000000001</v>
      </c>
      <c r="Z1071" s="4"/>
      <c r="AA1071" s="4">
        <v>1.74</v>
      </c>
      <c r="AB1071" s="4">
        <v>27.4</v>
      </c>
      <c r="AC1071" s="4"/>
      <c r="AD1071" s="4"/>
      <c r="AE1071" s="4">
        <v>0.83</v>
      </c>
      <c r="AF1071" s="4">
        <v>12.07</v>
      </c>
      <c r="AG1071" s="4"/>
      <c r="AH1071" s="4" t="s">
        <v>4517</v>
      </c>
      <c r="AI1071" s="4">
        <v>2</v>
      </c>
      <c r="AJ1071" s="4"/>
      <c r="AK1071" s="4"/>
      <c r="AL1071" s="4">
        <v>81.864500000000007</v>
      </c>
      <c r="AM1071" s="4"/>
      <c r="AN1071" s="4"/>
      <c r="AO1071" s="4"/>
      <c r="AP1071" s="4"/>
      <c r="AQ1071" s="4"/>
      <c r="AR1071" s="4"/>
      <c r="AS1071" s="4"/>
      <c r="AT1071" s="4"/>
    </row>
    <row r="1072" spans="1:46">
      <c r="A1072" s="4" t="s">
        <v>4518</v>
      </c>
      <c r="B1072" s="4"/>
      <c r="C1072" s="4" t="s">
        <v>4518</v>
      </c>
      <c r="D1072" s="4" t="s">
        <v>4518</v>
      </c>
      <c r="E1072" s="4" t="s">
        <v>4308</v>
      </c>
      <c r="F1072" s="4" t="s">
        <v>4515</v>
      </c>
      <c r="G1072" s="4" t="s">
        <v>456</v>
      </c>
      <c r="H1072" s="4" t="s">
        <v>4516</v>
      </c>
      <c r="I1072" s="4">
        <v>31</v>
      </c>
      <c r="J1072" s="4">
        <v>0.2</v>
      </c>
      <c r="K1072" s="4" t="s">
        <v>1688</v>
      </c>
      <c r="L1072" s="4" t="s">
        <v>52</v>
      </c>
      <c r="M1072" s="4">
        <v>5</v>
      </c>
      <c r="N1072" s="4">
        <v>46.4</v>
      </c>
      <c r="O1072" s="4">
        <v>71.323999999999998</v>
      </c>
      <c r="P1072" s="4">
        <v>-160.65600000000001</v>
      </c>
      <c r="Q1072" s="4">
        <v>4.62</v>
      </c>
      <c r="R1072" s="4">
        <v>28.26</v>
      </c>
      <c r="S1072" s="4">
        <v>330.46100000000001</v>
      </c>
      <c r="T1072" s="4"/>
      <c r="U1072" s="4"/>
      <c r="V1072" s="4"/>
      <c r="W1072" s="4">
        <v>0.27400000000000002</v>
      </c>
      <c r="X1072" s="4">
        <v>5</v>
      </c>
      <c r="Y1072" s="4">
        <v>0.255</v>
      </c>
      <c r="Z1072" s="4"/>
      <c r="AA1072" s="4">
        <v>1.1200000000000001</v>
      </c>
      <c r="AB1072" s="4">
        <v>3.91</v>
      </c>
      <c r="AC1072" s="4"/>
      <c r="AD1072" s="4"/>
      <c r="AE1072" s="4">
        <v>0.34</v>
      </c>
      <c r="AF1072" s="4">
        <v>0.06</v>
      </c>
      <c r="AG1072" s="4"/>
      <c r="AH1072" s="4" t="s">
        <v>4519</v>
      </c>
      <c r="AI1072" s="4">
        <v>5</v>
      </c>
      <c r="AJ1072" s="4"/>
      <c r="AK1072" s="4"/>
      <c r="AL1072" s="4">
        <v>95.463899999999995</v>
      </c>
      <c r="AM1072" s="4"/>
      <c r="AN1072" s="4"/>
      <c r="AO1072" s="4"/>
      <c r="AP1072" s="4"/>
      <c r="AQ1072" s="4">
        <v>-1.366892116</v>
      </c>
      <c r="AR1072" s="4"/>
      <c r="AS1072" s="4"/>
      <c r="AT1072" s="4"/>
    </row>
    <row r="1073" spans="1:46">
      <c r="A1073" s="4" t="s">
        <v>4520</v>
      </c>
      <c r="B1073" s="4"/>
      <c r="C1073" s="4" t="s">
        <v>4520</v>
      </c>
      <c r="D1073" s="4" t="s">
        <v>4520</v>
      </c>
      <c r="E1073" s="4" t="s">
        <v>4308</v>
      </c>
      <c r="F1073" s="4" t="s">
        <v>4515</v>
      </c>
      <c r="G1073" s="4" t="s">
        <v>456</v>
      </c>
      <c r="H1073" s="4" t="s">
        <v>4516</v>
      </c>
      <c r="I1073" s="4">
        <v>31</v>
      </c>
      <c r="J1073" s="4">
        <v>0.2</v>
      </c>
      <c r="K1073" s="4" t="s">
        <v>150</v>
      </c>
      <c r="L1073" s="4" t="s">
        <v>78</v>
      </c>
      <c r="M1073" s="4">
        <v>45</v>
      </c>
      <c r="N1073" s="4">
        <v>46.4</v>
      </c>
      <c r="O1073" s="4">
        <v>71.323999999999998</v>
      </c>
      <c r="P1073" s="4">
        <v>-160.65600000000001</v>
      </c>
      <c r="Q1073" s="4">
        <v>-1.64</v>
      </c>
      <c r="R1073" s="4">
        <v>32.46</v>
      </c>
      <c r="S1073" s="4">
        <v>213.00899999999999</v>
      </c>
      <c r="T1073" s="4"/>
      <c r="U1073" s="4"/>
      <c r="V1073" s="4"/>
      <c r="W1073" s="4">
        <v>0.44</v>
      </c>
      <c r="X1073" s="4">
        <v>1</v>
      </c>
      <c r="Y1073" s="4">
        <v>0.67600000000000005</v>
      </c>
      <c r="Z1073" s="4"/>
      <c r="AA1073" s="4">
        <v>2.29</v>
      </c>
      <c r="AB1073" s="4">
        <v>45.55</v>
      </c>
      <c r="AC1073" s="4"/>
      <c r="AD1073" s="4"/>
      <c r="AE1073" s="4">
        <v>3.41</v>
      </c>
      <c r="AF1073" s="4">
        <v>15.79</v>
      </c>
      <c r="AG1073" s="4"/>
      <c r="AH1073" s="4" t="s">
        <v>4521</v>
      </c>
      <c r="AI1073" s="4">
        <v>1</v>
      </c>
      <c r="AJ1073" s="4"/>
      <c r="AK1073" s="4"/>
      <c r="AL1073" s="4">
        <v>75.369699999999995</v>
      </c>
      <c r="AM1073" s="4"/>
      <c r="AN1073" s="4"/>
      <c r="AO1073" s="4"/>
      <c r="AP1073" s="4"/>
      <c r="AQ1073" s="4">
        <v>-1.1008641189999999</v>
      </c>
      <c r="AR1073" s="4"/>
      <c r="AS1073" s="4"/>
      <c r="AT1073" s="4"/>
    </row>
    <row r="1074" spans="1:46">
      <c r="A1074" s="4" t="s">
        <v>4522</v>
      </c>
      <c r="B1074" s="4"/>
      <c r="C1074" s="4" t="s">
        <v>4522</v>
      </c>
      <c r="D1074" s="4" t="s">
        <v>4522</v>
      </c>
      <c r="E1074" s="4" t="s">
        <v>4308</v>
      </c>
      <c r="F1074" s="4" t="s">
        <v>4523</v>
      </c>
      <c r="G1074" s="4" t="s">
        <v>456</v>
      </c>
      <c r="H1074" s="4" t="s">
        <v>4524</v>
      </c>
      <c r="I1074" s="4">
        <v>32</v>
      </c>
      <c r="J1074" s="4">
        <v>0.2</v>
      </c>
      <c r="K1074" s="4" t="s">
        <v>1488</v>
      </c>
      <c r="L1074" s="4" t="s">
        <v>65</v>
      </c>
      <c r="M1074" s="4">
        <v>28</v>
      </c>
      <c r="N1074" s="4">
        <v>45.4</v>
      </c>
      <c r="O1074" s="4">
        <v>71.454999999999998</v>
      </c>
      <c r="P1074" s="4">
        <v>-161.03800000000001</v>
      </c>
      <c r="Q1074" s="4">
        <v>-1.43</v>
      </c>
      <c r="R1074" s="4">
        <v>32.270000000000003</v>
      </c>
      <c r="S1074" s="4">
        <v>408.61200000000002</v>
      </c>
      <c r="T1074" s="4"/>
      <c r="U1074" s="4"/>
      <c r="V1074" s="4"/>
      <c r="W1074" s="4">
        <v>2.569</v>
      </c>
      <c r="X1074" s="4">
        <v>3</v>
      </c>
      <c r="Y1074" s="4">
        <v>7.08</v>
      </c>
      <c r="Z1074" s="4"/>
      <c r="AA1074" s="4">
        <v>1.91</v>
      </c>
      <c r="AB1074" s="4">
        <v>35.229999999999997</v>
      </c>
      <c r="AC1074" s="4"/>
      <c r="AD1074" s="4"/>
      <c r="AE1074" s="4">
        <v>3.25</v>
      </c>
      <c r="AF1074" s="4">
        <v>12.5</v>
      </c>
      <c r="AG1074" s="4"/>
      <c r="AH1074" s="4" t="s">
        <v>4525</v>
      </c>
      <c r="AI1074" s="4">
        <v>3</v>
      </c>
      <c r="AJ1074" s="4"/>
      <c r="AK1074" s="4"/>
      <c r="AL1074" s="4">
        <v>90.559100000000001</v>
      </c>
      <c r="AM1074" s="4"/>
      <c r="AN1074" s="4"/>
      <c r="AO1074" s="4"/>
      <c r="AP1074" s="4"/>
      <c r="AQ1074" s="4"/>
      <c r="AR1074" s="4"/>
      <c r="AS1074" s="4"/>
      <c r="AT1074" s="4"/>
    </row>
    <row r="1075" spans="1:46">
      <c r="A1075" s="4" t="s">
        <v>4526</v>
      </c>
      <c r="B1075" s="4"/>
      <c r="C1075" s="4" t="s">
        <v>4526</v>
      </c>
      <c r="D1075" s="4" t="s">
        <v>4526</v>
      </c>
      <c r="E1075" s="4" t="s">
        <v>4308</v>
      </c>
      <c r="F1075" s="4" t="s">
        <v>4523</v>
      </c>
      <c r="G1075" s="4" t="s">
        <v>456</v>
      </c>
      <c r="H1075" s="4" t="s">
        <v>4524</v>
      </c>
      <c r="I1075" s="4">
        <v>32</v>
      </c>
      <c r="J1075" s="4">
        <v>0.2</v>
      </c>
      <c r="K1075" s="4" t="s">
        <v>150</v>
      </c>
      <c r="L1075" s="4" t="s">
        <v>78</v>
      </c>
      <c r="M1075" s="4">
        <v>43</v>
      </c>
      <c r="N1075" s="4">
        <v>45.4</v>
      </c>
      <c r="O1075" s="4">
        <v>71.454999999999998</v>
      </c>
      <c r="P1075" s="4">
        <v>-161.03800000000001</v>
      </c>
      <c r="Q1075" s="4">
        <v>-1.63</v>
      </c>
      <c r="R1075" s="4">
        <v>32.450000000000003</v>
      </c>
      <c r="S1075" s="4">
        <v>192.52600000000001</v>
      </c>
      <c r="T1075" s="4"/>
      <c r="U1075" s="4"/>
      <c r="V1075" s="4"/>
      <c r="W1075" s="4">
        <v>0.54600000000000004</v>
      </c>
      <c r="X1075" s="4">
        <v>1</v>
      </c>
      <c r="Y1075" s="4">
        <v>1.1040000000000001</v>
      </c>
      <c r="Z1075" s="4"/>
      <c r="AA1075" s="4">
        <v>2.06</v>
      </c>
      <c r="AB1075" s="4">
        <v>45.91</v>
      </c>
      <c r="AC1075" s="4"/>
      <c r="AD1075" s="4"/>
      <c r="AE1075" s="4">
        <v>6.16</v>
      </c>
      <c r="AF1075" s="4">
        <v>15.36</v>
      </c>
      <c r="AG1075" s="4"/>
      <c r="AH1075" s="4" t="s">
        <v>4527</v>
      </c>
      <c r="AI1075" s="4">
        <v>1</v>
      </c>
      <c r="AJ1075" s="4"/>
      <c r="AK1075" s="4"/>
      <c r="AL1075" s="4">
        <v>67.467100000000002</v>
      </c>
      <c r="AM1075" s="4"/>
      <c r="AN1075" s="4"/>
      <c r="AO1075" s="4"/>
      <c r="AP1075" s="4"/>
      <c r="AQ1075" s="4">
        <v>-1.081546415</v>
      </c>
      <c r="AR1075" s="4"/>
      <c r="AS1075" s="4"/>
      <c r="AT1075" s="4"/>
    </row>
    <row r="1076" spans="1:46">
      <c r="A1076" s="4" t="s">
        <v>4528</v>
      </c>
      <c r="B1076" s="4"/>
      <c r="C1076" s="4" t="s">
        <v>4528</v>
      </c>
      <c r="D1076" s="4" t="s">
        <v>4528</v>
      </c>
      <c r="E1076" s="4" t="s">
        <v>4308</v>
      </c>
      <c r="F1076" s="4" t="s">
        <v>4523</v>
      </c>
      <c r="G1076" s="4" t="s">
        <v>456</v>
      </c>
      <c r="H1076" s="4" t="s">
        <v>4524</v>
      </c>
      <c r="I1076" s="4">
        <v>32</v>
      </c>
      <c r="J1076" s="4">
        <v>0.2</v>
      </c>
      <c r="K1076" s="4" t="s">
        <v>1688</v>
      </c>
      <c r="L1076" s="4" t="s">
        <v>52</v>
      </c>
      <c r="M1076" s="4">
        <v>5</v>
      </c>
      <c r="N1076" s="4">
        <v>45.4</v>
      </c>
      <c r="O1076" s="4">
        <v>71.454999999999998</v>
      </c>
      <c r="P1076" s="4">
        <v>-161.03800000000001</v>
      </c>
      <c r="Q1076" s="4">
        <v>4.55</v>
      </c>
      <c r="R1076" s="4">
        <v>28.88</v>
      </c>
      <c r="S1076" s="4">
        <v>328.17700000000002</v>
      </c>
      <c r="T1076" s="4"/>
      <c r="U1076" s="4"/>
      <c r="V1076" s="4"/>
      <c r="W1076" s="4">
        <v>0.311</v>
      </c>
      <c r="X1076" s="4">
        <v>6</v>
      </c>
      <c r="Y1076" s="4">
        <v>0.25</v>
      </c>
      <c r="Z1076" s="4"/>
      <c r="AA1076" s="4">
        <v>0.19</v>
      </c>
      <c r="AB1076" s="4">
        <v>4.45</v>
      </c>
      <c r="AC1076" s="4"/>
      <c r="AD1076" s="4"/>
      <c r="AE1076" s="4">
        <v>0.26</v>
      </c>
      <c r="AF1076" s="4">
        <v>0.25</v>
      </c>
      <c r="AG1076" s="4"/>
      <c r="AH1076" s="4" t="s">
        <v>4529</v>
      </c>
      <c r="AI1076" s="4">
        <v>6</v>
      </c>
      <c r="AJ1076" s="4"/>
      <c r="AK1076" s="4"/>
      <c r="AL1076" s="4">
        <v>95.284199999999998</v>
      </c>
      <c r="AM1076" s="4"/>
      <c r="AN1076" s="4"/>
      <c r="AO1076" s="4"/>
      <c r="AP1076" s="4"/>
      <c r="AQ1076" s="4">
        <v>-1.425391313</v>
      </c>
      <c r="AR1076" s="4"/>
      <c r="AS1076" s="4"/>
      <c r="AT1076" s="4"/>
    </row>
    <row r="1077" spans="1:46">
      <c r="A1077" s="4" t="s">
        <v>4530</v>
      </c>
      <c r="B1077" s="4"/>
      <c r="C1077" s="4" t="s">
        <v>4530</v>
      </c>
      <c r="D1077" s="4" t="s">
        <v>4530</v>
      </c>
      <c r="E1077" s="4" t="s">
        <v>4308</v>
      </c>
      <c r="F1077" s="4" t="s">
        <v>4531</v>
      </c>
      <c r="G1077" s="4" t="s">
        <v>456</v>
      </c>
      <c r="H1077" s="4" t="s">
        <v>4532</v>
      </c>
      <c r="I1077" s="4">
        <v>33</v>
      </c>
      <c r="J1077" s="4">
        <v>0.2</v>
      </c>
      <c r="K1077" s="4" t="s">
        <v>1488</v>
      </c>
      <c r="L1077" s="4" t="s">
        <v>65</v>
      </c>
      <c r="M1077" s="4">
        <v>31</v>
      </c>
      <c r="N1077" s="4">
        <v>45.1</v>
      </c>
      <c r="O1077" s="4">
        <v>71.587999999999994</v>
      </c>
      <c r="P1077" s="4">
        <v>-161.40100000000001</v>
      </c>
      <c r="Q1077" s="4">
        <v>-1.43</v>
      </c>
      <c r="R1077" s="4">
        <v>32.19</v>
      </c>
      <c r="S1077" s="4">
        <v>360.10199999999998</v>
      </c>
      <c r="T1077" s="4"/>
      <c r="U1077" s="4"/>
      <c r="V1077" s="4"/>
      <c r="W1077" s="4">
        <v>38.301000000000002</v>
      </c>
      <c r="X1077" s="4">
        <v>2</v>
      </c>
      <c r="Y1077" s="4">
        <v>37.840000000000003</v>
      </c>
      <c r="Z1077" s="4"/>
      <c r="AA1077" s="4">
        <v>0.63</v>
      </c>
      <c r="AB1077" s="4">
        <v>11.39</v>
      </c>
      <c r="AC1077" s="4"/>
      <c r="AD1077" s="4"/>
      <c r="AE1077" s="4">
        <v>0.26</v>
      </c>
      <c r="AF1077" s="4">
        <v>0.42</v>
      </c>
      <c r="AG1077" s="4"/>
      <c r="AH1077" s="4" t="s">
        <v>4533</v>
      </c>
      <c r="AI1077" s="4">
        <v>2</v>
      </c>
      <c r="AJ1077" s="4"/>
      <c r="AK1077" s="4"/>
      <c r="AL1077" s="4">
        <v>38.770299999999999</v>
      </c>
      <c r="AM1077" s="4"/>
      <c r="AN1077" s="4"/>
      <c r="AO1077" s="4"/>
      <c r="AP1077" s="4"/>
      <c r="AQ1077" s="4"/>
      <c r="AR1077" s="4"/>
      <c r="AS1077" s="4"/>
      <c r="AT1077" s="4"/>
    </row>
    <row r="1078" spans="1:46">
      <c r="A1078" s="4" t="s">
        <v>4534</v>
      </c>
      <c r="B1078" s="4"/>
      <c r="C1078" s="4" t="s">
        <v>4534</v>
      </c>
      <c r="D1078" s="4" t="s">
        <v>4534</v>
      </c>
      <c r="E1078" s="4" t="s">
        <v>4308</v>
      </c>
      <c r="F1078" s="4" t="s">
        <v>4531</v>
      </c>
      <c r="G1078" s="4" t="s">
        <v>456</v>
      </c>
      <c r="H1078" s="4" t="s">
        <v>4532</v>
      </c>
      <c r="I1078" s="4">
        <v>33</v>
      </c>
      <c r="J1078" s="4">
        <v>0.2</v>
      </c>
      <c r="K1078" s="4" t="s">
        <v>150</v>
      </c>
      <c r="L1078" s="4" t="s">
        <v>78</v>
      </c>
      <c r="M1078" s="4">
        <v>43</v>
      </c>
      <c r="N1078" s="4">
        <v>45.1</v>
      </c>
      <c r="O1078" s="4">
        <v>71.587999999999994</v>
      </c>
      <c r="P1078" s="4">
        <v>-161.40100000000001</v>
      </c>
      <c r="Q1078" s="4">
        <v>-1.57</v>
      </c>
      <c r="R1078" s="4">
        <v>32.33</v>
      </c>
      <c r="S1078" s="4">
        <v>240.90299999999999</v>
      </c>
      <c r="T1078" s="4"/>
      <c r="U1078" s="4"/>
      <c r="V1078" s="4"/>
      <c r="W1078" s="4">
        <v>0.745</v>
      </c>
      <c r="X1078" s="4">
        <v>1</v>
      </c>
      <c r="Y1078" s="4">
        <v>1.552</v>
      </c>
      <c r="Z1078" s="4"/>
      <c r="AA1078" s="4">
        <v>1.92</v>
      </c>
      <c r="AB1078" s="4">
        <v>39.5</v>
      </c>
      <c r="AC1078" s="4"/>
      <c r="AD1078" s="4"/>
      <c r="AE1078" s="4">
        <v>4.43</v>
      </c>
      <c r="AF1078" s="4">
        <v>12.14</v>
      </c>
      <c r="AG1078" s="4"/>
      <c r="AH1078" s="4" t="s">
        <v>4535</v>
      </c>
      <c r="AI1078" s="4">
        <v>1</v>
      </c>
      <c r="AJ1078" s="4"/>
      <c r="AK1078" s="4"/>
      <c r="AL1078" s="4">
        <v>57.009799999999998</v>
      </c>
      <c r="AM1078" s="4"/>
      <c r="AN1078" s="4"/>
      <c r="AO1078" s="4"/>
      <c r="AP1078" s="4"/>
      <c r="AQ1078" s="4">
        <v>-1.01987268</v>
      </c>
      <c r="AR1078" s="4"/>
      <c r="AS1078" s="4"/>
      <c r="AT1078" s="4"/>
    </row>
    <row r="1079" spans="1:46">
      <c r="A1079" s="4" t="s">
        <v>4536</v>
      </c>
      <c r="B1079" s="4"/>
      <c r="C1079" s="4" t="s">
        <v>4536</v>
      </c>
      <c r="D1079" s="4" t="s">
        <v>4536</v>
      </c>
      <c r="E1079" s="4" t="s">
        <v>4308</v>
      </c>
      <c r="F1079" s="4" t="s">
        <v>4531</v>
      </c>
      <c r="G1079" s="4" t="s">
        <v>456</v>
      </c>
      <c r="H1079" s="4" t="s">
        <v>4532</v>
      </c>
      <c r="I1079" s="4">
        <v>33</v>
      </c>
      <c r="J1079" s="4">
        <v>0.2</v>
      </c>
      <c r="K1079" s="4" t="s">
        <v>1688</v>
      </c>
      <c r="L1079" s="4" t="s">
        <v>52</v>
      </c>
      <c r="M1079" s="4">
        <v>5</v>
      </c>
      <c r="N1079" s="4">
        <v>45.1</v>
      </c>
      <c r="O1079" s="4">
        <v>71.587999999999994</v>
      </c>
      <c r="P1079" s="4">
        <v>-161.40100000000001</v>
      </c>
      <c r="Q1079" s="4">
        <v>4.63</v>
      </c>
      <c r="R1079" s="4">
        <v>27.9</v>
      </c>
      <c r="S1079" s="4">
        <v>325.38900000000001</v>
      </c>
      <c r="T1079" s="4"/>
      <c r="U1079" s="4"/>
      <c r="V1079" s="4"/>
      <c r="W1079" s="4">
        <v>0.33100000000000002</v>
      </c>
      <c r="X1079" s="4">
        <v>5</v>
      </c>
      <c r="Y1079" s="4">
        <v>0.34799999999999998</v>
      </c>
      <c r="Z1079" s="4"/>
      <c r="AA1079" s="4">
        <v>0.18</v>
      </c>
      <c r="AB1079" s="4">
        <v>3.56</v>
      </c>
      <c r="AC1079" s="4"/>
      <c r="AD1079" s="4"/>
      <c r="AE1079" s="4">
        <v>0.78</v>
      </c>
      <c r="AF1079" s="4">
        <v>0.64</v>
      </c>
      <c r="AG1079" s="4"/>
      <c r="AH1079" s="4" t="s">
        <v>4537</v>
      </c>
      <c r="AI1079" s="4">
        <v>5</v>
      </c>
      <c r="AJ1079" s="4"/>
      <c r="AK1079" s="4"/>
      <c r="AL1079" s="4">
        <v>94.701899999999995</v>
      </c>
      <c r="AM1079" s="4"/>
      <c r="AN1079" s="4"/>
      <c r="AO1079" s="4"/>
      <c r="AP1079" s="4"/>
      <c r="AQ1079" s="4">
        <v>-1.34259686</v>
      </c>
      <c r="AR1079" s="4"/>
      <c r="AS1079" s="4"/>
      <c r="AT1079" s="4"/>
    </row>
    <row r="1080" spans="1:46">
      <c r="A1080" s="4" t="s">
        <v>4538</v>
      </c>
      <c r="B1080" s="4"/>
      <c r="C1080" s="4" t="s">
        <v>4538</v>
      </c>
      <c r="D1080" s="4" t="s">
        <v>4538</v>
      </c>
      <c r="E1080" s="4" t="s">
        <v>4308</v>
      </c>
      <c r="F1080" s="4" t="s">
        <v>4539</v>
      </c>
      <c r="G1080" s="4" t="s">
        <v>456</v>
      </c>
      <c r="H1080" s="4" t="s">
        <v>4540</v>
      </c>
      <c r="I1080" s="4">
        <v>37</v>
      </c>
      <c r="J1080" s="4">
        <v>0.2</v>
      </c>
      <c r="K1080" s="4" t="s">
        <v>150</v>
      </c>
      <c r="L1080" s="4" t="s">
        <v>78</v>
      </c>
      <c r="M1080" s="4">
        <v>28</v>
      </c>
      <c r="N1080" s="4">
        <v>30.2</v>
      </c>
      <c r="O1080" s="4">
        <v>71.98</v>
      </c>
      <c r="P1080" s="4">
        <v>-162.541</v>
      </c>
      <c r="Q1080" s="4">
        <v>-1.21</v>
      </c>
      <c r="R1080" s="4">
        <v>32.06</v>
      </c>
      <c r="S1080" s="4">
        <v>358.36200000000002</v>
      </c>
      <c r="T1080" s="4"/>
      <c r="U1080" s="4"/>
      <c r="V1080" s="4"/>
      <c r="W1080" s="4">
        <v>9.5399999999999991</v>
      </c>
      <c r="X1080" s="4">
        <v>1</v>
      </c>
      <c r="Y1080" s="4">
        <v>14.64</v>
      </c>
      <c r="Z1080" s="4"/>
      <c r="AA1080" s="4">
        <v>0.93</v>
      </c>
      <c r="AB1080" s="4">
        <v>18.510000000000002</v>
      </c>
      <c r="AC1080" s="4"/>
      <c r="AD1080" s="4"/>
      <c r="AE1080" s="4">
        <v>4.6900000000000004</v>
      </c>
      <c r="AF1080" s="4">
        <v>3.41</v>
      </c>
      <c r="AG1080" s="4"/>
      <c r="AH1080" s="4" t="s">
        <v>4541</v>
      </c>
      <c r="AI1080" s="4">
        <v>1</v>
      </c>
      <c r="AJ1080" s="4"/>
      <c r="AK1080" s="4"/>
      <c r="AL1080" s="4">
        <v>58.321199999999997</v>
      </c>
      <c r="AM1080" s="4"/>
      <c r="AN1080" s="4"/>
      <c r="AO1080" s="4"/>
      <c r="AP1080" s="4"/>
      <c r="AQ1080" s="4">
        <v>-1.5235371550000001</v>
      </c>
      <c r="AR1080" s="4"/>
      <c r="AS1080" s="4"/>
      <c r="AT1080" s="4"/>
    </row>
    <row r="1081" spans="1:46">
      <c r="A1081" s="4" t="s">
        <v>4542</v>
      </c>
      <c r="B1081" s="4"/>
      <c r="C1081" s="4" t="s">
        <v>4542</v>
      </c>
      <c r="D1081" s="4" t="s">
        <v>4542</v>
      </c>
      <c r="E1081" s="4" t="s">
        <v>4308</v>
      </c>
      <c r="F1081" s="4" t="s">
        <v>4539</v>
      </c>
      <c r="G1081" s="4" t="s">
        <v>456</v>
      </c>
      <c r="H1081" s="4" t="s">
        <v>4540</v>
      </c>
      <c r="I1081" s="4">
        <v>37</v>
      </c>
      <c r="J1081" s="4">
        <v>0.2</v>
      </c>
      <c r="K1081" s="4" t="s">
        <v>1688</v>
      </c>
      <c r="L1081" s="4" t="s">
        <v>52</v>
      </c>
      <c r="M1081" s="4">
        <v>5</v>
      </c>
      <c r="N1081" s="4">
        <v>30.2</v>
      </c>
      <c r="O1081" s="4">
        <v>71.98</v>
      </c>
      <c r="P1081" s="4">
        <v>-162.541</v>
      </c>
      <c r="Q1081" s="4">
        <v>4.37</v>
      </c>
      <c r="R1081" s="4">
        <v>27.29</v>
      </c>
      <c r="S1081" s="4">
        <v>325.73899999999998</v>
      </c>
      <c r="T1081" s="4"/>
      <c r="U1081" s="4"/>
      <c r="V1081" s="4"/>
      <c r="W1081" s="4">
        <v>0.57799999999999996</v>
      </c>
      <c r="X1081" s="4">
        <v>4</v>
      </c>
      <c r="Y1081" s="4">
        <v>0.28199999999999997</v>
      </c>
      <c r="Z1081" s="4"/>
      <c r="AA1081" s="4">
        <v>0.13</v>
      </c>
      <c r="AB1081" s="4">
        <v>1.78</v>
      </c>
      <c r="AC1081" s="4"/>
      <c r="AD1081" s="4"/>
      <c r="AE1081" s="4">
        <v>0.3</v>
      </c>
      <c r="AF1081" s="4">
        <v>0.2</v>
      </c>
      <c r="AG1081" s="4"/>
      <c r="AH1081" s="4" t="s">
        <v>4543</v>
      </c>
      <c r="AI1081" s="4">
        <v>4</v>
      </c>
      <c r="AJ1081" s="4"/>
      <c r="AK1081" s="4"/>
      <c r="AL1081" s="4">
        <v>92.598200000000006</v>
      </c>
      <c r="AM1081" s="4"/>
      <c r="AN1081" s="4"/>
      <c r="AO1081" s="4"/>
      <c r="AP1081" s="4"/>
      <c r="AQ1081" s="4">
        <v>-1.66</v>
      </c>
      <c r="AR1081" s="4"/>
      <c r="AS1081" s="4"/>
      <c r="AT1081" s="4"/>
    </row>
    <row r="1082" spans="1:46">
      <c r="A1082" s="4" t="s">
        <v>4544</v>
      </c>
      <c r="B1082" s="4"/>
      <c r="C1082" s="4" t="s">
        <v>4544</v>
      </c>
      <c r="D1082" s="4" t="s">
        <v>4544</v>
      </c>
      <c r="E1082" s="4" t="s">
        <v>4308</v>
      </c>
      <c r="F1082" s="4" t="s">
        <v>4545</v>
      </c>
      <c r="G1082" s="4" t="s">
        <v>456</v>
      </c>
      <c r="H1082" s="4" t="s">
        <v>4546</v>
      </c>
      <c r="I1082" s="4">
        <v>38</v>
      </c>
      <c r="J1082" s="4">
        <v>0.2</v>
      </c>
      <c r="K1082" s="4" t="s">
        <v>4547</v>
      </c>
      <c r="L1082" s="4" t="s">
        <v>65</v>
      </c>
      <c r="M1082" s="4">
        <v>15</v>
      </c>
      <c r="N1082" s="4">
        <v>37.4</v>
      </c>
      <c r="O1082" s="4">
        <v>72.108999999999995</v>
      </c>
      <c r="P1082" s="4">
        <v>-162.92400000000001</v>
      </c>
      <c r="Q1082" s="4">
        <v>5.77</v>
      </c>
      <c r="R1082" s="4">
        <v>31.34</v>
      </c>
      <c r="S1082" s="4">
        <v>305.51799999999997</v>
      </c>
      <c r="T1082" s="4"/>
      <c r="U1082" s="4"/>
      <c r="V1082" s="4"/>
      <c r="W1082" s="4">
        <v>0.36499999999999999</v>
      </c>
      <c r="X1082" s="4">
        <v>4</v>
      </c>
      <c r="Y1082" s="4">
        <v>0.29099999999999998</v>
      </c>
      <c r="Z1082" s="4"/>
      <c r="AA1082" s="4">
        <v>0.4</v>
      </c>
      <c r="AB1082" s="4">
        <v>3.91</v>
      </c>
      <c r="AC1082" s="4"/>
      <c r="AD1082" s="4"/>
      <c r="AE1082" s="4">
        <v>0.28000000000000003</v>
      </c>
      <c r="AF1082" s="4">
        <v>0.19</v>
      </c>
      <c r="AG1082" s="4"/>
      <c r="AH1082" s="4" t="s">
        <v>4548</v>
      </c>
      <c r="AI1082" s="4">
        <v>4</v>
      </c>
      <c r="AJ1082" s="4"/>
      <c r="AK1082" s="4"/>
      <c r="AL1082" s="4">
        <v>94.316100000000006</v>
      </c>
      <c r="AM1082" s="4"/>
      <c r="AN1082" s="4"/>
      <c r="AO1082" s="4"/>
      <c r="AP1082" s="4"/>
      <c r="AQ1082" s="4"/>
      <c r="AR1082" s="4"/>
      <c r="AS1082" s="4"/>
      <c r="AT1082" s="4"/>
    </row>
    <row r="1083" spans="1:46">
      <c r="A1083" s="4" t="s">
        <v>4549</v>
      </c>
      <c r="B1083" s="4"/>
      <c r="C1083" s="4" t="s">
        <v>4549</v>
      </c>
      <c r="D1083" s="4" t="s">
        <v>4549</v>
      </c>
      <c r="E1083" s="4" t="s">
        <v>4308</v>
      </c>
      <c r="F1083" s="4" t="s">
        <v>4545</v>
      </c>
      <c r="G1083" s="4" t="s">
        <v>456</v>
      </c>
      <c r="H1083" s="4" t="s">
        <v>4546</v>
      </c>
      <c r="I1083" s="4">
        <v>38</v>
      </c>
      <c r="J1083" s="4">
        <v>0.2</v>
      </c>
      <c r="K1083" s="4" t="s">
        <v>150</v>
      </c>
      <c r="L1083" s="4" t="s">
        <v>78</v>
      </c>
      <c r="M1083" s="4">
        <v>35</v>
      </c>
      <c r="N1083" s="4">
        <v>37.4</v>
      </c>
      <c r="O1083" s="4">
        <v>72.108999999999995</v>
      </c>
      <c r="P1083" s="4">
        <v>-162.92400000000001</v>
      </c>
      <c r="Q1083" s="4">
        <v>0.23</v>
      </c>
      <c r="R1083" s="4">
        <v>32.21</v>
      </c>
      <c r="S1083" s="4">
        <v>316.07</v>
      </c>
      <c r="T1083" s="4"/>
      <c r="U1083" s="4"/>
      <c r="V1083" s="4"/>
      <c r="W1083" s="4">
        <v>0.68600000000000005</v>
      </c>
      <c r="X1083" s="4">
        <v>1</v>
      </c>
      <c r="Y1083" s="4">
        <v>0.84799999999999998</v>
      </c>
      <c r="Z1083" s="4"/>
      <c r="AA1083" s="4">
        <v>1.1299999999999999</v>
      </c>
      <c r="AB1083" s="4">
        <v>13.52</v>
      </c>
      <c r="AC1083" s="4"/>
      <c r="AD1083" s="4"/>
      <c r="AE1083" s="4">
        <v>3.04</v>
      </c>
      <c r="AF1083" s="4">
        <v>1.56</v>
      </c>
      <c r="AG1083" s="4"/>
      <c r="AH1083" s="4" t="s">
        <v>4550</v>
      </c>
      <c r="AI1083" s="4">
        <v>1</v>
      </c>
      <c r="AJ1083" s="4"/>
      <c r="AK1083" s="4"/>
      <c r="AL1083" s="4">
        <v>83.912599999999998</v>
      </c>
      <c r="AM1083" s="4"/>
      <c r="AN1083" s="4"/>
      <c r="AO1083" s="4"/>
      <c r="AP1083" s="4"/>
      <c r="AQ1083" s="4">
        <v>-0.79382207999999999</v>
      </c>
      <c r="AR1083" s="4"/>
      <c r="AS1083" s="4"/>
      <c r="AT1083" s="4"/>
    </row>
    <row r="1084" spans="1:46">
      <c r="A1084" s="4" t="s">
        <v>4551</v>
      </c>
      <c r="B1084" s="4"/>
      <c r="C1084" s="4" t="s">
        <v>4551</v>
      </c>
      <c r="D1084" s="4" t="s">
        <v>4551</v>
      </c>
      <c r="E1084" s="4" t="s">
        <v>4308</v>
      </c>
      <c r="F1084" s="4" t="s">
        <v>4545</v>
      </c>
      <c r="G1084" s="4" t="s">
        <v>456</v>
      </c>
      <c r="H1084" s="4" t="s">
        <v>4546</v>
      </c>
      <c r="I1084" s="4">
        <v>38</v>
      </c>
      <c r="J1084" s="4">
        <v>0.2</v>
      </c>
      <c r="K1084" s="4" t="s">
        <v>1688</v>
      </c>
      <c r="L1084" s="4" t="s">
        <v>52</v>
      </c>
      <c r="M1084" s="4">
        <v>4</v>
      </c>
      <c r="N1084" s="4">
        <v>37.4</v>
      </c>
      <c r="O1084" s="4">
        <v>72.108999999999995</v>
      </c>
      <c r="P1084" s="4">
        <v>-162.92400000000001</v>
      </c>
      <c r="Q1084" s="4">
        <v>4.2300000000000004</v>
      </c>
      <c r="R1084" s="4">
        <v>26.93</v>
      </c>
      <c r="S1084" s="4">
        <v>326.93700000000001</v>
      </c>
      <c r="T1084" s="4"/>
      <c r="U1084" s="4"/>
      <c r="V1084" s="4"/>
      <c r="W1084" s="4">
        <v>0.47599999999999998</v>
      </c>
      <c r="X1084" s="4">
        <v>6</v>
      </c>
      <c r="Y1084" s="4">
        <v>0.32200000000000001</v>
      </c>
      <c r="Z1084" s="4"/>
      <c r="AA1084" s="4">
        <v>0.19</v>
      </c>
      <c r="AB1084" s="4">
        <v>2.4900000000000002</v>
      </c>
      <c r="AC1084" s="4"/>
      <c r="AD1084" s="4"/>
      <c r="AE1084" s="4">
        <v>0.56000000000000005</v>
      </c>
      <c r="AF1084" s="4">
        <v>0.21</v>
      </c>
      <c r="AG1084" s="4"/>
      <c r="AH1084" s="4" t="s">
        <v>4552</v>
      </c>
      <c r="AI1084" s="4">
        <v>6</v>
      </c>
      <c r="AJ1084" s="4"/>
      <c r="AK1084" s="4"/>
      <c r="AL1084" s="4">
        <v>94.162400000000005</v>
      </c>
      <c r="AM1084" s="4"/>
      <c r="AN1084" s="4"/>
      <c r="AO1084" s="4"/>
      <c r="AP1084" s="4"/>
      <c r="AQ1084" s="4">
        <v>-0.94221524199999995</v>
      </c>
      <c r="AR1084" s="4"/>
      <c r="AS1084" s="4"/>
      <c r="AT1084" s="4"/>
    </row>
    <row r="1085" spans="1:46">
      <c r="A1085" s="4" t="s">
        <v>4553</v>
      </c>
      <c r="B1085" s="4"/>
      <c r="C1085" s="4" t="s">
        <v>4553</v>
      </c>
      <c r="D1085" s="4" t="s">
        <v>4553</v>
      </c>
      <c r="E1085" s="4" t="s">
        <v>4308</v>
      </c>
      <c r="F1085" s="4" t="s">
        <v>4554</v>
      </c>
      <c r="G1085" s="4" t="s">
        <v>456</v>
      </c>
      <c r="H1085" s="4" t="s">
        <v>4555</v>
      </c>
      <c r="I1085" s="4">
        <v>39</v>
      </c>
      <c r="J1085" s="4">
        <v>0.2</v>
      </c>
      <c r="K1085" s="4" t="s">
        <v>4547</v>
      </c>
      <c r="L1085" s="4" t="s">
        <v>65</v>
      </c>
      <c r="M1085" s="4">
        <v>15</v>
      </c>
      <c r="N1085" s="4">
        <v>37.1</v>
      </c>
      <c r="O1085" s="4">
        <v>72.168999999999997</v>
      </c>
      <c r="P1085" s="4">
        <v>-163.108</v>
      </c>
      <c r="Q1085" s="4">
        <v>6.03</v>
      </c>
      <c r="R1085" s="4">
        <v>31.45</v>
      </c>
      <c r="S1085" s="4">
        <v>295.31700000000001</v>
      </c>
      <c r="T1085" s="4"/>
      <c r="U1085" s="4"/>
      <c r="V1085" s="4"/>
      <c r="W1085" s="4">
        <v>0.48599999999999999</v>
      </c>
      <c r="X1085" s="4">
        <v>1</v>
      </c>
      <c r="Y1085" s="4"/>
      <c r="Z1085" s="4"/>
      <c r="AA1085" s="4"/>
      <c r="AB1085" s="4"/>
      <c r="AC1085" s="4"/>
      <c r="AD1085" s="4"/>
      <c r="AE1085" s="4"/>
      <c r="AF1085" s="4"/>
      <c r="AG1085" s="4"/>
      <c r="AH1085" s="4" t="s">
        <v>4556</v>
      </c>
      <c r="AI1085" s="4">
        <v>1</v>
      </c>
      <c r="AJ1085" s="4"/>
      <c r="AK1085" s="4"/>
      <c r="AL1085" s="4">
        <v>94.705100000000002</v>
      </c>
      <c r="AM1085" s="4"/>
      <c r="AN1085" s="4"/>
      <c r="AO1085" s="4"/>
      <c r="AP1085" s="4"/>
      <c r="AQ1085" s="4"/>
      <c r="AR1085" s="4"/>
      <c r="AS1085" s="4"/>
      <c r="AT1085" s="4"/>
    </row>
    <row r="1086" spans="1:46">
      <c r="A1086" s="4" t="s">
        <v>4557</v>
      </c>
      <c r="B1086" s="4"/>
      <c r="C1086" s="4" t="s">
        <v>4557</v>
      </c>
      <c r="D1086" s="4" t="s">
        <v>4557</v>
      </c>
      <c r="E1086" s="4" t="s">
        <v>4308</v>
      </c>
      <c r="F1086" s="4" t="s">
        <v>4558</v>
      </c>
      <c r="G1086" s="4" t="s">
        <v>456</v>
      </c>
      <c r="H1086" s="4" t="s">
        <v>4559</v>
      </c>
      <c r="I1086" s="4">
        <v>35</v>
      </c>
      <c r="J1086" s="4">
        <v>0.2</v>
      </c>
      <c r="K1086" s="4" t="s">
        <v>1488</v>
      </c>
      <c r="L1086" s="4" t="s">
        <v>65</v>
      </c>
      <c r="M1086" s="4">
        <v>30</v>
      </c>
      <c r="N1086" s="4">
        <v>42</v>
      </c>
      <c r="O1086" s="4">
        <v>71.718999999999994</v>
      </c>
      <c r="P1086" s="4">
        <v>-161.773</v>
      </c>
      <c r="Q1086" s="4">
        <v>-1.41</v>
      </c>
      <c r="R1086" s="4">
        <v>32.090000000000003</v>
      </c>
      <c r="S1086" s="4">
        <v>340.423</v>
      </c>
      <c r="T1086" s="4"/>
      <c r="U1086" s="4"/>
      <c r="V1086" s="4"/>
      <c r="W1086" s="4">
        <v>6.7910000000000004</v>
      </c>
      <c r="X1086" s="4">
        <v>2</v>
      </c>
      <c r="Y1086" s="4">
        <v>9.36</v>
      </c>
      <c r="Z1086" s="4"/>
      <c r="AA1086" s="4">
        <v>1.1100000000000001</v>
      </c>
      <c r="AB1086" s="4">
        <v>21.71</v>
      </c>
      <c r="AC1086" s="4"/>
      <c r="AD1086" s="4"/>
      <c r="AE1086" s="4">
        <v>1.03</v>
      </c>
      <c r="AF1086" s="4">
        <v>5.93</v>
      </c>
      <c r="AG1086" s="4"/>
      <c r="AH1086" s="4" t="s">
        <v>4560</v>
      </c>
      <c r="AI1086" s="4">
        <v>2</v>
      </c>
      <c r="AJ1086" s="4"/>
      <c r="AK1086" s="4"/>
      <c r="AL1086" s="4">
        <v>66.046199999999999</v>
      </c>
      <c r="AM1086" s="4"/>
      <c r="AN1086" s="4"/>
      <c r="AO1086" s="4"/>
      <c r="AP1086" s="4"/>
      <c r="AQ1086" s="4"/>
      <c r="AR1086" s="4"/>
      <c r="AS1086" s="4"/>
      <c r="AT1086" s="4"/>
    </row>
    <row r="1087" spans="1:46">
      <c r="A1087" s="4" t="s">
        <v>4561</v>
      </c>
      <c r="B1087" s="4"/>
      <c r="C1087" s="4" t="s">
        <v>4561</v>
      </c>
      <c r="D1087" s="4" t="s">
        <v>4561</v>
      </c>
      <c r="E1087" s="4" t="s">
        <v>4308</v>
      </c>
      <c r="F1087" s="4" t="s">
        <v>4558</v>
      </c>
      <c r="G1087" s="4" t="s">
        <v>456</v>
      </c>
      <c r="H1087" s="4" t="s">
        <v>4559</v>
      </c>
      <c r="I1087" s="4">
        <v>35</v>
      </c>
      <c r="J1087" s="4">
        <v>0.2</v>
      </c>
      <c r="K1087" s="4" t="s">
        <v>150</v>
      </c>
      <c r="L1087" s="4" t="s">
        <v>78</v>
      </c>
      <c r="M1087" s="4">
        <v>38</v>
      </c>
      <c r="N1087" s="4">
        <v>42</v>
      </c>
      <c r="O1087" s="4">
        <v>71.718999999999994</v>
      </c>
      <c r="P1087" s="4">
        <v>-161.773</v>
      </c>
      <c r="Q1087" s="4">
        <v>-1.44</v>
      </c>
      <c r="R1087" s="4">
        <v>32.11</v>
      </c>
      <c r="S1087" s="4">
        <v>320.18200000000002</v>
      </c>
      <c r="T1087" s="4"/>
      <c r="U1087" s="4"/>
      <c r="V1087" s="4"/>
      <c r="W1087" s="4">
        <v>3.2639999999999998</v>
      </c>
      <c r="X1087" s="4">
        <v>1</v>
      </c>
      <c r="Y1087" s="4">
        <v>5.12</v>
      </c>
      <c r="Z1087" s="4"/>
      <c r="AA1087" s="4">
        <v>1.34</v>
      </c>
      <c r="AB1087" s="4">
        <v>24.91</v>
      </c>
      <c r="AC1087" s="4"/>
      <c r="AD1087" s="4"/>
      <c r="AE1087" s="4">
        <v>1.98</v>
      </c>
      <c r="AF1087" s="4">
        <v>6.47</v>
      </c>
      <c r="AG1087" s="4"/>
      <c r="AH1087" s="4" t="s">
        <v>4562</v>
      </c>
      <c r="AI1087" s="4">
        <v>1</v>
      </c>
      <c r="AJ1087" s="4"/>
      <c r="AK1087" s="4"/>
      <c r="AL1087" s="4">
        <v>59.860500000000002</v>
      </c>
      <c r="AM1087" s="4"/>
      <c r="AN1087" s="4"/>
      <c r="AO1087" s="4"/>
      <c r="AP1087" s="4"/>
      <c r="AQ1087" s="4">
        <v>-0.92003739900000003</v>
      </c>
      <c r="AR1087" s="4"/>
      <c r="AS1087" s="4"/>
      <c r="AT1087" s="4"/>
    </row>
    <row r="1088" spans="1:46">
      <c r="A1088" s="4" t="s">
        <v>4563</v>
      </c>
      <c r="B1088" s="4"/>
      <c r="C1088" s="4" t="s">
        <v>4563</v>
      </c>
      <c r="D1088" s="4" t="s">
        <v>4563</v>
      </c>
      <c r="E1088" s="4" t="s">
        <v>4308</v>
      </c>
      <c r="F1088" s="4" t="s">
        <v>4558</v>
      </c>
      <c r="G1088" s="4" t="s">
        <v>456</v>
      </c>
      <c r="H1088" s="4" t="s">
        <v>4559</v>
      </c>
      <c r="I1088" s="4">
        <v>35</v>
      </c>
      <c r="J1088" s="4">
        <v>0.2</v>
      </c>
      <c r="K1088" s="4" t="s">
        <v>1688</v>
      </c>
      <c r="L1088" s="4" t="s">
        <v>52</v>
      </c>
      <c r="M1088" s="4">
        <v>5</v>
      </c>
      <c r="N1088" s="4">
        <v>42</v>
      </c>
      <c r="O1088" s="4">
        <v>71.718999999999994</v>
      </c>
      <c r="P1088" s="4">
        <v>-161.773</v>
      </c>
      <c r="Q1088" s="4">
        <v>4.5</v>
      </c>
      <c r="R1088" s="4">
        <v>26.94</v>
      </c>
      <c r="S1088" s="4">
        <v>325.39</v>
      </c>
      <c r="T1088" s="4"/>
      <c r="U1088" s="4"/>
      <c r="V1088" s="4"/>
      <c r="W1088" s="4">
        <v>0.316</v>
      </c>
      <c r="X1088" s="4">
        <v>5</v>
      </c>
      <c r="Y1088" s="4">
        <v>0.128</v>
      </c>
      <c r="Z1088" s="4"/>
      <c r="AA1088" s="4">
        <v>0.17</v>
      </c>
      <c r="AB1088" s="4">
        <v>2.14</v>
      </c>
      <c r="AC1088" s="4"/>
      <c r="AD1088" s="4"/>
      <c r="AE1088" s="4">
        <v>0.3</v>
      </c>
      <c r="AF1088" s="4">
        <v>0.16</v>
      </c>
      <c r="AG1088" s="4"/>
      <c r="AH1088" s="4" t="s">
        <v>4564</v>
      </c>
      <c r="AI1088" s="4">
        <v>5</v>
      </c>
      <c r="AJ1088" s="4"/>
      <c r="AK1088" s="4"/>
      <c r="AL1088" s="4">
        <v>94.241100000000003</v>
      </c>
      <c r="AM1088" s="4"/>
      <c r="AN1088" s="4"/>
      <c r="AO1088" s="4"/>
      <c r="AP1088" s="4"/>
      <c r="AQ1088" s="4">
        <v>-0.98351403699999995</v>
      </c>
      <c r="AR1088" s="4"/>
      <c r="AS1088" s="4"/>
      <c r="AT1088" s="4"/>
    </row>
    <row r="1089" spans="1:46">
      <c r="A1089" s="4" t="s">
        <v>4565</v>
      </c>
      <c r="B1089" s="4"/>
      <c r="C1089" s="4" t="s">
        <v>4565</v>
      </c>
      <c r="D1089" s="4" t="s">
        <v>4565</v>
      </c>
      <c r="E1089" s="4" t="s">
        <v>4308</v>
      </c>
      <c r="F1089" s="4" t="s">
        <v>4566</v>
      </c>
      <c r="G1089" s="4" t="s">
        <v>456</v>
      </c>
      <c r="H1089" s="4" t="s">
        <v>4567</v>
      </c>
      <c r="I1089" s="4">
        <v>36</v>
      </c>
      <c r="J1089" s="4">
        <v>0.2</v>
      </c>
      <c r="K1089" s="4" t="s">
        <v>1488</v>
      </c>
      <c r="L1089" s="4" t="s">
        <v>65</v>
      </c>
      <c r="M1089" s="4">
        <v>24</v>
      </c>
      <c r="N1089" s="4">
        <v>39.799999999999997</v>
      </c>
      <c r="O1089" s="4">
        <v>71.850999999999999</v>
      </c>
      <c r="P1089" s="4">
        <v>-162.15799999999999</v>
      </c>
      <c r="Q1089" s="4">
        <v>-1.3</v>
      </c>
      <c r="R1089" s="4">
        <v>32.04</v>
      </c>
      <c r="S1089" s="4">
        <v>359.77100000000002</v>
      </c>
      <c r="T1089" s="4"/>
      <c r="U1089" s="4"/>
      <c r="V1089" s="4"/>
      <c r="W1089" s="4">
        <v>5.0519999999999996</v>
      </c>
      <c r="X1089" s="4">
        <v>3</v>
      </c>
      <c r="Y1089" s="4">
        <v>0.94</v>
      </c>
      <c r="Z1089" s="4"/>
      <c r="AA1089" s="4">
        <v>1.36</v>
      </c>
      <c r="AB1089" s="4">
        <v>22.42</v>
      </c>
      <c r="AC1089" s="4"/>
      <c r="AD1089" s="4"/>
      <c r="AE1089" s="4">
        <v>1.55</v>
      </c>
      <c r="AF1089" s="4">
        <v>7.14</v>
      </c>
      <c r="AG1089" s="4"/>
      <c r="AH1089" s="4" t="s">
        <v>4568</v>
      </c>
      <c r="AI1089" s="4">
        <v>3</v>
      </c>
      <c r="AJ1089" s="4"/>
      <c r="AK1089" s="4"/>
      <c r="AL1089" s="4">
        <v>74.060199999999995</v>
      </c>
      <c r="AM1089" s="4"/>
      <c r="AN1089" s="4"/>
      <c r="AO1089" s="4"/>
      <c r="AP1089" s="4"/>
      <c r="AQ1089" s="4"/>
      <c r="AR1089" s="4"/>
      <c r="AS1089" s="4"/>
      <c r="AT1089" s="4"/>
    </row>
    <row r="1090" spans="1:46">
      <c r="A1090" s="4" t="s">
        <v>4569</v>
      </c>
      <c r="B1090" s="4"/>
      <c r="C1090" s="4" t="s">
        <v>4569</v>
      </c>
      <c r="D1090" s="4" t="s">
        <v>4569</v>
      </c>
      <c r="E1090" s="4" t="s">
        <v>4308</v>
      </c>
      <c r="F1090" s="4" t="s">
        <v>4566</v>
      </c>
      <c r="G1090" s="4" t="s">
        <v>456</v>
      </c>
      <c r="H1090" s="4" t="s">
        <v>4567</v>
      </c>
      <c r="I1090" s="4">
        <v>36</v>
      </c>
      <c r="J1090" s="4">
        <v>0.2</v>
      </c>
      <c r="K1090" s="4" t="s">
        <v>150</v>
      </c>
      <c r="L1090" s="4" t="s">
        <v>78</v>
      </c>
      <c r="M1090" s="4">
        <v>36</v>
      </c>
      <c r="N1090" s="4">
        <v>39.799999999999997</v>
      </c>
      <c r="O1090" s="4">
        <v>71.850999999999999</v>
      </c>
      <c r="P1090" s="4">
        <v>-162.15799999999999</v>
      </c>
      <c r="Q1090" s="4">
        <v>-1.44</v>
      </c>
      <c r="R1090" s="4">
        <v>32.14</v>
      </c>
      <c r="S1090" s="4">
        <v>311.839</v>
      </c>
      <c r="T1090" s="4"/>
      <c r="U1090" s="4"/>
      <c r="V1090" s="4"/>
      <c r="W1090" s="4">
        <v>3.19</v>
      </c>
      <c r="X1090" s="4">
        <v>1</v>
      </c>
      <c r="Y1090" s="4">
        <v>5.52</v>
      </c>
      <c r="Z1090" s="4"/>
      <c r="AA1090" s="4">
        <v>1.1299999999999999</v>
      </c>
      <c r="AB1090" s="4">
        <v>21.35</v>
      </c>
      <c r="AC1090" s="4"/>
      <c r="AD1090" s="4"/>
      <c r="AE1090" s="4">
        <v>1.72</v>
      </c>
      <c r="AF1090" s="4">
        <v>7.5</v>
      </c>
      <c r="AG1090" s="4"/>
      <c r="AH1090" s="4" t="s">
        <v>4570</v>
      </c>
      <c r="AI1090" s="4">
        <v>1</v>
      </c>
      <c r="AJ1090" s="4"/>
      <c r="AK1090" s="4"/>
      <c r="AL1090" s="4">
        <v>61.009300000000003</v>
      </c>
      <c r="AM1090" s="4"/>
      <c r="AN1090" s="4"/>
      <c r="AO1090" s="4"/>
      <c r="AP1090" s="4"/>
      <c r="AQ1090" s="4">
        <v>-1.0462623390000001</v>
      </c>
      <c r="AR1090" s="4"/>
      <c r="AS1090" s="4"/>
      <c r="AT1090" s="4"/>
    </row>
    <row r="1091" spans="1:46">
      <c r="A1091" s="4" t="s">
        <v>4571</v>
      </c>
      <c r="B1091" s="4"/>
      <c r="C1091" s="4" t="s">
        <v>4571</v>
      </c>
      <c r="D1091" s="4" t="s">
        <v>4571</v>
      </c>
      <c r="E1091" s="4" t="s">
        <v>4308</v>
      </c>
      <c r="F1091" s="4" t="s">
        <v>4566</v>
      </c>
      <c r="G1091" s="4" t="s">
        <v>456</v>
      </c>
      <c r="H1091" s="4" t="s">
        <v>4567</v>
      </c>
      <c r="I1091" s="4">
        <v>36</v>
      </c>
      <c r="J1091" s="4">
        <v>0.2</v>
      </c>
      <c r="K1091" s="4" t="s">
        <v>1688</v>
      </c>
      <c r="L1091" s="4" t="s">
        <v>52</v>
      </c>
      <c r="M1091" s="4">
        <v>5</v>
      </c>
      <c r="N1091" s="4">
        <v>39.799999999999997</v>
      </c>
      <c r="O1091" s="4">
        <v>71.850999999999999</v>
      </c>
      <c r="P1091" s="4">
        <v>-162.15799999999999</v>
      </c>
      <c r="Q1091" s="4">
        <v>4.12</v>
      </c>
      <c r="R1091" s="4">
        <v>26.82</v>
      </c>
      <c r="S1091" s="4">
        <v>327.52100000000002</v>
      </c>
      <c r="T1091" s="4"/>
      <c r="U1091" s="4"/>
      <c r="V1091" s="4"/>
      <c r="W1091" s="4">
        <v>0.39</v>
      </c>
      <c r="X1091" s="4">
        <v>6</v>
      </c>
      <c r="Y1091" s="4">
        <v>0.30299999999999999</v>
      </c>
      <c r="Z1091" s="4"/>
      <c r="AA1091" s="4">
        <v>0.18</v>
      </c>
      <c r="AB1091" s="4">
        <v>2.14</v>
      </c>
      <c r="AC1091" s="4"/>
      <c r="AD1091" s="4"/>
      <c r="AE1091" s="4">
        <v>0.4</v>
      </c>
      <c r="AF1091" s="4">
        <v>0.12</v>
      </c>
      <c r="AG1091" s="4"/>
      <c r="AH1091" s="4" t="s">
        <v>4572</v>
      </c>
      <c r="AI1091" s="4">
        <v>6</v>
      </c>
      <c r="AJ1091" s="4"/>
      <c r="AK1091" s="4"/>
      <c r="AL1091" s="4">
        <v>94.899500000000003</v>
      </c>
      <c r="AM1091" s="4"/>
      <c r="AN1091" s="4"/>
      <c r="AO1091" s="4"/>
      <c r="AP1091" s="4"/>
      <c r="AQ1091" s="4">
        <v>-0.58245649700000002</v>
      </c>
      <c r="AR1091" s="4"/>
      <c r="AS1091" s="4"/>
      <c r="AT1091" s="4"/>
    </row>
    <row r="1092" spans="1:46">
      <c r="A1092" s="4" t="s">
        <v>4573</v>
      </c>
      <c r="B1092" s="4"/>
      <c r="C1092" s="4" t="s">
        <v>4573</v>
      </c>
      <c r="D1092" s="4" t="s">
        <v>4573</v>
      </c>
      <c r="E1092" s="4" t="s">
        <v>4308</v>
      </c>
      <c r="F1092" s="4" t="s">
        <v>4574</v>
      </c>
      <c r="G1092" s="4" t="s">
        <v>456</v>
      </c>
      <c r="H1092" s="4" t="s">
        <v>4575</v>
      </c>
      <c r="I1092" s="4">
        <v>41</v>
      </c>
      <c r="J1092" s="4">
        <v>0.2</v>
      </c>
      <c r="K1092" s="4" t="s">
        <v>1488</v>
      </c>
      <c r="L1092" s="4" t="s">
        <v>65</v>
      </c>
      <c r="M1092" s="4">
        <v>25</v>
      </c>
      <c r="N1092" s="4">
        <v>37.9</v>
      </c>
      <c r="O1092" s="4">
        <v>72.239000000000004</v>
      </c>
      <c r="P1092" s="4">
        <v>-163.31700000000001</v>
      </c>
      <c r="Q1092" s="4">
        <v>0.66</v>
      </c>
      <c r="R1092" s="4">
        <v>31.88</v>
      </c>
      <c r="S1092" s="4">
        <v>386.73</v>
      </c>
      <c r="T1092" s="4"/>
      <c r="U1092" s="4"/>
      <c r="V1092" s="4"/>
      <c r="W1092" s="4">
        <v>0.35799999999999998</v>
      </c>
      <c r="X1092" s="4">
        <v>3</v>
      </c>
      <c r="Y1092" s="4">
        <v>0.96399999999999997</v>
      </c>
      <c r="Z1092" s="4"/>
      <c r="AA1092" s="4">
        <v>0.93</v>
      </c>
      <c r="AB1092" s="4">
        <v>15.66</v>
      </c>
      <c r="AC1092" s="4"/>
      <c r="AD1092" s="4"/>
      <c r="AE1092" s="4">
        <v>3.15</v>
      </c>
      <c r="AF1092" s="4">
        <v>1.76</v>
      </c>
      <c r="AG1092" s="4"/>
      <c r="AH1092" s="4" t="s">
        <v>4576</v>
      </c>
      <c r="AI1092" s="4">
        <v>3</v>
      </c>
      <c r="AJ1092" s="4"/>
      <c r="AK1092" s="4"/>
      <c r="AL1092" s="4">
        <v>96.247500000000002</v>
      </c>
      <c r="AM1092" s="4"/>
      <c r="AN1092" s="4"/>
      <c r="AO1092" s="4"/>
      <c r="AP1092" s="4"/>
      <c r="AQ1092" s="4"/>
      <c r="AR1092" s="4"/>
      <c r="AS1092" s="4"/>
      <c r="AT1092" s="4"/>
    </row>
    <row r="1093" spans="1:46">
      <c r="A1093" s="4" t="s">
        <v>4577</v>
      </c>
      <c r="B1093" s="4"/>
      <c r="C1093" s="4" t="s">
        <v>4577</v>
      </c>
      <c r="D1093" s="4" t="s">
        <v>4577</v>
      </c>
      <c r="E1093" s="4" t="s">
        <v>4308</v>
      </c>
      <c r="F1093" s="4" t="s">
        <v>4574</v>
      </c>
      <c r="G1093" s="4" t="s">
        <v>456</v>
      </c>
      <c r="H1093" s="4" t="s">
        <v>4575</v>
      </c>
      <c r="I1093" s="4">
        <v>41</v>
      </c>
      <c r="J1093" s="4">
        <v>0.2</v>
      </c>
      <c r="K1093" s="4" t="s">
        <v>150</v>
      </c>
      <c r="L1093" s="4" t="s">
        <v>78</v>
      </c>
      <c r="M1093" s="4">
        <v>35</v>
      </c>
      <c r="N1093" s="4">
        <v>37.9</v>
      </c>
      <c r="O1093" s="4">
        <v>72.239000000000004</v>
      </c>
      <c r="P1093" s="4">
        <v>-163.31700000000001</v>
      </c>
      <c r="Q1093" s="4">
        <v>0.34</v>
      </c>
      <c r="R1093" s="4">
        <v>32.159999999999997</v>
      </c>
      <c r="S1093" s="4">
        <v>321.58199999999999</v>
      </c>
      <c r="T1093" s="4"/>
      <c r="U1093" s="4"/>
      <c r="V1093" s="4"/>
      <c r="W1093" s="4">
        <v>0.42899999999999999</v>
      </c>
      <c r="X1093" s="4">
        <v>1</v>
      </c>
      <c r="Y1093" s="4">
        <v>0.76</v>
      </c>
      <c r="Z1093" s="4"/>
      <c r="AA1093" s="4">
        <v>1.18</v>
      </c>
      <c r="AB1093" s="4">
        <v>16.73</v>
      </c>
      <c r="AC1093" s="4"/>
      <c r="AD1093" s="4"/>
      <c r="AE1093" s="4">
        <v>2.96</v>
      </c>
      <c r="AF1093" s="4">
        <v>2.17</v>
      </c>
      <c r="AG1093" s="4"/>
      <c r="AH1093" s="4" t="s">
        <v>4578</v>
      </c>
      <c r="AI1093" s="4">
        <v>1</v>
      </c>
      <c r="AJ1093" s="4"/>
      <c r="AK1093" s="4"/>
      <c r="AL1093" s="4">
        <v>73.347899999999996</v>
      </c>
      <c r="AM1093" s="4"/>
      <c r="AN1093" s="4"/>
      <c r="AO1093" s="4"/>
      <c r="AP1093" s="4"/>
      <c r="AQ1093" s="4">
        <v>-1.583729178</v>
      </c>
      <c r="AR1093" s="4"/>
      <c r="AS1093" s="4"/>
      <c r="AT1093" s="4"/>
    </row>
    <row r="1094" spans="1:46">
      <c r="A1094" s="4" t="s">
        <v>4579</v>
      </c>
      <c r="B1094" s="4"/>
      <c r="C1094" s="4" t="s">
        <v>4579</v>
      </c>
      <c r="D1094" s="4" t="s">
        <v>4579</v>
      </c>
      <c r="E1094" s="4" t="s">
        <v>4308</v>
      </c>
      <c r="F1094" s="4" t="s">
        <v>4574</v>
      </c>
      <c r="G1094" s="4" t="s">
        <v>456</v>
      </c>
      <c r="H1094" s="4" t="s">
        <v>4575</v>
      </c>
      <c r="I1094" s="4">
        <v>41</v>
      </c>
      <c r="J1094" s="4">
        <v>0.2</v>
      </c>
      <c r="K1094" s="4" t="s">
        <v>1688</v>
      </c>
      <c r="L1094" s="4" t="s">
        <v>52</v>
      </c>
      <c r="M1094" s="4">
        <v>5</v>
      </c>
      <c r="N1094" s="4">
        <v>37.9</v>
      </c>
      <c r="O1094" s="4">
        <v>72.239000000000004</v>
      </c>
      <c r="P1094" s="4">
        <v>-163.31700000000001</v>
      </c>
      <c r="Q1094" s="4">
        <v>6.85</v>
      </c>
      <c r="R1094" s="4">
        <v>31.28</v>
      </c>
      <c r="S1094" s="4">
        <v>291.005</v>
      </c>
      <c r="T1094" s="4"/>
      <c r="U1094" s="4"/>
      <c r="V1094" s="4"/>
      <c r="W1094" s="4">
        <v>0.30399999999999999</v>
      </c>
      <c r="X1094" s="4">
        <v>6</v>
      </c>
      <c r="Y1094" s="4">
        <v>0.27100000000000002</v>
      </c>
      <c r="Z1094" s="4"/>
      <c r="AA1094" s="4">
        <v>0.44</v>
      </c>
      <c r="AB1094" s="4">
        <v>5.69</v>
      </c>
      <c r="AC1094" s="4"/>
      <c r="AD1094" s="4"/>
      <c r="AE1094" s="4">
        <v>0.48</v>
      </c>
      <c r="AF1094" s="4">
        <v>0.16</v>
      </c>
      <c r="AG1094" s="4"/>
      <c r="AH1094" s="4" t="s">
        <v>4580</v>
      </c>
      <c r="AI1094" s="4">
        <v>6</v>
      </c>
      <c r="AJ1094" s="4"/>
      <c r="AK1094" s="4"/>
      <c r="AL1094" s="4">
        <v>94.936499999999995</v>
      </c>
      <c r="AM1094" s="4"/>
      <c r="AN1094" s="4"/>
      <c r="AO1094" s="4"/>
      <c r="AP1094" s="4"/>
      <c r="AQ1094" s="4">
        <v>-1.6341945010000001</v>
      </c>
      <c r="AR1094" s="4"/>
      <c r="AS1094" s="4"/>
      <c r="AT1094" s="4"/>
    </row>
    <row r="1095" spans="1:46">
      <c r="A1095" s="4" t="s">
        <v>4581</v>
      </c>
      <c r="B1095" s="4"/>
      <c r="C1095" s="4" t="s">
        <v>4581</v>
      </c>
      <c r="D1095" s="4" t="s">
        <v>4581</v>
      </c>
      <c r="E1095" s="4" t="s">
        <v>4308</v>
      </c>
      <c r="F1095" s="4" t="s">
        <v>4582</v>
      </c>
      <c r="G1095" s="4" t="s">
        <v>456</v>
      </c>
      <c r="H1095" s="4" t="s">
        <v>4583</v>
      </c>
      <c r="I1095" s="4">
        <v>42</v>
      </c>
      <c r="J1095" s="4">
        <v>0.2</v>
      </c>
      <c r="K1095" s="4" t="s">
        <v>150</v>
      </c>
      <c r="L1095" s="4" t="s">
        <v>78</v>
      </c>
      <c r="M1095" s="4">
        <v>40</v>
      </c>
      <c r="N1095" s="4">
        <v>42.2</v>
      </c>
      <c r="O1095" s="4">
        <v>72.364999999999995</v>
      </c>
      <c r="P1095" s="4">
        <v>-163.72200000000001</v>
      </c>
      <c r="Q1095" s="4">
        <v>-0.1</v>
      </c>
      <c r="R1095" s="4">
        <v>32.33</v>
      </c>
      <c r="S1095" s="4">
        <v>331.029</v>
      </c>
      <c r="T1095" s="4"/>
      <c r="U1095" s="4"/>
      <c r="V1095" s="4"/>
      <c r="W1095" s="4">
        <v>0.26800000000000002</v>
      </c>
      <c r="X1095" s="4">
        <v>1</v>
      </c>
      <c r="Y1095" s="4">
        <v>0.42</v>
      </c>
      <c r="Z1095" s="4"/>
      <c r="AA1095" s="4">
        <v>1.01</v>
      </c>
      <c r="AB1095" s="4">
        <v>12.1</v>
      </c>
      <c r="AC1095" s="4"/>
      <c r="AD1095" s="4"/>
      <c r="AE1095" s="4">
        <v>2.57</v>
      </c>
      <c r="AF1095" s="4">
        <v>3.95</v>
      </c>
      <c r="AG1095" s="4"/>
      <c r="AH1095" s="4" t="s">
        <v>4584</v>
      </c>
      <c r="AI1095" s="4">
        <v>1</v>
      </c>
      <c r="AJ1095" s="4"/>
      <c r="AK1095" s="4"/>
      <c r="AL1095" s="4">
        <v>70.518799999999999</v>
      </c>
      <c r="AM1095" s="4"/>
      <c r="AN1095" s="4"/>
      <c r="AO1095" s="4"/>
      <c r="AP1095" s="4"/>
      <c r="AQ1095" s="4">
        <v>-0.95376780900000002</v>
      </c>
      <c r="AR1095" s="4"/>
      <c r="AS1095" s="4"/>
      <c r="AT1095" s="4"/>
    </row>
    <row r="1096" spans="1:46">
      <c r="A1096" s="4" t="s">
        <v>4585</v>
      </c>
      <c r="B1096" s="4"/>
      <c r="C1096" s="4" t="s">
        <v>4585</v>
      </c>
      <c r="D1096" s="4" t="s">
        <v>4585</v>
      </c>
      <c r="E1096" s="4" t="s">
        <v>4308</v>
      </c>
      <c r="F1096" s="4" t="s">
        <v>4582</v>
      </c>
      <c r="G1096" s="4" t="s">
        <v>456</v>
      </c>
      <c r="H1096" s="4" t="s">
        <v>4583</v>
      </c>
      <c r="I1096" s="4">
        <v>42</v>
      </c>
      <c r="J1096" s="4">
        <v>0.2</v>
      </c>
      <c r="K1096" s="4" t="s">
        <v>1688</v>
      </c>
      <c r="L1096" s="4" t="s">
        <v>52</v>
      </c>
      <c r="M1096" s="4">
        <v>5</v>
      </c>
      <c r="N1096" s="4">
        <v>42.2</v>
      </c>
      <c r="O1096" s="4">
        <v>72.364999999999995</v>
      </c>
      <c r="P1096" s="4">
        <v>-163.72200000000001</v>
      </c>
      <c r="Q1096" s="4">
        <v>7.17</v>
      </c>
      <c r="R1096" s="4">
        <v>31.35</v>
      </c>
      <c r="S1096" s="4">
        <v>286.96800000000002</v>
      </c>
      <c r="T1096" s="4"/>
      <c r="U1096" s="4"/>
      <c r="V1096" s="4"/>
      <c r="W1096" s="4">
        <v>0.35199999999999998</v>
      </c>
      <c r="X1096" s="4">
        <v>5</v>
      </c>
      <c r="Y1096" s="4">
        <v>0.33400000000000002</v>
      </c>
      <c r="Z1096" s="4"/>
      <c r="AA1096" s="4">
        <v>0.52</v>
      </c>
      <c r="AB1096" s="4">
        <v>4.63</v>
      </c>
      <c r="AC1096" s="4"/>
      <c r="AD1096" s="4"/>
      <c r="AE1096" s="4">
        <v>0.44</v>
      </c>
      <c r="AF1096" s="4">
        <v>0.23</v>
      </c>
      <c r="AG1096" s="4"/>
      <c r="AH1096" s="4" t="s">
        <v>4586</v>
      </c>
      <c r="AI1096" s="4">
        <v>5</v>
      </c>
      <c r="AJ1096" s="4"/>
      <c r="AK1096" s="4"/>
      <c r="AL1096" s="4">
        <v>94.784300000000002</v>
      </c>
      <c r="AM1096" s="4"/>
      <c r="AN1096" s="4"/>
      <c r="AO1096" s="4"/>
      <c r="AP1096" s="4"/>
      <c r="AQ1096" s="4">
        <v>-1.5253313639999999</v>
      </c>
      <c r="AR1096" s="4"/>
      <c r="AS1096" s="4"/>
      <c r="AT1096" s="4"/>
    </row>
    <row r="1097" spans="1:46">
      <c r="A1097" s="4" t="s">
        <v>4587</v>
      </c>
      <c r="B1097" s="4"/>
      <c r="C1097" s="4" t="s">
        <v>4587</v>
      </c>
      <c r="D1097" s="4" t="s">
        <v>4587</v>
      </c>
      <c r="E1097" s="4" t="s">
        <v>4308</v>
      </c>
      <c r="F1097" s="4" t="s">
        <v>4588</v>
      </c>
      <c r="G1097" s="4" t="s">
        <v>456</v>
      </c>
      <c r="H1097" s="4" t="s">
        <v>4589</v>
      </c>
      <c r="I1097" s="4">
        <v>43</v>
      </c>
      <c r="J1097" s="4">
        <v>0.2</v>
      </c>
      <c r="K1097" s="4" t="s">
        <v>1488</v>
      </c>
      <c r="L1097" s="4" t="s">
        <v>65</v>
      </c>
      <c r="M1097" s="4">
        <v>30</v>
      </c>
      <c r="N1097" s="4">
        <v>47.4</v>
      </c>
      <c r="O1097" s="4">
        <v>72.497</v>
      </c>
      <c r="P1097" s="4">
        <v>-164.10300000000001</v>
      </c>
      <c r="Q1097" s="4">
        <v>-1.04</v>
      </c>
      <c r="R1097" s="4">
        <v>32.47</v>
      </c>
      <c r="S1097" s="4">
        <v>283.70699999999999</v>
      </c>
      <c r="T1097" s="4"/>
      <c r="U1097" s="4"/>
      <c r="V1097" s="4"/>
      <c r="W1097" s="4">
        <v>1.3819999999999999</v>
      </c>
      <c r="X1097" s="4">
        <v>3</v>
      </c>
      <c r="Y1097" s="4">
        <v>4.68</v>
      </c>
      <c r="Z1097" s="4"/>
      <c r="AA1097" s="4">
        <v>1.52</v>
      </c>
      <c r="AB1097" s="4">
        <v>12.46</v>
      </c>
      <c r="AC1097" s="4"/>
      <c r="AD1097" s="4"/>
      <c r="AE1097" s="4">
        <v>2.58</v>
      </c>
      <c r="AF1097" s="4">
        <v>8.93</v>
      </c>
      <c r="AG1097" s="4"/>
      <c r="AH1097" s="4" t="s">
        <v>4590</v>
      </c>
      <c r="AI1097" s="4">
        <v>3</v>
      </c>
      <c r="AJ1097" s="4"/>
      <c r="AK1097" s="4"/>
      <c r="AL1097" s="4">
        <v>85.068200000000004</v>
      </c>
      <c r="AM1097" s="4"/>
      <c r="AN1097" s="4"/>
      <c r="AO1097" s="4"/>
      <c r="AP1097" s="4"/>
      <c r="AQ1097" s="4"/>
      <c r="AR1097" s="4"/>
      <c r="AS1097" s="4"/>
      <c r="AT1097" s="4"/>
    </row>
    <row r="1098" spans="1:46">
      <c r="A1098" s="4" t="s">
        <v>4591</v>
      </c>
      <c r="B1098" s="4"/>
      <c r="C1098" s="4" t="s">
        <v>4591</v>
      </c>
      <c r="D1098" s="4" t="s">
        <v>4591</v>
      </c>
      <c r="E1098" s="4" t="s">
        <v>4308</v>
      </c>
      <c r="F1098" s="4" t="s">
        <v>4588</v>
      </c>
      <c r="G1098" s="4" t="s">
        <v>456</v>
      </c>
      <c r="H1098" s="4" t="s">
        <v>4589</v>
      </c>
      <c r="I1098" s="4">
        <v>43</v>
      </c>
      <c r="J1098" s="4">
        <v>0.2</v>
      </c>
      <c r="K1098" s="4" t="s">
        <v>150</v>
      </c>
      <c r="L1098" s="4" t="s">
        <v>78</v>
      </c>
      <c r="M1098" s="4">
        <v>44</v>
      </c>
      <c r="N1098" s="4">
        <v>47.4</v>
      </c>
      <c r="O1098" s="4">
        <v>72.497</v>
      </c>
      <c r="P1098" s="4">
        <v>-164.10300000000001</v>
      </c>
      <c r="Q1098" s="4">
        <v>-1.1499999999999999</v>
      </c>
      <c r="R1098" s="4">
        <v>32.479999999999997</v>
      </c>
      <c r="S1098" s="4">
        <v>269.50299999999999</v>
      </c>
      <c r="T1098" s="4"/>
      <c r="U1098" s="4"/>
      <c r="V1098" s="4"/>
      <c r="W1098" s="4">
        <v>0.60199999999999998</v>
      </c>
      <c r="X1098" s="4">
        <v>1</v>
      </c>
      <c r="Y1098" s="4">
        <v>1.004</v>
      </c>
      <c r="Z1098" s="4"/>
      <c r="AA1098" s="4">
        <v>1.74</v>
      </c>
      <c r="AB1098" s="4">
        <v>21.35</v>
      </c>
      <c r="AC1098" s="4"/>
      <c r="AD1098" s="4"/>
      <c r="AE1098" s="4">
        <v>5.5</v>
      </c>
      <c r="AF1098" s="4">
        <v>11</v>
      </c>
      <c r="AG1098" s="4"/>
      <c r="AH1098" s="4" t="s">
        <v>4592</v>
      </c>
      <c r="AI1098" s="4">
        <v>1</v>
      </c>
      <c r="AJ1098" s="4"/>
      <c r="AK1098" s="4"/>
      <c r="AL1098" s="4">
        <v>75.281999999999996</v>
      </c>
      <c r="AM1098" s="4"/>
      <c r="AN1098" s="4"/>
      <c r="AO1098" s="4"/>
      <c r="AP1098" s="4"/>
      <c r="AQ1098" s="4">
        <v>-0.87018326400000001</v>
      </c>
      <c r="AR1098" s="4"/>
      <c r="AS1098" s="4"/>
      <c r="AT1098" s="4"/>
    </row>
    <row r="1099" spans="1:46">
      <c r="A1099" s="4" t="s">
        <v>4593</v>
      </c>
      <c r="B1099" s="4"/>
      <c r="C1099" s="4" t="s">
        <v>4593</v>
      </c>
      <c r="D1099" s="4" t="s">
        <v>4593</v>
      </c>
      <c r="E1099" s="4" t="s">
        <v>4308</v>
      </c>
      <c r="F1099" s="4" t="s">
        <v>4588</v>
      </c>
      <c r="G1099" s="4" t="s">
        <v>456</v>
      </c>
      <c r="H1099" s="4" t="s">
        <v>4589</v>
      </c>
      <c r="I1099" s="4">
        <v>43</v>
      </c>
      <c r="J1099" s="4">
        <v>0.2</v>
      </c>
      <c r="K1099" s="4" t="s">
        <v>1688</v>
      </c>
      <c r="L1099" s="4" t="s">
        <v>65</v>
      </c>
      <c r="M1099" s="4">
        <v>10</v>
      </c>
      <c r="N1099" s="4">
        <v>47.4</v>
      </c>
      <c r="O1099" s="4">
        <v>72.497</v>
      </c>
      <c r="P1099" s="4">
        <v>-164.10300000000001</v>
      </c>
      <c r="Q1099" s="4">
        <v>5.46</v>
      </c>
      <c r="R1099" s="4">
        <v>30.99</v>
      </c>
      <c r="S1099" s="4">
        <v>307.49299999999999</v>
      </c>
      <c r="T1099" s="4"/>
      <c r="U1099" s="4"/>
      <c r="V1099" s="4"/>
      <c r="W1099" s="4">
        <v>0.38100000000000001</v>
      </c>
      <c r="X1099" s="4">
        <v>6</v>
      </c>
      <c r="Y1099" s="4">
        <v>0.248</v>
      </c>
      <c r="Z1099" s="4"/>
      <c r="AA1099" s="4">
        <v>0.38</v>
      </c>
      <c r="AB1099" s="4">
        <v>4.63</v>
      </c>
      <c r="AC1099" s="4"/>
      <c r="AD1099" s="4"/>
      <c r="AE1099" s="4">
        <v>0.56999999999999995</v>
      </c>
      <c r="AF1099" s="4">
        <v>0.28999999999999998</v>
      </c>
      <c r="AG1099" s="4"/>
      <c r="AH1099" s="4" t="s">
        <v>4594</v>
      </c>
      <c r="AI1099" s="4">
        <v>6</v>
      </c>
      <c r="AJ1099" s="4"/>
      <c r="AK1099" s="4"/>
      <c r="AL1099" s="4">
        <v>94.496300000000005</v>
      </c>
      <c r="AM1099" s="4"/>
      <c r="AN1099" s="4"/>
      <c r="AO1099" s="4"/>
      <c r="AP1099" s="4"/>
      <c r="AQ1099" s="4"/>
      <c r="AR1099" s="4"/>
      <c r="AS1099" s="4"/>
      <c r="AT1099" s="4"/>
    </row>
    <row r="1100" spans="1:46">
      <c r="A1100" s="4" t="s">
        <v>4595</v>
      </c>
      <c r="B1100" s="4"/>
      <c r="C1100" s="4" t="s">
        <v>4595</v>
      </c>
      <c r="D1100" s="4" t="s">
        <v>4595</v>
      </c>
      <c r="E1100" s="4" t="s">
        <v>4308</v>
      </c>
      <c r="F1100" s="4" t="s">
        <v>4596</v>
      </c>
      <c r="G1100" s="4" t="s">
        <v>456</v>
      </c>
      <c r="H1100" s="4" t="s">
        <v>4597</v>
      </c>
      <c r="I1100" s="4">
        <v>47</v>
      </c>
      <c r="J1100" s="4">
        <v>0.2</v>
      </c>
      <c r="K1100" s="4" t="s">
        <v>1488</v>
      </c>
      <c r="L1100" s="4" t="s">
        <v>65</v>
      </c>
      <c r="M1100" s="4">
        <v>20</v>
      </c>
      <c r="N1100" s="4">
        <v>36</v>
      </c>
      <c r="O1100" s="4">
        <v>71.745000000000005</v>
      </c>
      <c r="P1100" s="4">
        <v>-164.166</v>
      </c>
      <c r="Q1100" s="4">
        <v>2.27</v>
      </c>
      <c r="R1100" s="4">
        <v>32.1</v>
      </c>
      <c r="S1100" s="4">
        <v>354.12</v>
      </c>
      <c r="T1100" s="4"/>
      <c r="U1100" s="4"/>
      <c r="V1100" s="4"/>
      <c r="W1100" s="4">
        <v>1.736</v>
      </c>
      <c r="X1100" s="4">
        <v>2</v>
      </c>
      <c r="Y1100" s="4">
        <v>1.548</v>
      </c>
      <c r="Z1100" s="4"/>
      <c r="AA1100" s="4">
        <v>0.68</v>
      </c>
      <c r="AB1100" s="4">
        <v>9.25</v>
      </c>
      <c r="AC1100" s="4"/>
      <c r="AD1100" s="4"/>
      <c r="AE1100" s="4">
        <v>0.49</v>
      </c>
      <c r="AF1100" s="4">
        <v>1.1399999999999999</v>
      </c>
      <c r="AG1100" s="4"/>
      <c r="AH1100" s="4" t="s">
        <v>4598</v>
      </c>
      <c r="AI1100" s="4">
        <v>2</v>
      </c>
      <c r="AJ1100" s="4"/>
      <c r="AK1100" s="4"/>
      <c r="AL1100" s="4">
        <v>90.549000000000007</v>
      </c>
      <c r="AM1100" s="4"/>
      <c r="AN1100" s="4"/>
      <c r="AO1100" s="4"/>
      <c r="AP1100" s="4"/>
      <c r="AQ1100" s="4"/>
      <c r="AR1100" s="4"/>
      <c r="AS1100" s="4"/>
      <c r="AT1100" s="4"/>
    </row>
    <row r="1101" spans="1:46">
      <c r="A1101" s="4" t="s">
        <v>4599</v>
      </c>
      <c r="B1101" s="4"/>
      <c r="C1101" s="4" t="s">
        <v>4599</v>
      </c>
      <c r="D1101" s="4" t="s">
        <v>4599</v>
      </c>
      <c r="E1101" s="4" t="s">
        <v>4308</v>
      </c>
      <c r="F1101" s="4" t="s">
        <v>4596</v>
      </c>
      <c r="G1101" s="4" t="s">
        <v>456</v>
      </c>
      <c r="H1101" s="4" t="s">
        <v>4597</v>
      </c>
      <c r="I1101" s="4">
        <v>47</v>
      </c>
      <c r="J1101" s="4">
        <v>0.2</v>
      </c>
      <c r="K1101" s="4" t="s">
        <v>150</v>
      </c>
      <c r="L1101" s="4" t="s">
        <v>78</v>
      </c>
      <c r="M1101" s="4">
        <v>33</v>
      </c>
      <c r="N1101" s="4">
        <v>36</v>
      </c>
      <c r="O1101" s="4">
        <v>71.745000000000005</v>
      </c>
      <c r="P1101" s="4">
        <v>-164.166</v>
      </c>
      <c r="Q1101" s="4">
        <v>1.49</v>
      </c>
      <c r="R1101" s="4">
        <v>32.18</v>
      </c>
      <c r="S1101" s="4">
        <v>298.01600000000002</v>
      </c>
      <c r="T1101" s="4"/>
      <c r="U1101" s="4"/>
      <c r="V1101" s="4"/>
      <c r="W1101" s="4">
        <v>1.0680000000000001</v>
      </c>
      <c r="X1101" s="4">
        <v>1</v>
      </c>
      <c r="Y1101" s="4">
        <v>1.3560000000000001</v>
      </c>
      <c r="Z1101" s="4"/>
      <c r="AA1101" s="4">
        <v>1.04</v>
      </c>
      <c r="AB1101" s="4">
        <v>17.079999999999998</v>
      </c>
      <c r="AC1101" s="4"/>
      <c r="AD1101" s="4"/>
      <c r="AE1101" s="4">
        <v>3.22</v>
      </c>
      <c r="AF1101" s="4">
        <v>1.06</v>
      </c>
      <c r="AG1101" s="4"/>
      <c r="AH1101" s="4" t="s">
        <v>4600</v>
      </c>
      <c r="AI1101" s="4">
        <v>1</v>
      </c>
      <c r="AJ1101" s="4"/>
      <c r="AK1101" s="4"/>
      <c r="AL1101" s="4">
        <v>80.847300000000004</v>
      </c>
      <c r="AM1101" s="4"/>
      <c r="AN1101" s="4"/>
      <c r="AO1101" s="4"/>
      <c r="AP1101" s="4"/>
      <c r="AQ1101" s="4">
        <v>-1.0159209549999999</v>
      </c>
      <c r="AR1101" s="4"/>
      <c r="AS1101" s="4"/>
      <c r="AT1101" s="4"/>
    </row>
    <row r="1102" spans="1:46">
      <c r="A1102" s="4" t="s">
        <v>4601</v>
      </c>
      <c r="B1102" s="4"/>
      <c r="C1102" s="4" t="s">
        <v>4601</v>
      </c>
      <c r="D1102" s="4" t="s">
        <v>4601</v>
      </c>
      <c r="E1102" s="4" t="s">
        <v>4308</v>
      </c>
      <c r="F1102" s="4" t="s">
        <v>4596</v>
      </c>
      <c r="G1102" s="4" t="s">
        <v>456</v>
      </c>
      <c r="H1102" s="4" t="s">
        <v>4597</v>
      </c>
      <c r="I1102" s="4">
        <v>47</v>
      </c>
      <c r="J1102" s="4">
        <v>0.2</v>
      </c>
      <c r="K1102" s="4" t="s">
        <v>52</v>
      </c>
      <c r="L1102" s="4" t="s">
        <v>52</v>
      </c>
      <c r="M1102" s="4">
        <v>5</v>
      </c>
      <c r="N1102" s="4">
        <v>36</v>
      </c>
      <c r="O1102" s="4">
        <v>71.745000000000005</v>
      </c>
      <c r="P1102" s="4">
        <v>-164.166</v>
      </c>
      <c r="Q1102" s="4">
        <v>5.82</v>
      </c>
      <c r="R1102" s="4">
        <v>30.77</v>
      </c>
      <c r="S1102" s="4">
        <v>300.17899999999997</v>
      </c>
      <c r="T1102" s="4"/>
      <c r="U1102" s="4"/>
      <c r="V1102" s="4"/>
      <c r="W1102" s="4">
        <v>0.34899999999999998</v>
      </c>
      <c r="X1102" s="4">
        <v>4</v>
      </c>
      <c r="Y1102" s="4">
        <v>0.23200000000000001</v>
      </c>
      <c r="Z1102" s="4"/>
      <c r="AA1102" s="4">
        <v>0.36</v>
      </c>
      <c r="AB1102" s="4">
        <v>3.91</v>
      </c>
      <c r="AC1102" s="4"/>
      <c r="AD1102" s="4"/>
      <c r="AE1102" s="4">
        <v>0.27</v>
      </c>
      <c r="AF1102" s="4">
        <v>0.14000000000000001</v>
      </c>
      <c r="AG1102" s="4"/>
      <c r="AH1102" s="4" t="s">
        <v>4602</v>
      </c>
      <c r="AI1102" s="4">
        <v>4</v>
      </c>
      <c r="AJ1102" s="4"/>
      <c r="AK1102" s="4"/>
      <c r="AL1102" s="4">
        <v>94.438199999999995</v>
      </c>
      <c r="AM1102" s="4"/>
      <c r="AN1102" s="4"/>
      <c r="AO1102" s="4"/>
      <c r="AP1102" s="4"/>
      <c r="AQ1102" s="4">
        <v>-1.1344726949999999</v>
      </c>
      <c r="AR1102" s="4"/>
      <c r="AS1102" s="4"/>
      <c r="AT1102" s="4"/>
    </row>
    <row r="1103" spans="1:46">
      <c r="A1103" s="4" t="s">
        <v>4603</v>
      </c>
      <c r="B1103" s="4"/>
      <c r="C1103" s="4" t="s">
        <v>4603</v>
      </c>
      <c r="D1103" s="4" t="s">
        <v>4603</v>
      </c>
      <c r="E1103" s="4" t="s">
        <v>4308</v>
      </c>
      <c r="F1103" s="4" t="s">
        <v>4604</v>
      </c>
      <c r="G1103" s="4" t="s">
        <v>456</v>
      </c>
      <c r="H1103" s="4" t="s">
        <v>4605</v>
      </c>
      <c r="I1103" s="4">
        <v>46</v>
      </c>
      <c r="J1103" s="4">
        <v>0.2</v>
      </c>
      <c r="K1103" s="4" t="s">
        <v>1488</v>
      </c>
      <c r="L1103" s="4" t="s">
        <v>65</v>
      </c>
      <c r="M1103" s="4">
        <v>20</v>
      </c>
      <c r="N1103" s="4">
        <v>37.700000000000003</v>
      </c>
      <c r="O1103" s="4">
        <v>71.870999999999995</v>
      </c>
      <c r="P1103" s="4">
        <v>-164.55600000000001</v>
      </c>
      <c r="Q1103" s="4">
        <v>6.21</v>
      </c>
      <c r="R1103" s="4">
        <v>31.44</v>
      </c>
      <c r="S1103" s="4">
        <v>316.44499999999999</v>
      </c>
      <c r="T1103" s="4"/>
      <c r="U1103" s="4"/>
      <c r="V1103" s="4"/>
      <c r="W1103" s="4">
        <v>0.63600000000000001</v>
      </c>
      <c r="X1103" s="4">
        <v>2</v>
      </c>
      <c r="Y1103" s="4">
        <v>0.42399999999999999</v>
      </c>
      <c r="Z1103" s="4"/>
      <c r="AA1103" s="4">
        <v>0.5</v>
      </c>
      <c r="AB1103" s="4">
        <v>6.41</v>
      </c>
      <c r="AC1103" s="4"/>
      <c r="AD1103" s="4"/>
      <c r="AE1103" s="4">
        <v>0.37</v>
      </c>
      <c r="AF1103" s="4">
        <v>0.51</v>
      </c>
      <c r="AG1103" s="4"/>
      <c r="AH1103" s="4" t="s">
        <v>4606</v>
      </c>
      <c r="AI1103" s="4">
        <v>2</v>
      </c>
      <c r="AJ1103" s="4"/>
      <c r="AK1103" s="4"/>
      <c r="AL1103" s="4">
        <v>94.5</v>
      </c>
      <c r="AM1103" s="4"/>
      <c r="AN1103" s="4"/>
      <c r="AO1103" s="4"/>
      <c r="AP1103" s="4"/>
      <c r="AQ1103" s="4"/>
      <c r="AR1103" s="4"/>
      <c r="AS1103" s="4"/>
      <c r="AT1103" s="4"/>
    </row>
    <row r="1104" spans="1:46">
      <c r="A1104" s="4" t="s">
        <v>4607</v>
      </c>
      <c r="B1104" s="4"/>
      <c r="C1104" s="4" t="s">
        <v>4607</v>
      </c>
      <c r="D1104" s="4" t="s">
        <v>4607</v>
      </c>
      <c r="E1104" s="4" t="s">
        <v>4308</v>
      </c>
      <c r="F1104" s="4" t="s">
        <v>4604</v>
      </c>
      <c r="G1104" s="4" t="s">
        <v>456</v>
      </c>
      <c r="H1104" s="4" t="s">
        <v>4605</v>
      </c>
      <c r="I1104" s="4">
        <v>46</v>
      </c>
      <c r="J1104" s="4">
        <v>0.2</v>
      </c>
      <c r="K1104" s="4" t="s">
        <v>150</v>
      </c>
      <c r="L1104" s="4" t="s">
        <v>78</v>
      </c>
      <c r="M1104" s="4">
        <v>34</v>
      </c>
      <c r="N1104" s="4">
        <v>37.700000000000003</v>
      </c>
      <c r="O1104" s="4">
        <v>71.870999999999995</v>
      </c>
      <c r="P1104" s="4">
        <v>-164.55600000000001</v>
      </c>
      <c r="Q1104" s="4">
        <v>1.1299999999999999</v>
      </c>
      <c r="R1104" s="4">
        <v>32.11</v>
      </c>
      <c r="S1104" s="4">
        <v>302.875</v>
      </c>
      <c r="T1104" s="4"/>
      <c r="U1104" s="4"/>
      <c r="V1104" s="4"/>
      <c r="W1104" s="4">
        <v>0.626</v>
      </c>
      <c r="X1104" s="4">
        <v>1</v>
      </c>
      <c r="Y1104" s="4">
        <v>0.57599999999999996</v>
      </c>
      <c r="Z1104" s="4"/>
      <c r="AA1104" s="4">
        <v>0.84</v>
      </c>
      <c r="AB1104" s="4">
        <v>12.1</v>
      </c>
      <c r="AC1104" s="4"/>
      <c r="AD1104" s="4"/>
      <c r="AE1104" s="4">
        <v>2.84</v>
      </c>
      <c r="AF1104" s="4">
        <v>0.89</v>
      </c>
      <c r="AG1104" s="4"/>
      <c r="AH1104" s="4" t="s">
        <v>4608</v>
      </c>
      <c r="AI1104" s="4">
        <v>1</v>
      </c>
      <c r="AJ1104" s="4"/>
      <c r="AK1104" s="4"/>
      <c r="AL1104" s="4">
        <v>75.737399999999994</v>
      </c>
      <c r="AM1104" s="4"/>
      <c r="AN1104" s="4"/>
      <c r="AO1104" s="4"/>
      <c r="AP1104" s="4"/>
      <c r="AQ1104" s="4">
        <v>-1.2701485749999999</v>
      </c>
      <c r="AR1104" s="4"/>
      <c r="AS1104" s="4"/>
      <c r="AT1104" s="4"/>
    </row>
    <row r="1105" spans="1:46">
      <c r="A1105" s="4" t="s">
        <v>4609</v>
      </c>
      <c r="B1105" s="4"/>
      <c r="C1105" s="4" t="s">
        <v>4609</v>
      </c>
      <c r="D1105" s="4" t="s">
        <v>4609</v>
      </c>
      <c r="E1105" s="4" t="s">
        <v>4308</v>
      </c>
      <c r="F1105" s="4" t="s">
        <v>4604</v>
      </c>
      <c r="G1105" s="4" t="s">
        <v>456</v>
      </c>
      <c r="H1105" s="4" t="s">
        <v>4605</v>
      </c>
      <c r="I1105" s="4">
        <v>46</v>
      </c>
      <c r="J1105" s="4">
        <v>0.2</v>
      </c>
      <c r="K1105" s="4" t="s">
        <v>1688</v>
      </c>
      <c r="L1105" s="4" t="s">
        <v>52</v>
      </c>
      <c r="M1105" s="4">
        <v>5</v>
      </c>
      <c r="N1105" s="4">
        <v>37.700000000000003</v>
      </c>
      <c r="O1105" s="4">
        <v>71.870999999999995</v>
      </c>
      <c r="P1105" s="4">
        <v>-164.55600000000001</v>
      </c>
      <c r="Q1105" s="4">
        <v>6.68</v>
      </c>
      <c r="R1105" s="4">
        <v>31.38</v>
      </c>
      <c r="S1105" s="4">
        <v>293.39400000000001</v>
      </c>
      <c r="T1105" s="4"/>
      <c r="U1105" s="4"/>
      <c r="V1105" s="4"/>
      <c r="W1105" s="4">
        <v>0.442</v>
      </c>
      <c r="X1105" s="4">
        <v>4</v>
      </c>
      <c r="Y1105" s="4">
        <v>0.378</v>
      </c>
      <c r="Z1105" s="4"/>
      <c r="AA1105" s="4">
        <v>0.46</v>
      </c>
      <c r="AB1105" s="4">
        <v>5.69</v>
      </c>
      <c r="AC1105" s="4"/>
      <c r="AD1105" s="4"/>
      <c r="AE1105" s="4">
        <v>0.34</v>
      </c>
      <c r="AF1105" s="4">
        <v>0.16</v>
      </c>
      <c r="AG1105" s="4"/>
      <c r="AH1105" s="4" t="s">
        <v>4610</v>
      </c>
      <c r="AI1105" s="4">
        <v>4</v>
      </c>
      <c r="AJ1105" s="4"/>
      <c r="AK1105" s="4"/>
      <c r="AL1105" s="4">
        <v>93.9542</v>
      </c>
      <c r="AM1105" s="4"/>
      <c r="AN1105" s="4"/>
      <c r="AO1105" s="4"/>
      <c r="AP1105" s="4"/>
      <c r="AQ1105" s="4">
        <v>-1.3505003090000001</v>
      </c>
      <c r="AR1105" s="4"/>
      <c r="AS1105" s="4"/>
      <c r="AT1105" s="4"/>
    </row>
    <row r="1106" spans="1:46">
      <c r="A1106" s="4" t="s">
        <v>4611</v>
      </c>
      <c r="B1106" s="4"/>
      <c r="C1106" s="4" t="s">
        <v>4611</v>
      </c>
      <c r="D1106" s="4" t="s">
        <v>4611</v>
      </c>
      <c r="E1106" s="4" t="s">
        <v>4308</v>
      </c>
      <c r="F1106" s="4" t="s">
        <v>4612</v>
      </c>
      <c r="G1106" s="4" t="s">
        <v>456</v>
      </c>
      <c r="H1106" s="4" t="s">
        <v>4613</v>
      </c>
      <c r="I1106" s="4">
        <v>45</v>
      </c>
      <c r="J1106" s="4">
        <v>0.2</v>
      </c>
      <c r="K1106" s="4" t="s">
        <v>150</v>
      </c>
      <c r="L1106" s="4" t="s">
        <v>78</v>
      </c>
      <c r="M1106" s="4">
        <v>36</v>
      </c>
      <c r="N1106" s="4">
        <v>38.4</v>
      </c>
      <c r="O1106" s="4">
        <v>71.994</v>
      </c>
      <c r="P1106" s="4">
        <v>-164.95400000000001</v>
      </c>
      <c r="Q1106" s="4">
        <v>1.41</v>
      </c>
      <c r="R1106" s="4">
        <v>32.08</v>
      </c>
      <c r="S1106" s="4">
        <v>300.166</v>
      </c>
      <c r="T1106" s="4"/>
      <c r="U1106" s="4"/>
      <c r="V1106" s="4"/>
      <c r="W1106" s="4">
        <v>0.51800000000000002</v>
      </c>
      <c r="X1106" s="4">
        <v>1</v>
      </c>
      <c r="Y1106" s="4">
        <v>0.65600000000000003</v>
      </c>
      <c r="Z1106" s="4"/>
      <c r="AA1106" s="4">
        <v>1.01</v>
      </c>
      <c r="AB1106" s="4">
        <v>15.66</v>
      </c>
      <c r="AC1106" s="4"/>
      <c r="AD1106" s="4"/>
      <c r="AE1106" s="4">
        <v>2.65</v>
      </c>
      <c r="AF1106" s="4">
        <v>3.87</v>
      </c>
      <c r="AG1106" s="4"/>
      <c r="AH1106" s="4" t="s">
        <v>4614</v>
      </c>
      <c r="AI1106" s="4">
        <v>1</v>
      </c>
      <c r="AJ1106" s="4"/>
      <c r="AK1106" s="4"/>
      <c r="AL1106" s="4">
        <v>78.046599999999998</v>
      </c>
      <c r="AM1106" s="4"/>
      <c r="AN1106" s="4"/>
      <c r="AO1106" s="4"/>
      <c r="AP1106" s="4"/>
      <c r="AQ1106" s="4">
        <v>-0.68800038900000005</v>
      </c>
      <c r="AR1106" s="4"/>
      <c r="AS1106" s="4"/>
      <c r="AT1106" s="4"/>
    </row>
    <row r="1107" spans="1:46">
      <c r="A1107" s="4" t="s">
        <v>4615</v>
      </c>
      <c r="B1107" s="4"/>
      <c r="C1107" s="4" t="s">
        <v>4615</v>
      </c>
      <c r="D1107" s="4" t="s">
        <v>4615</v>
      </c>
      <c r="E1107" s="4" t="s">
        <v>4308</v>
      </c>
      <c r="F1107" s="4" t="s">
        <v>4612</v>
      </c>
      <c r="G1107" s="4" t="s">
        <v>456</v>
      </c>
      <c r="H1107" s="4" t="s">
        <v>4613</v>
      </c>
      <c r="I1107" s="4">
        <v>45</v>
      </c>
      <c r="J1107" s="4">
        <v>0.2</v>
      </c>
      <c r="K1107" s="4" t="s">
        <v>1688</v>
      </c>
      <c r="L1107" s="4" t="s">
        <v>52</v>
      </c>
      <c r="M1107" s="4">
        <v>5</v>
      </c>
      <c r="N1107" s="4">
        <v>38.4</v>
      </c>
      <c r="O1107" s="4">
        <v>71.994</v>
      </c>
      <c r="P1107" s="4">
        <v>-164.95400000000001</v>
      </c>
      <c r="Q1107" s="4">
        <v>7.29</v>
      </c>
      <c r="R1107" s="4">
        <v>31.11</v>
      </c>
      <c r="S1107" s="4">
        <v>286.71199999999999</v>
      </c>
      <c r="T1107" s="4"/>
      <c r="U1107" s="4"/>
      <c r="V1107" s="4"/>
      <c r="W1107" s="4">
        <v>0.41199999999999998</v>
      </c>
      <c r="X1107" s="4">
        <v>5</v>
      </c>
      <c r="Y1107" s="4">
        <v>0.16500000000000001</v>
      </c>
      <c r="Z1107" s="4"/>
      <c r="AA1107" s="4">
        <v>0.51</v>
      </c>
      <c r="AB1107" s="4">
        <v>5.69</v>
      </c>
      <c r="AC1107" s="4"/>
      <c r="AD1107" s="4"/>
      <c r="AE1107" s="4">
        <v>0.24</v>
      </c>
      <c r="AF1107" s="4">
        <v>0.2</v>
      </c>
      <c r="AG1107" s="4"/>
      <c r="AH1107" s="4" t="s">
        <v>4616</v>
      </c>
      <c r="AI1107" s="4">
        <v>5</v>
      </c>
      <c r="AJ1107" s="4"/>
      <c r="AK1107" s="4"/>
      <c r="AL1107" s="4">
        <v>93.736999999999995</v>
      </c>
      <c r="AM1107" s="4"/>
      <c r="AN1107" s="4"/>
      <c r="AO1107" s="4"/>
      <c r="AP1107" s="4"/>
      <c r="AQ1107" s="4">
        <v>-1.2163410429999999</v>
      </c>
      <c r="AR1107" s="4"/>
      <c r="AS1107" s="4"/>
      <c r="AT1107" s="4"/>
    </row>
    <row r="1108" spans="1:46">
      <c r="A1108" s="4" t="s">
        <v>4617</v>
      </c>
      <c r="B1108" s="4"/>
      <c r="C1108" s="4" t="s">
        <v>4617</v>
      </c>
      <c r="D1108" s="4" t="s">
        <v>4617</v>
      </c>
      <c r="E1108" s="4" t="s">
        <v>4308</v>
      </c>
      <c r="F1108" s="4" t="s">
        <v>3063</v>
      </c>
      <c r="G1108" s="4" t="s">
        <v>456</v>
      </c>
      <c r="H1108" s="4" t="s">
        <v>4618</v>
      </c>
      <c r="I1108" s="4">
        <v>50</v>
      </c>
      <c r="J1108" s="4">
        <v>0.2</v>
      </c>
      <c r="K1108" s="4" t="s">
        <v>1488</v>
      </c>
      <c r="L1108" s="4" t="s">
        <v>65</v>
      </c>
      <c r="M1108" s="4">
        <v>26</v>
      </c>
      <c r="N1108" s="4">
        <v>40.299999999999997</v>
      </c>
      <c r="O1108" s="4">
        <v>71.488</v>
      </c>
      <c r="P1108" s="4">
        <v>-163.393</v>
      </c>
      <c r="Q1108" s="4">
        <v>1.06</v>
      </c>
      <c r="R1108" s="4">
        <v>32.21</v>
      </c>
      <c r="S1108" s="4">
        <v>347.983</v>
      </c>
      <c r="T1108" s="4"/>
      <c r="U1108" s="4"/>
      <c r="V1108" s="4"/>
      <c r="W1108" s="4">
        <v>3.0979999999999999</v>
      </c>
      <c r="X1108" s="4">
        <v>4</v>
      </c>
      <c r="Y1108" s="4">
        <v>3.0880000000000001</v>
      </c>
      <c r="Z1108" s="4"/>
      <c r="AA1108" s="4">
        <v>1.05</v>
      </c>
      <c r="AB1108" s="4">
        <v>12.81</v>
      </c>
      <c r="AC1108" s="4"/>
      <c r="AD1108" s="4"/>
      <c r="AE1108" s="4">
        <v>2.41</v>
      </c>
      <c r="AF1108" s="4">
        <v>2.34</v>
      </c>
      <c r="AG1108" s="4"/>
      <c r="AH1108" s="4" t="s">
        <v>4619</v>
      </c>
      <c r="AI1108" s="4">
        <v>4</v>
      </c>
      <c r="AJ1108" s="4"/>
      <c r="AK1108" s="4"/>
      <c r="AL1108" s="4">
        <v>84.000900000000001</v>
      </c>
      <c r="AM1108" s="4"/>
      <c r="AN1108" s="4"/>
      <c r="AO1108" s="4"/>
      <c r="AP1108" s="4"/>
      <c r="AQ1108" s="4"/>
      <c r="AR1108" s="4"/>
      <c r="AS1108" s="4"/>
      <c r="AT1108" s="4"/>
    </row>
    <row r="1109" spans="1:46">
      <c r="A1109" s="4" t="s">
        <v>4620</v>
      </c>
      <c r="B1109" s="4"/>
      <c r="C1109" s="4" t="s">
        <v>4620</v>
      </c>
      <c r="D1109" s="4" t="s">
        <v>4620</v>
      </c>
      <c r="E1109" s="4" t="s">
        <v>4308</v>
      </c>
      <c r="F1109" s="4" t="s">
        <v>3063</v>
      </c>
      <c r="G1109" s="4" t="s">
        <v>456</v>
      </c>
      <c r="H1109" s="4" t="s">
        <v>4618</v>
      </c>
      <c r="I1109" s="4">
        <v>50</v>
      </c>
      <c r="J1109" s="4">
        <v>0.2</v>
      </c>
      <c r="K1109" s="4" t="s">
        <v>150</v>
      </c>
      <c r="L1109" s="4" t="s">
        <v>78</v>
      </c>
      <c r="M1109" s="4">
        <v>38</v>
      </c>
      <c r="N1109" s="4">
        <v>40.299999999999997</v>
      </c>
      <c r="O1109" s="4">
        <v>71.488</v>
      </c>
      <c r="P1109" s="4">
        <v>-163.393</v>
      </c>
      <c r="Q1109" s="4">
        <v>0.71</v>
      </c>
      <c r="R1109" s="4">
        <v>32.229999999999997</v>
      </c>
      <c r="S1109" s="4">
        <v>299.68099999999998</v>
      </c>
      <c r="T1109" s="4"/>
      <c r="U1109" s="4"/>
      <c r="V1109" s="4"/>
      <c r="W1109" s="4">
        <v>1.3540000000000001</v>
      </c>
      <c r="X1109" s="4">
        <v>1</v>
      </c>
      <c r="Y1109" s="4">
        <v>2.1160000000000001</v>
      </c>
      <c r="Z1109" s="4"/>
      <c r="AA1109" s="4">
        <v>1.5</v>
      </c>
      <c r="AB1109" s="4">
        <v>14.23</v>
      </c>
      <c r="AC1109" s="4"/>
      <c r="AD1109" s="4"/>
      <c r="AE1109" s="4">
        <v>3.68</v>
      </c>
      <c r="AF1109" s="4">
        <v>2.66</v>
      </c>
      <c r="AG1109" s="4"/>
      <c r="AH1109" s="4" t="s">
        <v>4621</v>
      </c>
      <c r="AI1109" s="4">
        <v>1</v>
      </c>
      <c r="AJ1109" s="4"/>
      <c r="AK1109" s="4"/>
      <c r="AL1109" s="4">
        <v>80.980900000000005</v>
      </c>
      <c r="AM1109" s="4"/>
      <c r="AN1109" s="4"/>
      <c r="AO1109" s="4"/>
      <c r="AP1109" s="4"/>
      <c r="AQ1109" s="4">
        <v>-1.0594476779999999</v>
      </c>
      <c r="AR1109" s="4"/>
      <c r="AS1109" s="4"/>
      <c r="AT1109" s="4"/>
    </row>
    <row r="1110" spans="1:46">
      <c r="A1110" s="4" t="s">
        <v>4622</v>
      </c>
      <c r="B1110" s="4"/>
      <c r="C1110" s="4" t="s">
        <v>4622</v>
      </c>
      <c r="D1110" s="4" t="s">
        <v>4622</v>
      </c>
      <c r="E1110" s="4" t="s">
        <v>4308</v>
      </c>
      <c r="F1110" s="4" t="s">
        <v>3063</v>
      </c>
      <c r="G1110" s="4" t="s">
        <v>456</v>
      </c>
      <c r="H1110" s="4" t="s">
        <v>4618</v>
      </c>
      <c r="I1110" s="4">
        <v>50</v>
      </c>
      <c r="J1110" s="4">
        <v>0.2</v>
      </c>
      <c r="K1110" s="4" t="s">
        <v>1688</v>
      </c>
      <c r="L1110" s="4" t="s">
        <v>52</v>
      </c>
      <c r="M1110" s="4">
        <v>5</v>
      </c>
      <c r="N1110" s="4">
        <v>40.299999999999997</v>
      </c>
      <c r="O1110" s="4">
        <v>71.488</v>
      </c>
      <c r="P1110" s="4">
        <v>-163.393</v>
      </c>
      <c r="Q1110" s="4">
        <v>5.82</v>
      </c>
      <c r="R1110" s="4">
        <v>30.67</v>
      </c>
      <c r="S1110" s="4">
        <v>299.57299999999998</v>
      </c>
      <c r="T1110" s="4"/>
      <c r="U1110" s="4"/>
      <c r="V1110" s="4"/>
      <c r="W1110" s="4">
        <v>0.33500000000000002</v>
      </c>
      <c r="X1110" s="4">
        <v>7</v>
      </c>
      <c r="Y1110" s="4">
        <v>0.22600000000000001</v>
      </c>
      <c r="Z1110" s="4"/>
      <c r="AA1110" s="4">
        <v>0.28999999999999998</v>
      </c>
      <c r="AB1110" s="4">
        <v>3.56</v>
      </c>
      <c r="AC1110" s="4"/>
      <c r="AD1110" s="4"/>
      <c r="AE1110" s="4">
        <v>0.61</v>
      </c>
      <c r="AF1110" s="4">
        <v>0.59</v>
      </c>
      <c r="AG1110" s="4"/>
      <c r="AH1110" s="4" t="s">
        <v>4623</v>
      </c>
      <c r="AI1110" s="4">
        <v>7</v>
      </c>
      <c r="AJ1110" s="4"/>
      <c r="AK1110" s="4"/>
      <c r="AL1110" s="4">
        <v>94.464100000000002</v>
      </c>
      <c r="AM1110" s="4"/>
      <c r="AN1110" s="4"/>
      <c r="AO1110" s="4"/>
      <c r="AP1110" s="4"/>
      <c r="AQ1110" s="4">
        <v>-1.269667192</v>
      </c>
      <c r="AR1110" s="4"/>
      <c r="AS1110" s="4"/>
      <c r="AT1110" s="4"/>
    </row>
    <row r="1111" spans="1:46">
      <c r="A1111" s="4" t="s">
        <v>4624</v>
      </c>
      <c r="B1111" s="4"/>
      <c r="C1111" s="4" t="s">
        <v>4624</v>
      </c>
      <c r="D1111" s="4" t="s">
        <v>4624</v>
      </c>
      <c r="E1111" s="4" t="s">
        <v>4308</v>
      </c>
      <c r="F1111" s="4" t="s">
        <v>1407</v>
      </c>
      <c r="G1111" s="4" t="s">
        <v>456</v>
      </c>
      <c r="H1111" s="4" t="s">
        <v>4625</v>
      </c>
      <c r="I1111" s="4">
        <v>58</v>
      </c>
      <c r="J1111" s="4">
        <v>0.2</v>
      </c>
      <c r="K1111" s="4" t="s">
        <v>150</v>
      </c>
      <c r="L1111" s="4" t="s">
        <v>78</v>
      </c>
      <c r="M1111" s="4">
        <v>41</v>
      </c>
      <c r="N1111" s="4">
        <v>43.4</v>
      </c>
      <c r="O1111" s="4">
        <v>70.972999999999999</v>
      </c>
      <c r="P1111" s="4">
        <v>-161.90100000000001</v>
      </c>
      <c r="Q1111" s="4">
        <v>-0.89</v>
      </c>
      <c r="R1111" s="4">
        <v>32.229999999999997</v>
      </c>
      <c r="S1111" s="4">
        <v>356.00700000000001</v>
      </c>
      <c r="T1111" s="4"/>
      <c r="U1111" s="4"/>
      <c r="V1111" s="4"/>
      <c r="W1111" s="4">
        <v>1.1759999999999999</v>
      </c>
      <c r="X1111" s="4">
        <v>1</v>
      </c>
      <c r="Y1111" s="4">
        <v>1.92</v>
      </c>
      <c r="Z1111" s="4"/>
      <c r="AA1111" s="4">
        <v>1.01</v>
      </c>
      <c r="AB1111" s="4">
        <v>6.76</v>
      </c>
      <c r="AC1111" s="4"/>
      <c r="AD1111" s="4"/>
      <c r="AE1111" s="4">
        <v>1.87</v>
      </c>
      <c r="AF1111" s="4">
        <v>5.24</v>
      </c>
      <c r="AG1111" s="4"/>
      <c r="AH1111" s="4" t="s">
        <v>4626</v>
      </c>
      <c r="AI1111" s="4">
        <v>1</v>
      </c>
      <c r="AJ1111" s="4"/>
      <c r="AK1111" s="4"/>
      <c r="AL1111" s="4">
        <v>86.488100000000003</v>
      </c>
      <c r="AM1111" s="4"/>
      <c r="AN1111" s="4"/>
      <c r="AO1111" s="4"/>
      <c r="AP1111" s="4"/>
      <c r="AQ1111" s="4">
        <v>-0.73070381600000001</v>
      </c>
      <c r="AR1111" s="4"/>
      <c r="AS1111" s="4"/>
      <c r="AT1111" s="4"/>
    </row>
    <row r="1112" spans="1:46">
      <c r="A1112" s="4" t="s">
        <v>4627</v>
      </c>
      <c r="B1112" s="4"/>
      <c r="C1112" s="4" t="s">
        <v>4627</v>
      </c>
      <c r="D1112" s="4" t="s">
        <v>4627</v>
      </c>
      <c r="E1112" s="4" t="s">
        <v>4308</v>
      </c>
      <c r="F1112" s="4" t="s">
        <v>1407</v>
      </c>
      <c r="G1112" s="4" t="s">
        <v>456</v>
      </c>
      <c r="H1112" s="4" t="s">
        <v>4625</v>
      </c>
      <c r="I1112" s="4">
        <v>58</v>
      </c>
      <c r="J1112" s="4">
        <v>0.2</v>
      </c>
      <c r="K1112" s="4" t="s">
        <v>1688</v>
      </c>
      <c r="L1112" s="4" t="s">
        <v>52</v>
      </c>
      <c r="M1112" s="4">
        <v>5</v>
      </c>
      <c r="N1112" s="4">
        <v>43.4</v>
      </c>
      <c r="O1112" s="4">
        <v>70.972999999999999</v>
      </c>
      <c r="P1112" s="4">
        <v>-161.90100000000001</v>
      </c>
      <c r="Q1112" s="4">
        <v>7.21</v>
      </c>
      <c r="R1112" s="4">
        <v>30.88</v>
      </c>
      <c r="S1112" s="4">
        <v>291.13200000000001</v>
      </c>
      <c r="T1112" s="4"/>
      <c r="U1112" s="4"/>
      <c r="V1112" s="4"/>
      <c r="W1112" s="4">
        <v>0.46300000000000002</v>
      </c>
      <c r="X1112" s="4">
        <v>5</v>
      </c>
      <c r="Y1112" s="4">
        <v>0.44800000000000001</v>
      </c>
      <c r="Z1112" s="4"/>
      <c r="AA1112" s="4">
        <v>0.48</v>
      </c>
      <c r="AB1112" s="4">
        <v>5.69</v>
      </c>
      <c r="AC1112" s="4"/>
      <c r="AD1112" s="4"/>
      <c r="AE1112" s="4">
        <v>0.34</v>
      </c>
      <c r="AF1112" s="4">
        <v>0.61</v>
      </c>
      <c r="AG1112" s="4"/>
      <c r="AH1112" s="4" t="s">
        <v>4628</v>
      </c>
      <c r="AI1112" s="4">
        <v>5</v>
      </c>
      <c r="AJ1112" s="4"/>
      <c r="AK1112" s="4"/>
      <c r="AL1112" s="4">
        <v>94.300299999999993</v>
      </c>
      <c r="AM1112" s="4"/>
      <c r="AN1112" s="4"/>
      <c r="AO1112" s="4"/>
      <c r="AP1112" s="4"/>
      <c r="AQ1112" s="4">
        <v>-1.272209291</v>
      </c>
      <c r="AR1112" s="4"/>
      <c r="AS1112" s="4"/>
      <c r="AT1112" s="4"/>
    </row>
    <row r="1113" spans="1:46">
      <c r="A1113" s="4" t="s">
        <v>4629</v>
      </c>
      <c r="B1113" s="4"/>
      <c r="C1113" s="4" t="s">
        <v>4629</v>
      </c>
      <c r="D1113" s="4" t="s">
        <v>4629</v>
      </c>
      <c r="E1113" s="4" t="s">
        <v>4308</v>
      </c>
      <c r="F1113" s="4" t="s">
        <v>2942</v>
      </c>
      <c r="G1113" s="4" t="s">
        <v>456</v>
      </c>
      <c r="H1113" s="4" t="s">
        <v>4630</v>
      </c>
      <c r="I1113" s="4">
        <v>56</v>
      </c>
      <c r="J1113" s="4">
        <v>0.2</v>
      </c>
      <c r="K1113" s="4" t="s">
        <v>1688</v>
      </c>
      <c r="L1113" s="4" t="s">
        <v>52</v>
      </c>
      <c r="M1113" s="4">
        <v>5</v>
      </c>
      <c r="N1113" s="4">
        <v>44.4</v>
      </c>
      <c r="O1113" s="4">
        <v>71.103999999999999</v>
      </c>
      <c r="P1113" s="4">
        <v>-162.255</v>
      </c>
      <c r="Q1113" s="4">
        <v>7.53</v>
      </c>
      <c r="R1113" s="4">
        <v>30.77</v>
      </c>
      <c r="S1113" s="4">
        <v>288.35000000000002</v>
      </c>
      <c r="T1113" s="4"/>
      <c r="U1113" s="4"/>
      <c r="V1113" s="4"/>
      <c r="W1113" s="4">
        <v>0.47899999999999998</v>
      </c>
      <c r="X1113" s="4">
        <v>5</v>
      </c>
      <c r="Y1113" s="4">
        <v>0.45600000000000002</v>
      </c>
      <c r="Z1113" s="4"/>
      <c r="AA1113" s="4">
        <v>0.51</v>
      </c>
      <c r="AB1113" s="4">
        <v>5.69</v>
      </c>
      <c r="AC1113" s="4"/>
      <c r="AD1113" s="4"/>
      <c r="AE1113" s="4">
        <v>0.61</v>
      </c>
      <c r="AF1113" s="4">
        <v>0.34</v>
      </c>
      <c r="AG1113" s="4"/>
      <c r="AH1113" s="4" t="s">
        <v>4631</v>
      </c>
      <c r="AI1113" s="4">
        <v>5</v>
      </c>
      <c r="AJ1113" s="4"/>
      <c r="AK1113" s="4"/>
      <c r="AL1113" s="4">
        <v>93.6614</v>
      </c>
      <c r="AM1113" s="4"/>
      <c r="AN1113" s="4"/>
      <c r="AO1113" s="4"/>
      <c r="AP1113" s="4"/>
      <c r="AQ1113" s="4">
        <v>-1.5867014340000001</v>
      </c>
      <c r="AR1113" s="4"/>
      <c r="AS1113" s="4"/>
      <c r="AT1113" s="4"/>
    </row>
    <row r="1114" spans="1:46">
      <c r="A1114" s="4" t="s">
        <v>4632</v>
      </c>
      <c r="B1114" s="4"/>
      <c r="C1114" s="4" t="s">
        <v>4632</v>
      </c>
      <c r="D1114" s="4" t="s">
        <v>4632</v>
      </c>
      <c r="E1114" s="4" t="s">
        <v>4308</v>
      </c>
      <c r="F1114" s="4" t="s">
        <v>2942</v>
      </c>
      <c r="G1114" s="4" t="s">
        <v>456</v>
      </c>
      <c r="H1114" s="4" t="s">
        <v>4630</v>
      </c>
      <c r="I1114" s="4">
        <v>56</v>
      </c>
      <c r="J1114" s="4">
        <v>0.2</v>
      </c>
      <c r="K1114" s="4" t="s">
        <v>150</v>
      </c>
      <c r="L1114" s="4" t="s">
        <v>78</v>
      </c>
      <c r="M1114" s="4">
        <v>42</v>
      </c>
      <c r="N1114" s="4">
        <v>44.4</v>
      </c>
      <c r="O1114" s="4">
        <v>71.103999999999999</v>
      </c>
      <c r="P1114" s="4">
        <v>-162.255</v>
      </c>
      <c r="Q1114" s="4">
        <v>-1.19</v>
      </c>
      <c r="R1114" s="4">
        <v>32.270000000000003</v>
      </c>
      <c r="S1114" s="4">
        <v>335.14499999999998</v>
      </c>
      <c r="T1114" s="4"/>
      <c r="U1114" s="4"/>
      <c r="V1114" s="4"/>
      <c r="W1114" s="4">
        <v>1.4510000000000001</v>
      </c>
      <c r="X1114" s="4">
        <v>1</v>
      </c>
      <c r="Y1114" s="4">
        <v>2.6560000000000001</v>
      </c>
      <c r="Z1114" s="4"/>
      <c r="AA1114" s="4">
        <v>1.27</v>
      </c>
      <c r="AB1114" s="4">
        <v>6.41</v>
      </c>
      <c r="AC1114" s="4"/>
      <c r="AD1114" s="4"/>
      <c r="AE1114" s="4">
        <v>6.73</v>
      </c>
      <c r="AF1114" s="4">
        <v>3.73</v>
      </c>
      <c r="AG1114" s="4"/>
      <c r="AH1114" s="4" t="s">
        <v>4633</v>
      </c>
      <c r="AI1114" s="4">
        <v>1</v>
      </c>
      <c r="AJ1114" s="4"/>
      <c r="AK1114" s="4"/>
      <c r="AL1114" s="4">
        <v>84.430499999999995</v>
      </c>
      <c r="AM1114" s="4"/>
      <c r="AN1114" s="4"/>
      <c r="AO1114" s="4"/>
      <c r="AP1114" s="4"/>
      <c r="AQ1114" s="4">
        <v>-0.81631784600000001</v>
      </c>
      <c r="AR1114" s="4"/>
      <c r="AS1114" s="4"/>
      <c r="AT1114" s="4"/>
    </row>
    <row r="1115" spans="1:46">
      <c r="A1115" s="4" t="s">
        <v>4634</v>
      </c>
      <c r="B1115" s="4"/>
      <c r="C1115" s="4" t="s">
        <v>4634</v>
      </c>
      <c r="D1115" s="4" t="s">
        <v>4634</v>
      </c>
      <c r="E1115" s="4" t="s">
        <v>4308</v>
      </c>
      <c r="F1115" s="4" t="s">
        <v>2986</v>
      </c>
      <c r="G1115" s="4" t="s">
        <v>456</v>
      </c>
      <c r="H1115" s="4" t="s">
        <v>4635</v>
      </c>
      <c r="I1115" s="4">
        <v>54</v>
      </c>
      <c r="J1115" s="4">
        <v>0.2</v>
      </c>
      <c r="K1115" s="4" t="s">
        <v>150</v>
      </c>
      <c r="L1115" s="4" t="s">
        <v>78</v>
      </c>
      <c r="M1115" s="4">
        <v>41</v>
      </c>
      <c r="N1115" s="4">
        <v>43.5</v>
      </c>
      <c r="O1115" s="4">
        <v>71.233000000000004</v>
      </c>
      <c r="P1115" s="4">
        <v>-162.636</v>
      </c>
      <c r="Q1115" s="4">
        <v>-1.3</v>
      </c>
      <c r="R1115" s="4">
        <v>32.26</v>
      </c>
      <c r="S1115" s="4">
        <v>308.61900000000003</v>
      </c>
      <c r="T1115" s="4"/>
      <c r="U1115" s="4"/>
      <c r="V1115" s="4"/>
      <c r="W1115" s="4">
        <v>5.1529999999999996</v>
      </c>
      <c r="X1115" s="4">
        <v>1</v>
      </c>
      <c r="Y1115" s="4">
        <v>11.36</v>
      </c>
      <c r="Z1115" s="4"/>
      <c r="AA1115" s="4">
        <v>1.42</v>
      </c>
      <c r="AB1115" s="4">
        <v>18.510000000000002</v>
      </c>
      <c r="AC1115" s="4"/>
      <c r="AD1115" s="4"/>
      <c r="AE1115" s="4">
        <v>3.66</v>
      </c>
      <c r="AF1115" s="4">
        <v>10.210000000000001</v>
      </c>
      <c r="AG1115" s="4"/>
      <c r="AH1115" s="4" t="s">
        <v>4636</v>
      </c>
      <c r="AI1115" s="4">
        <v>1</v>
      </c>
      <c r="AJ1115" s="4"/>
      <c r="AK1115" s="4"/>
      <c r="AL1115" s="4">
        <v>78.595100000000002</v>
      </c>
      <c r="AM1115" s="4"/>
      <c r="AN1115" s="4"/>
      <c r="AO1115" s="4"/>
      <c r="AP1115" s="4"/>
      <c r="AQ1115" s="4">
        <v>-0.335358239</v>
      </c>
      <c r="AR1115" s="4"/>
      <c r="AS1115" s="4"/>
      <c r="AT1115" s="4"/>
    </row>
    <row r="1116" spans="1:46">
      <c r="A1116" s="4" t="s">
        <v>4637</v>
      </c>
      <c r="B1116" s="4"/>
      <c r="C1116" s="4" t="s">
        <v>4637</v>
      </c>
      <c r="D1116" s="4" t="s">
        <v>4637</v>
      </c>
      <c r="E1116" s="4" t="s">
        <v>4308</v>
      </c>
      <c r="F1116" s="4" t="s">
        <v>2986</v>
      </c>
      <c r="G1116" s="4" t="s">
        <v>456</v>
      </c>
      <c r="H1116" s="4" t="s">
        <v>4635</v>
      </c>
      <c r="I1116" s="4">
        <v>54</v>
      </c>
      <c r="J1116" s="4">
        <v>0.2</v>
      </c>
      <c r="K1116" s="4" t="s">
        <v>1688</v>
      </c>
      <c r="L1116" s="4" t="s">
        <v>52</v>
      </c>
      <c r="M1116" s="4">
        <v>5</v>
      </c>
      <c r="N1116" s="4">
        <v>43.5</v>
      </c>
      <c r="O1116" s="4">
        <v>71.233000000000004</v>
      </c>
      <c r="P1116" s="4">
        <v>-162.636</v>
      </c>
      <c r="Q1116" s="4">
        <v>5.73</v>
      </c>
      <c r="R1116" s="4">
        <v>30.25</v>
      </c>
      <c r="S1116" s="4">
        <v>308.76299999999998</v>
      </c>
      <c r="T1116" s="4"/>
      <c r="U1116" s="4"/>
      <c r="V1116" s="4"/>
      <c r="W1116" s="4">
        <v>0.193</v>
      </c>
      <c r="X1116" s="4">
        <v>5</v>
      </c>
      <c r="Y1116" s="4">
        <v>0.185</v>
      </c>
      <c r="Z1116" s="4"/>
      <c r="AA1116" s="4">
        <v>0.27</v>
      </c>
      <c r="AB1116" s="4">
        <v>4.2699999999999996</v>
      </c>
      <c r="AC1116" s="4"/>
      <c r="AD1116" s="4"/>
      <c r="AE1116" s="4">
        <v>0.35</v>
      </c>
      <c r="AF1116" s="4">
        <v>0.28999999999999998</v>
      </c>
      <c r="AG1116" s="4"/>
      <c r="AH1116" s="4" t="s">
        <v>4638</v>
      </c>
      <c r="AI1116" s="4">
        <v>5</v>
      </c>
      <c r="AJ1116" s="4"/>
      <c r="AK1116" s="4"/>
      <c r="AL1116" s="4">
        <v>95.874399999999994</v>
      </c>
      <c r="AM1116" s="4"/>
      <c r="AN1116" s="4"/>
      <c r="AO1116" s="4"/>
      <c r="AP1116" s="4"/>
      <c r="AQ1116" s="4">
        <v>-0.90762247299999999</v>
      </c>
      <c r="AR1116" s="4"/>
      <c r="AS1116" s="4"/>
      <c r="AT1116" s="4"/>
    </row>
    <row r="1117" spans="1:46">
      <c r="A1117" s="4" t="s">
        <v>4639</v>
      </c>
      <c r="B1117" s="4"/>
      <c r="C1117" s="4" t="s">
        <v>4639</v>
      </c>
      <c r="D1117" s="4" t="s">
        <v>4639</v>
      </c>
      <c r="E1117" s="4" t="s">
        <v>4308</v>
      </c>
      <c r="F1117" s="4" t="s">
        <v>3031</v>
      </c>
      <c r="G1117" s="4" t="s">
        <v>456</v>
      </c>
      <c r="H1117" s="4" t="s">
        <v>4640</v>
      </c>
      <c r="I1117" s="4">
        <v>52</v>
      </c>
      <c r="J1117" s="4">
        <v>0.2</v>
      </c>
      <c r="K1117" s="4" t="s">
        <v>150</v>
      </c>
      <c r="L1117" s="4" t="s">
        <v>78</v>
      </c>
      <c r="M1117" s="4">
        <v>40</v>
      </c>
      <c r="N1117" s="4">
        <v>43.2</v>
      </c>
      <c r="O1117" s="4">
        <v>71.361999999999995</v>
      </c>
      <c r="P1117" s="4">
        <v>-163.00299999999999</v>
      </c>
      <c r="Q1117" s="4">
        <v>-0.28000000000000003</v>
      </c>
      <c r="R1117" s="4">
        <v>32.200000000000003</v>
      </c>
      <c r="S1117" s="4">
        <v>340.06299999999999</v>
      </c>
      <c r="T1117" s="4"/>
      <c r="U1117" s="4"/>
      <c r="V1117" s="4"/>
      <c r="W1117" s="4">
        <v>2.585</v>
      </c>
      <c r="X1117" s="4">
        <v>4</v>
      </c>
      <c r="Y1117" s="4">
        <v>4.2</v>
      </c>
      <c r="Z1117" s="4"/>
      <c r="AA1117" s="4">
        <v>1.05</v>
      </c>
      <c r="AB1117" s="4">
        <v>9.25</v>
      </c>
      <c r="AC1117" s="4"/>
      <c r="AD1117" s="4"/>
      <c r="AE1117" s="4">
        <v>2.65</v>
      </c>
      <c r="AF1117" s="4">
        <v>6.99</v>
      </c>
      <c r="AG1117" s="4"/>
      <c r="AH1117" s="4" t="s">
        <v>4641</v>
      </c>
      <c r="AI1117" s="4">
        <v>4</v>
      </c>
      <c r="AJ1117" s="4"/>
      <c r="AK1117" s="4"/>
      <c r="AL1117" s="4">
        <v>82.043099999999995</v>
      </c>
      <c r="AM1117" s="4"/>
      <c r="AN1117" s="4"/>
      <c r="AO1117" s="4"/>
      <c r="AP1117" s="4"/>
      <c r="AQ1117" s="4">
        <v>-0.59959249000000003</v>
      </c>
      <c r="AR1117" s="4"/>
      <c r="AS1117" s="4"/>
      <c r="AT1117" s="4"/>
    </row>
    <row r="1118" spans="1:46">
      <c r="A1118" s="4" t="s">
        <v>4642</v>
      </c>
      <c r="B1118" s="4"/>
      <c r="C1118" s="4" t="s">
        <v>4642</v>
      </c>
      <c r="D1118" s="4" t="s">
        <v>4642</v>
      </c>
      <c r="E1118" s="4" t="s">
        <v>4308</v>
      </c>
      <c r="F1118" s="4" t="s">
        <v>3031</v>
      </c>
      <c r="G1118" s="4" t="s">
        <v>456</v>
      </c>
      <c r="H1118" s="4" t="s">
        <v>4640</v>
      </c>
      <c r="I1118" s="4">
        <v>52</v>
      </c>
      <c r="J1118" s="4">
        <v>0.2</v>
      </c>
      <c r="K1118" s="4" t="s">
        <v>1688</v>
      </c>
      <c r="L1118" s="4" t="s">
        <v>52</v>
      </c>
      <c r="M1118" s="4">
        <v>5</v>
      </c>
      <c r="N1118" s="4">
        <v>43.2</v>
      </c>
      <c r="O1118" s="4">
        <v>71.361999999999995</v>
      </c>
      <c r="P1118" s="4">
        <v>-163.00299999999999</v>
      </c>
      <c r="Q1118" s="4">
        <v>5.5</v>
      </c>
      <c r="R1118" s="4">
        <v>29.51</v>
      </c>
      <c r="S1118" s="4">
        <v>313.90800000000002</v>
      </c>
      <c r="T1118" s="4"/>
      <c r="U1118" s="4"/>
      <c r="V1118" s="4"/>
      <c r="W1118" s="4">
        <v>0.16600000000000001</v>
      </c>
      <c r="X1118" s="4">
        <v>8</v>
      </c>
      <c r="Y1118" s="4">
        <v>0.17499999999999999</v>
      </c>
      <c r="Z1118" s="4"/>
      <c r="AA1118" s="4">
        <v>0.21</v>
      </c>
      <c r="AB1118" s="4">
        <v>3.91</v>
      </c>
      <c r="AC1118" s="4"/>
      <c r="AD1118" s="4"/>
      <c r="AE1118" s="4">
        <v>0.28999999999999998</v>
      </c>
      <c r="AF1118" s="4">
        <v>0.27</v>
      </c>
      <c r="AG1118" s="4"/>
      <c r="AH1118" s="4" t="s">
        <v>4643</v>
      </c>
      <c r="AI1118" s="4">
        <v>8</v>
      </c>
      <c r="AJ1118" s="4"/>
      <c r="AK1118" s="4"/>
      <c r="AL1118" s="4">
        <v>95.699600000000004</v>
      </c>
      <c r="AM1118" s="4"/>
      <c r="AN1118" s="4"/>
      <c r="AO1118" s="4"/>
      <c r="AP1118" s="4"/>
      <c r="AQ1118" s="4">
        <v>-1.1879151590000001</v>
      </c>
      <c r="AR1118" s="4"/>
      <c r="AS1118" s="4"/>
      <c r="AT1118" s="4"/>
    </row>
    <row r="1119" spans="1:46">
      <c r="A1119" s="4" t="s">
        <v>4644</v>
      </c>
      <c r="B1119" s="4"/>
      <c r="C1119" s="4" t="s">
        <v>4644</v>
      </c>
      <c r="D1119" s="4" t="s">
        <v>4644</v>
      </c>
      <c r="E1119" s="4" t="s">
        <v>4308</v>
      </c>
      <c r="F1119" s="4" t="s">
        <v>4645</v>
      </c>
      <c r="G1119" s="4" t="s">
        <v>456</v>
      </c>
      <c r="H1119" s="4" t="s">
        <v>4646</v>
      </c>
      <c r="I1119" s="4">
        <v>63</v>
      </c>
      <c r="J1119" s="4">
        <v>0.2</v>
      </c>
      <c r="K1119" s="4" t="s">
        <v>150</v>
      </c>
      <c r="L1119" s="4" t="s">
        <v>78</v>
      </c>
      <c r="M1119" s="4">
        <v>13</v>
      </c>
      <c r="N1119" s="4">
        <v>15.1</v>
      </c>
      <c r="O1119" s="4">
        <v>70.495999999999995</v>
      </c>
      <c r="P1119" s="4">
        <v>-160.62200000000001</v>
      </c>
      <c r="Q1119" s="4">
        <v>2.21</v>
      </c>
      <c r="R1119" s="4">
        <v>31.79</v>
      </c>
      <c r="S1119" s="4">
        <v>306.68200000000002</v>
      </c>
      <c r="T1119" s="4"/>
      <c r="U1119" s="4"/>
      <c r="V1119" s="4"/>
      <c r="W1119" s="4">
        <v>1.097</v>
      </c>
      <c r="X1119" s="4">
        <v>1</v>
      </c>
      <c r="Y1119" s="4">
        <v>2.6040000000000001</v>
      </c>
      <c r="Z1119" s="4"/>
      <c r="AA1119" s="4">
        <v>0.65</v>
      </c>
      <c r="AB1119" s="4">
        <v>13.52</v>
      </c>
      <c r="AC1119" s="4"/>
      <c r="AD1119" s="4"/>
      <c r="AE1119" s="4">
        <v>1.6</v>
      </c>
      <c r="AF1119" s="4">
        <v>1.86</v>
      </c>
      <c r="AG1119" s="4"/>
      <c r="AH1119" s="4" t="s">
        <v>4647</v>
      </c>
      <c r="AI1119" s="4">
        <v>1</v>
      </c>
      <c r="AJ1119" s="4"/>
      <c r="AK1119" s="4"/>
      <c r="AL1119" s="4">
        <v>79.222899999999996</v>
      </c>
      <c r="AM1119" s="4"/>
      <c r="AN1119" s="4"/>
      <c r="AO1119" s="4"/>
      <c r="AP1119" s="4"/>
      <c r="AQ1119" s="4">
        <v>-1.631711911</v>
      </c>
      <c r="AR1119" s="4"/>
      <c r="AS1119" s="4"/>
      <c r="AT1119" s="4"/>
    </row>
    <row r="1120" spans="1:46">
      <c r="A1120" s="4" t="s">
        <v>4648</v>
      </c>
      <c r="B1120" s="4"/>
      <c r="C1120" s="4" t="s">
        <v>4648</v>
      </c>
      <c r="D1120" s="4" t="s">
        <v>4648</v>
      </c>
      <c r="E1120" s="4" t="s">
        <v>4308</v>
      </c>
      <c r="F1120" s="4" t="s">
        <v>4645</v>
      </c>
      <c r="G1120" s="4" t="s">
        <v>456</v>
      </c>
      <c r="H1120" s="4" t="s">
        <v>4646</v>
      </c>
      <c r="I1120" s="4">
        <v>63</v>
      </c>
      <c r="J1120" s="4">
        <v>0.2</v>
      </c>
      <c r="K1120" s="4" t="s">
        <v>1688</v>
      </c>
      <c r="L1120" s="4" t="s">
        <v>52</v>
      </c>
      <c r="M1120" s="4">
        <v>5</v>
      </c>
      <c r="N1120" s="4">
        <v>15.1</v>
      </c>
      <c r="O1120" s="4">
        <v>70.495999999999995</v>
      </c>
      <c r="P1120" s="4">
        <v>-160.62200000000001</v>
      </c>
      <c r="Q1120" s="4">
        <v>4.41</v>
      </c>
      <c r="R1120" s="4">
        <v>31.49</v>
      </c>
      <c r="S1120" s="4">
        <v>311.61500000000001</v>
      </c>
      <c r="T1120" s="4"/>
      <c r="U1120" s="4"/>
      <c r="V1120" s="4"/>
      <c r="W1120" s="4">
        <v>2.7810000000000001</v>
      </c>
      <c r="X1120" s="4">
        <v>2</v>
      </c>
      <c r="Y1120" s="4">
        <v>4.28</v>
      </c>
      <c r="Z1120" s="4"/>
      <c r="AA1120" s="4">
        <v>0.68</v>
      </c>
      <c r="AB1120" s="4">
        <v>12.81</v>
      </c>
      <c r="AC1120" s="4"/>
      <c r="AD1120" s="4"/>
      <c r="AE1120" s="4">
        <v>0.77</v>
      </c>
      <c r="AF1120" s="4">
        <v>0.71</v>
      </c>
      <c r="AG1120" s="4"/>
      <c r="AH1120" s="4" t="s">
        <v>4649</v>
      </c>
      <c r="AI1120" s="4">
        <v>2</v>
      </c>
      <c r="AJ1120" s="4"/>
      <c r="AK1120" s="4"/>
      <c r="AL1120" s="4">
        <v>79.695899999999995</v>
      </c>
      <c r="AM1120" s="4"/>
      <c r="AN1120" s="4"/>
      <c r="AO1120" s="4"/>
      <c r="AP1120" s="4"/>
      <c r="AQ1120" s="4">
        <v>-1.3047037779999999</v>
      </c>
      <c r="AR1120" s="4"/>
      <c r="AS1120" s="4"/>
      <c r="AT1120" s="4"/>
    </row>
    <row r="1121" spans="1:46">
      <c r="A1121" s="4" t="s">
        <v>4650</v>
      </c>
      <c r="B1121" s="4"/>
      <c r="C1121" s="4" t="s">
        <v>4650</v>
      </c>
      <c r="D1121" s="4" t="s">
        <v>4650</v>
      </c>
      <c r="E1121" s="4" t="s">
        <v>4308</v>
      </c>
      <c r="F1121" s="4" t="s">
        <v>4651</v>
      </c>
      <c r="G1121" s="4" t="s">
        <v>456</v>
      </c>
      <c r="H1121" s="4" t="s">
        <v>4652</v>
      </c>
      <c r="I1121" s="4">
        <v>62</v>
      </c>
      <c r="J1121" s="4">
        <v>0.2</v>
      </c>
      <c r="K1121" s="4" t="s">
        <v>150</v>
      </c>
      <c r="L1121" s="4" t="s">
        <v>78</v>
      </c>
      <c r="M1121" s="4">
        <v>22</v>
      </c>
      <c r="N1121" s="4">
        <v>25.2</v>
      </c>
      <c r="O1121" s="4">
        <v>70.578000000000003</v>
      </c>
      <c r="P1121" s="4">
        <v>-160.83600000000001</v>
      </c>
      <c r="Q1121" s="4">
        <v>1.61</v>
      </c>
      <c r="R1121" s="4">
        <v>32.01</v>
      </c>
      <c r="S1121" s="4">
        <v>303.40100000000001</v>
      </c>
      <c r="T1121" s="4"/>
      <c r="U1121" s="4"/>
      <c r="V1121" s="4"/>
      <c r="W1121" s="4">
        <v>0.55000000000000004</v>
      </c>
      <c r="X1121" s="4">
        <v>1</v>
      </c>
      <c r="Y1121" s="4">
        <v>0.98399999999999999</v>
      </c>
      <c r="Z1121" s="4"/>
      <c r="AA1121" s="4">
        <v>1.0900000000000001</v>
      </c>
      <c r="AB1121" s="4">
        <v>14.23</v>
      </c>
      <c r="AC1121" s="4"/>
      <c r="AD1121" s="4"/>
      <c r="AE1121" s="4">
        <v>3.77</v>
      </c>
      <c r="AF1121" s="4">
        <v>4.63</v>
      </c>
      <c r="AG1121" s="4"/>
      <c r="AH1121" s="4" t="s">
        <v>4653</v>
      </c>
      <c r="AI1121" s="4">
        <v>1</v>
      </c>
      <c r="AJ1121" s="4"/>
      <c r="AK1121" s="4"/>
      <c r="AL1121" s="4">
        <v>82.976299999999995</v>
      </c>
      <c r="AM1121" s="4"/>
      <c r="AN1121" s="4"/>
      <c r="AO1121" s="4"/>
      <c r="AP1121" s="4"/>
      <c r="AQ1121" s="4">
        <v>-1.351419226</v>
      </c>
      <c r="AR1121" s="4"/>
      <c r="AS1121" s="4"/>
      <c r="AT1121" s="4"/>
    </row>
    <row r="1122" spans="1:46">
      <c r="A1122" s="4" t="s">
        <v>4654</v>
      </c>
      <c r="B1122" s="4"/>
      <c r="C1122" s="4" t="s">
        <v>4654</v>
      </c>
      <c r="D1122" s="4" t="s">
        <v>4654</v>
      </c>
      <c r="E1122" s="4" t="s">
        <v>4308</v>
      </c>
      <c r="F1122" s="4" t="s">
        <v>4651</v>
      </c>
      <c r="G1122" s="4" t="s">
        <v>456</v>
      </c>
      <c r="H1122" s="4" t="s">
        <v>4652</v>
      </c>
      <c r="I1122" s="4">
        <v>62</v>
      </c>
      <c r="J1122" s="4">
        <v>0.2</v>
      </c>
      <c r="K1122" s="4" t="s">
        <v>1688</v>
      </c>
      <c r="L1122" s="4" t="s">
        <v>52</v>
      </c>
      <c r="M1122" s="4">
        <v>5</v>
      </c>
      <c r="N1122" s="4">
        <v>25.2</v>
      </c>
      <c r="O1122" s="4">
        <v>70.578000000000003</v>
      </c>
      <c r="P1122" s="4">
        <v>-160.83600000000001</v>
      </c>
      <c r="Q1122" s="4">
        <v>7.85</v>
      </c>
      <c r="R1122" s="4">
        <v>30.81</v>
      </c>
      <c r="S1122" s="4">
        <v>285.43299999999999</v>
      </c>
      <c r="T1122" s="4"/>
      <c r="U1122" s="4"/>
      <c r="V1122" s="4"/>
      <c r="W1122" s="4">
        <v>0.72699999999999998</v>
      </c>
      <c r="X1122" s="4">
        <v>3</v>
      </c>
      <c r="Y1122" s="4">
        <v>0.92</v>
      </c>
      <c r="Z1122" s="4"/>
      <c r="AA1122" s="4">
        <v>0.37</v>
      </c>
      <c r="AB1122" s="4">
        <v>7.12</v>
      </c>
      <c r="AC1122" s="4"/>
      <c r="AD1122" s="4"/>
      <c r="AE1122" s="4">
        <v>0.6</v>
      </c>
      <c r="AF1122" s="4">
        <v>0.71</v>
      </c>
      <c r="AG1122" s="4"/>
      <c r="AH1122" s="4" t="s">
        <v>4655</v>
      </c>
      <c r="AI1122" s="4">
        <v>3</v>
      </c>
      <c r="AJ1122" s="4"/>
      <c r="AK1122" s="4"/>
      <c r="AL1122" s="4">
        <v>91.580500000000001</v>
      </c>
      <c r="AM1122" s="4"/>
      <c r="AN1122" s="4"/>
      <c r="AO1122" s="4"/>
      <c r="AP1122" s="4"/>
      <c r="AQ1122" s="4">
        <v>-2.5776997260000001</v>
      </c>
      <c r="AR1122" s="4"/>
      <c r="AS1122" s="4"/>
      <c r="AT1122" s="4"/>
    </row>
    <row r="1123" spans="1:46">
      <c r="A1123" s="4" t="s">
        <v>4656</v>
      </c>
      <c r="B1123" s="4"/>
      <c r="C1123" s="4" t="s">
        <v>4656</v>
      </c>
      <c r="D1123" s="4" t="s">
        <v>4656</v>
      </c>
      <c r="E1123" s="4" t="s">
        <v>4308</v>
      </c>
      <c r="F1123" s="4" t="s">
        <v>4657</v>
      </c>
      <c r="G1123" s="4" t="s">
        <v>456</v>
      </c>
      <c r="H1123" s="4" t="s">
        <v>4658</v>
      </c>
      <c r="I1123" s="4">
        <v>61</v>
      </c>
      <c r="J1123" s="4">
        <v>0.2</v>
      </c>
      <c r="K1123" s="4" t="s">
        <v>150</v>
      </c>
      <c r="L1123" s="4" t="s">
        <v>78</v>
      </c>
      <c r="M1123" s="4">
        <v>35</v>
      </c>
      <c r="N1123" s="4">
        <v>40.299999999999997</v>
      </c>
      <c r="O1123" s="4">
        <v>70.715000000000003</v>
      </c>
      <c r="P1123" s="4">
        <v>-161.179</v>
      </c>
      <c r="Q1123" s="4">
        <v>1.1100000000000001</v>
      </c>
      <c r="R1123" s="4">
        <v>32.020000000000003</v>
      </c>
      <c r="S1123" s="4">
        <v>309.64400000000001</v>
      </c>
      <c r="T1123" s="4"/>
      <c r="U1123" s="4"/>
      <c r="V1123" s="4"/>
      <c r="W1123" s="4">
        <v>0.53800000000000003</v>
      </c>
      <c r="X1123" s="4">
        <v>1</v>
      </c>
      <c r="Y1123" s="4">
        <v>0.64800000000000002</v>
      </c>
      <c r="Z1123" s="4"/>
      <c r="AA1123" s="4">
        <v>1.07</v>
      </c>
      <c r="AB1123" s="4">
        <v>14.23</v>
      </c>
      <c r="AC1123" s="4"/>
      <c r="AD1123" s="4"/>
      <c r="AE1123" s="4">
        <v>2.84</v>
      </c>
      <c r="AF1123" s="4">
        <v>1.56</v>
      </c>
      <c r="AG1123" s="4"/>
      <c r="AH1123" s="4" t="s">
        <v>4659</v>
      </c>
      <c r="AI1123" s="4">
        <v>1</v>
      </c>
      <c r="AJ1123" s="4"/>
      <c r="AK1123" s="4"/>
      <c r="AL1123" s="4">
        <v>80.483699999999999</v>
      </c>
      <c r="AM1123" s="4"/>
      <c r="AN1123" s="4"/>
      <c r="AO1123" s="4"/>
      <c r="AP1123" s="4"/>
      <c r="AQ1123" s="4">
        <v>-1.2346306060000001</v>
      </c>
      <c r="AR1123" s="4"/>
      <c r="AS1123" s="4"/>
      <c r="AT1123" s="4"/>
    </row>
    <row r="1124" spans="1:46">
      <c r="A1124" s="4" t="s">
        <v>4660</v>
      </c>
      <c r="B1124" s="4"/>
      <c r="C1124" s="4" t="s">
        <v>4660</v>
      </c>
      <c r="D1124" s="4" t="s">
        <v>4660</v>
      </c>
      <c r="E1124" s="4" t="s">
        <v>4308</v>
      </c>
      <c r="F1124" s="4" t="s">
        <v>4657</v>
      </c>
      <c r="G1124" s="4" t="s">
        <v>456</v>
      </c>
      <c r="H1124" s="4" t="s">
        <v>4658</v>
      </c>
      <c r="I1124" s="4">
        <v>61</v>
      </c>
      <c r="J1124" s="4">
        <v>0.2</v>
      </c>
      <c r="K1124" s="4" t="s">
        <v>1688</v>
      </c>
      <c r="L1124" s="4" t="s">
        <v>52</v>
      </c>
      <c r="M1124" s="4">
        <v>5</v>
      </c>
      <c r="N1124" s="4">
        <v>40.299999999999997</v>
      </c>
      <c r="O1124" s="4">
        <v>70.715000000000003</v>
      </c>
      <c r="P1124" s="4">
        <v>-161.179</v>
      </c>
      <c r="Q1124" s="4">
        <v>7.65</v>
      </c>
      <c r="R1124" s="4">
        <v>30.8</v>
      </c>
      <c r="S1124" s="4">
        <v>289.54000000000002</v>
      </c>
      <c r="T1124" s="4"/>
      <c r="U1124" s="4"/>
      <c r="V1124" s="4"/>
      <c r="W1124" s="4">
        <v>0.81399999999999995</v>
      </c>
      <c r="X1124" s="4">
        <v>5</v>
      </c>
      <c r="Y1124" s="4">
        <v>0.88400000000000001</v>
      </c>
      <c r="Z1124" s="4"/>
      <c r="AA1124" s="4">
        <v>0.46</v>
      </c>
      <c r="AB1124" s="4">
        <v>5.69</v>
      </c>
      <c r="AC1124" s="4"/>
      <c r="AD1124" s="4"/>
      <c r="AE1124" s="4">
        <v>0.22</v>
      </c>
      <c r="AF1124" s="4">
        <v>0.35</v>
      </c>
      <c r="AG1124" s="4"/>
      <c r="AH1124" s="4" t="s">
        <v>4661</v>
      </c>
      <c r="AI1124" s="4">
        <v>5</v>
      </c>
      <c r="AJ1124" s="4"/>
      <c r="AK1124" s="4"/>
      <c r="AL1124" s="4">
        <v>90.973299999999995</v>
      </c>
      <c r="AM1124" s="4"/>
      <c r="AN1124" s="4"/>
      <c r="AO1124" s="4"/>
      <c r="AP1124" s="4"/>
      <c r="AQ1124" s="4">
        <v>-1.9309827479999999</v>
      </c>
      <c r="AR1124" s="4"/>
      <c r="AS1124" s="4"/>
      <c r="AT1124" s="4"/>
    </row>
    <row r="1125" spans="1:46">
      <c r="A1125" s="4" t="s">
        <v>4662</v>
      </c>
      <c r="B1125" s="4"/>
      <c r="C1125" s="4" t="s">
        <v>4662</v>
      </c>
      <c r="D1125" s="4" t="s">
        <v>4662</v>
      </c>
      <c r="E1125" s="4" t="s">
        <v>4308</v>
      </c>
      <c r="F1125" s="4" t="s">
        <v>4663</v>
      </c>
      <c r="G1125" s="4" t="s">
        <v>456</v>
      </c>
      <c r="H1125" s="4" t="s">
        <v>4664</v>
      </c>
      <c r="I1125" s="4">
        <v>65</v>
      </c>
      <c r="J1125" s="4">
        <v>0.2</v>
      </c>
      <c r="K1125" s="4" t="s">
        <v>150</v>
      </c>
      <c r="L1125" s="4" t="s">
        <v>78</v>
      </c>
      <c r="M1125" s="4">
        <v>35</v>
      </c>
      <c r="N1125" s="4">
        <v>41.2</v>
      </c>
      <c r="O1125" s="4">
        <v>71.602999999999994</v>
      </c>
      <c r="P1125" s="4">
        <v>-162.202</v>
      </c>
      <c r="Q1125" s="4">
        <v>-0.31</v>
      </c>
      <c r="R1125" s="4">
        <v>32.19</v>
      </c>
      <c r="S1125" s="4">
        <v>305.63299999999998</v>
      </c>
      <c r="T1125" s="4"/>
      <c r="U1125" s="4"/>
      <c r="V1125" s="4"/>
      <c r="W1125" s="4">
        <v>2.1070000000000002</v>
      </c>
      <c r="X1125" s="4">
        <v>1</v>
      </c>
      <c r="Y1125" s="4">
        <v>5.16</v>
      </c>
      <c r="Z1125" s="4"/>
      <c r="AA1125" s="4">
        <v>1.51</v>
      </c>
      <c r="AB1125" s="4">
        <v>20.28</v>
      </c>
      <c r="AC1125" s="4"/>
      <c r="AD1125" s="4"/>
      <c r="AE1125" s="4">
        <v>2.66</v>
      </c>
      <c r="AF1125" s="4">
        <v>3.97</v>
      </c>
      <c r="AG1125" s="4"/>
      <c r="AH1125" s="4" t="s">
        <v>4665</v>
      </c>
      <c r="AI1125" s="4">
        <v>1</v>
      </c>
      <c r="AJ1125" s="4"/>
      <c r="AK1125" s="4"/>
      <c r="AL1125" s="4">
        <v>4.9874000000000001</v>
      </c>
      <c r="AM1125" s="4"/>
      <c r="AN1125" s="4"/>
      <c r="AO1125" s="4"/>
      <c r="AP1125" s="4"/>
      <c r="AQ1125" s="4">
        <v>-0.86382674100000001</v>
      </c>
      <c r="AR1125" s="4"/>
      <c r="AS1125" s="4"/>
      <c r="AT1125" s="4"/>
    </row>
    <row r="1126" spans="1:46">
      <c r="A1126" s="4" t="s">
        <v>4666</v>
      </c>
      <c r="B1126" s="4"/>
      <c r="C1126" s="4" t="s">
        <v>4666</v>
      </c>
      <c r="D1126" s="4" t="s">
        <v>4666</v>
      </c>
      <c r="E1126" s="4" t="s">
        <v>4308</v>
      </c>
      <c r="F1126" s="4" t="s">
        <v>4663</v>
      </c>
      <c r="G1126" s="4" t="s">
        <v>456</v>
      </c>
      <c r="H1126" s="4" t="s">
        <v>4664</v>
      </c>
      <c r="I1126" s="4">
        <v>65</v>
      </c>
      <c r="J1126" s="4">
        <v>0.2</v>
      </c>
      <c r="K1126" s="4" t="s">
        <v>1688</v>
      </c>
      <c r="L1126" s="4" t="s">
        <v>52</v>
      </c>
      <c r="M1126" s="4">
        <v>6</v>
      </c>
      <c r="N1126" s="4">
        <v>41.2</v>
      </c>
      <c r="O1126" s="4">
        <v>71.602999999999994</v>
      </c>
      <c r="P1126" s="4">
        <v>-162.202</v>
      </c>
      <c r="Q1126" s="4">
        <v>2.31</v>
      </c>
      <c r="R1126" s="4">
        <v>30.78</v>
      </c>
      <c r="S1126" s="4">
        <v>331.30399999999997</v>
      </c>
      <c r="T1126" s="4"/>
      <c r="U1126" s="4"/>
      <c r="V1126" s="4"/>
      <c r="W1126" s="4">
        <v>1.9419999999999999</v>
      </c>
      <c r="X1126" s="4">
        <v>5</v>
      </c>
      <c r="Y1126" s="4">
        <v>3.528</v>
      </c>
      <c r="Z1126" s="4"/>
      <c r="AA1126" s="4">
        <v>0.45</v>
      </c>
      <c r="AB1126" s="4">
        <v>9.25</v>
      </c>
      <c r="AC1126" s="4"/>
      <c r="AD1126" s="4"/>
      <c r="AE1126" s="4">
        <v>0.52</v>
      </c>
      <c r="AF1126" s="4">
        <v>0.84</v>
      </c>
      <c r="AG1126" s="4"/>
      <c r="AH1126" s="4" t="s">
        <v>4667</v>
      </c>
      <c r="AI1126" s="4">
        <v>5</v>
      </c>
      <c r="AJ1126" s="4"/>
      <c r="AK1126" s="4"/>
      <c r="AL1126" s="4">
        <v>78.084699999999998</v>
      </c>
      <c r="AM1126" s="4"/>
      <c r="AN1126" s="4"/>
      <c r="AO1126" s="4"/>
      <c r="AP1126" s="4"/>
      <c r="AQ1126" s="4">
        <v>-1.104703268</v>
      </c>
      <c r="AR1126" s="4"/>
      <c r="AS1126" s="4"/>
      <c r="AT1126" s="4"/>
    </row>
    <row r="1127" spans="1:46">
      <c r="A1127" s="4" t="s">
        <v>4668</v>
      </c>
      <c r="B1127" s="4"/>
      <c r="C1127" s="4" t="s">
        <v>4668</v>
      </c>
      <c r="D1127" s="4" t="s">
        <v>4668</v>
      </c>
      <c r="E1127" s="4" t="s">
        <v>4308</v>
      </c>
      <c r="F1127" s="4" t="s">
        <v>4669</v>
      </c>
      <c r="G1127" s="4" t="s">
        <v>456</v>
      </c>
      <c r="H1127" s="4" t="s">
        <v>4670</v>
      </c>
      <c r="I1127" s="4">
        <v>68</v>
      </c>
      <c r="J1127" s="4">
        <v>0.2</v>
      </c>
      <c r="K1127" s="4" t="s">
        <v>150</v>
      </c>
      <c r="L1127" s="4" t="s">
        <v>78</v>
      </c>
      <c r="M1127" s="4">
        <v>36</v>
      </c>
      <c r="N1127" s="4">
        <v>41.7</v>
      </c>
      <c r="O1127" s="4">
        <v>71.241</v>
      </c>
      <c r="P1127" s="4">
        <v>-163.404</v>
      </c>
      <c r="Q1127" s="4">
        <v>2.87</v>
      </c>
      <c r="R1127" s="4">
        <v>32.08</v>
      </c>
      <c r="S1127" s="4">
        <v>277.34500000000003</v>
      </c>
      <c r="T1127" s="4"/>
      <c r="U1127" s="4"/>
      <c r="V1127" s="4"/>
      <c r="W1127" s="4">
        <v>0.99099999999999999</v>
      </c>
      <c r="X1127" s="4">
        <v>1</v>
      </c>
      <c r="Y1127" s="4">
        <v>0.67200000000000004</v>
      </c>
      <c r="Z1127" s="4"/>
      <c r="AA1127" s="4">
        <v>1.19</v>
      </c>
      <c r="AB1127" s="4">
        <v>19.93</v>
      </c>
      <c r="AC1127" s="4"/>
      <c r="AD1127" s="4"/>
      <c r="AE1127" s="4">
        <v>3.01</v>
      </c>
      <c r="AF1127" s="4">
        <v>2.95</v>
      </c>
      <c r="AG1127" s="4"/>
      <c r="AH1127" s="4" t="s">
        <v>4671</v>
      </c>
      <c r="AI1127" s="4">
        <v>1</v>
      </c>
      <c r="AJ1127" s="4"/>
      <c r="AK1127" s="4"/>
      <c r="AL1127" s="4">
        <v>3.5823</v>
      </c>
      <c r="AM1127" s="4"/>
      <c r="AN1127" s="4"/>
      <c r="AO1127" s="4"/>
      <c r="AP1127" s="4"/>
      <c r="AQ1127" s="4">
        <v>-1.10162045</v>
      </c>
      <c r="AR1127" s="4"/>
      <c r="AS1127" s="4"/>
      <c r="AT1127" s="4"/>
    </row>
    <row r="1128" spans="1:46">
      <c r="A1128" s="4" t="s">
        <v>4672</v>
      </c>
      <c r="B1128" s="4"/>
      <c r="C1128" s="4" t="s">
        <v>4672</v>
      </c>
      <c r="D1128" s="4" t="s">
        <v>4672</v>
      </c>
      <c r="E1128" s="4" t="s">
        <v>4308</v>
      </c>
      <c r="F1128" s="4" t="s">
        <v>4669</v>
      </c>
      <c r="G1128" s="4" t="s">
        <v>456</v>
      </c>
      <c r="H1128" s="4" t="s">
        <v>4670</v>
      </c>
      <c r="I1128" s="4">
        <v>68</v>
      </c>
      <c r="J1128" s="4">
        <v>0.2</v>
      </c>
      <c r="K1128" s="4" t="s">
        <v>1688</v>
      </c>
      <c r="L1128" s="4" t="s">
        <v>52</v>
      </c>
      <c r="M1128" s="4">
        <v>5</v>
      </c>
      <c r="N1128" s="4">
        <v>41.7</v>
      </c>
      <c r="O1128" s="4">
        <v>71.241</v>
      </c>
      <c r="P1128" s="4">
        <v>-163.404</v>
      </c>
      <c r="Q1128" s="4">
        <v>4.42</v>
      </c>
      <c r="R1128" s="4">
        <v>31.65</v>
      </c>
      <c r="S1128" s="4">
        <v>295.24700000000001</v>
      </c>
      <c r="T1128" s="4"/>
      <c r="U1128" s="4"/>
      <c r="V1128" s="4"/>
      <c r="W1128" s="4">
        <v>0.90500000000000003</v>
      </c>
      <c r="X1128" s="4">
        <v>5</v>
      </c>
      <c r="Y1128" s="4">
        <v>0.128</v>
      </c>
      <c r="Z1128" s="4"/>
      <c r="AA1128" s="4">
        <v>0.71</v>
      </c>
      <c r="AB1128" s="4">
        <v>9.9600000000000009</v>
      </c>
      <c r="AC1128" s="4"/>
      <c r="AD1128" s="4"/>
      <c r="AE1128" s="4">
        <v>1.27</v>
      </c>
      <c r="AF1128" s="4">
        <v>0.92</v>
      </c>
      <c r="AG1128" s="4"/>
      <c r="AH1128" s="4" t="s">
        <v>4673</v>
      </c>
      <c r="AI1128" s="4">
        <v>5</v>
      </c>
      <c r="AJ1128" s="4"/>
      <c r="AK1128" s="4"/>
      <c r="AL1128" s="4">
        <v>76.458799999999997</v>
      </c>
      <c r="AM1128" s="4"/>
      <c r="AN1128" s="4"/>
      <c r="AO1128" s="4"/>
      <c r="AP1128" s="4"/>
      <c r="AQ1128" s="4">
        <v>-2.4462454139999998</v>
      </c>
      <c r="AR1128" s="4"/>
      <c r="AS1128" s="4"/>
      <c r="AT1128" s="4"/>
    </row>
    <row r="1129" spans="1:46">
      <c r="A1129" s="4" t="s">
        <v>4674</v>
      </c>
      <c r="B1129" s="4"/>
      <c r="C1129" s="4" t="s">
        <v>4674</v>
      </c>
      <c r="D1129" s="4" t="s">
        <v>4674</v>
      </c>
      <c r="E1129" s="4" t="s">
        <v>4308</v>
      </c>
      <c r="F1129" s="4" t="s">
        <v>4675</v>
      </c>
      <c r="G1129" s="4" t="s">
        <v>456</v>
      </c>
      <c r="H1129" s="4" t="s">
        <v>4676</v>
      </c>
      <c r="I1129" s="4">
        <v>66</v>
      </c>
      <c r="J1129" s="4">
        <v>0.2</v>
      </c>
      <c r="K1129" s="4" t="s">
        <v>150</v>
      </c>
      <c r="L1129" s="4" t="s">
        <v>78</v>
      </c>
      <c r="M1129" s="4">
        <v>35</v>
      </c>
      <c r="N1129" s="4">
        <v>41.3</v>
      </c>
      <c r="O1129" s="4">
        <v>71.483000000000004</v>
      </c>
      <c r="P1129" s="4">
        <v>-162.60400000000001</v>
      </c>
      <c r="Q1129" s="4">
        <v>1.43</v>
      </c>
      <c r="R1129" s="4">
        <v>32.159999999999997</v>
      </c>
      <c r="S1129" s="4">
        <v>282.63</v>
      </c>
      <c r="T1129" s="4"/>
      <c r="U1129" s="4"/>
      <c r="V1129" s="4"/>
      <c r="W1129" s="4">
        <v>0.92300000000000004</v>
      </c>
      <c r="X1129" s="4">
        <v>1</v>
      </c>
      <c r="Y1129" s="4">
        <v>2.1680000000000001</v>
      </c>
      <c r="Z1129" s="4"/>
      <c r="AA1129" s="4">
        <v>1.24</v>
      </c>
      <c r="AB1129" s="4">
        <v>22.42</v>
      </c>
      <c r="AC1129" s="4"/>
      <c r="AD1129" s="4"/>
      <c r="AE1129" s="4">
        <v>2.76</v>
      </c>
      <c r="AF1129" s="4">
        <v>3.39</v>
      </c>
      <c r="AG1129" s="4"/>
      <c r="AH1129" s="4" t="s">
        <v>4677</v>
      </c>
      <c r="AI1129" s="4">
        <v>1</v>
      </c>
      <c r="AJ1129" s="4"/>
      <c r="AK1129" s="4"/>
      <c r="AL1129" s="4">
        <v>7.6733000000000002</v>
      </c>
      <c r="AM1129" s="4"/>
      <c r="AN1129" s="4"/>
      <c r="AO1129" s="4"/>
      <c r="AP1129" s="4"/>
      <c r="AQ1129" s="4">
        <v>-0.23608791300000001</v>
      </c>
      <c r="AR1129" s="4"/>
      <c r="AS1129" s="4"/>
      <c r="AT1129" s="4"/>
    </row>
    <row r="1130" spans="1:46">
      <c r="A1130" s="4" t="s">
        <v>4678</v>
      </c>
      <c r="B1130" s="4"/>
      <c r="C1130" s="4" t="s">
        <v>4678</v>
      </c>
      <c r="D1130" s="4" t="s">
        <v>4678</v>
      </c>
      <c r="E1130" s="4" t="s">
        <v>4308</v>
      </c>
      <c r="F1130" s="4" t="s">
        <v>4675</v>
      </c>
      <c r="G1130" s="4" t="s">
        <v>456</v>
      </c>
      <c r="H1130" s="4" t="s">
        <v>4676</v>
      </c>
      <c r="I1130" s="4">
        <v>66</v>
      </c>
      <c r="J1130" s="4">
        <v>0.2</v>
      </c>
      <c r="K1130" s="4" t="s">
        <v>1688</v>
      </c>
      <c r="L1130" s="4" t="s">
        <v>52</v>
      </c>
      <c r="M1130" s="4">
        <v>6</v>
      </c>
      <c r="N1130" s="4">
        <v>41.3</v>
      </c>
      <c r="O1130" s="4">
        <v>71.483000000000004</v>
      </c>
      <c r="P1130" s="4">
        <v>-162.60400000000001</v>
      </c>
      <c r="Q1130" s="4">
        <v>4.3899999999999997</v>
      </c>
      <c r="R1130" s="4">
        <v>31.11</v>
      </c>
      <c r="S1130" s="4">
        <v>302.25700000000001</v>
      </c>
      <c r="T1130" s="4"/>
      <c r="U1130" s="4"/>
      <c r="V1130" s="4"/>
      <c r="W1130" s="4">
        <v>0.96199999999999997</v>
      </c>
      <c r="X1130" s="4">
        <v>5</v>
      </c>
      <c r="Y1130" s="4">
        <v>1.464</v>
      </c>
      <c r="Z1130" s="4"/>
      <c r="AA1130" s="4">
        <v>0.68</v>
      </c>
      <c r="AB1130" s="4">
        <v>8.5399999999999991</v>
      </c>
      <c r="AC1130" s="4"/>
      <c r="AD1130" s="4"/>
      <c r="AE1130" s="4">
        <v>0.91</v>
      </c>
      <c r="AF1130" s="4">
        <v>0.41</v>
      </c>
      <c r="AG1130" s="4"/>
      <c r="AH1130" s="4" t="s">
        <v>4679</v>
      </c>
      <c r="AI1130" s="4">
        <v>5</v>
      </c>
      <c r="AJ1130" s="4"/>
      <c r="AK1130" s="4"/>
      <c r="AL1130" s="4">
        <v>88.576400000000007</v>
      </c>
      <c r="AM1130" s="4"/>
      <c r="AN1130" s="4"/>
      <c r="AO1130" s="4"/>
      <c r="AP1130" s="4"/>
      <c r="AQ1130" s="4">
        <v>-0.430248992</v>
      </c>
      <c r="AR1130" s="4"/>
      <c r="AS1130" s="4"/>
      <c r="AT1130" s="4"/>
    </row>
    <row r="1131" spans="1:46">
      <c r="A1131" s="4" t="s">
        <v>4680</v>
      </c>
      <c r="B1131" s="4"/>
      <c r="C1131" s="4" t="s">
        <v>4680</v>
      </c>
      <c r="D1131" s="4" t="s">
        <v>4680</v>
      </c>
      <c r="E1131" s="4" t="s">
        <v>4308</v>
      </c>
      <c r="F1131" s="4" t="s">
        <v>4681</v>
      </c>
      <c r="G1131" s="4" t="s">
        <v>456</v>
      </c>
      <c r="H1131" s="4" t="s">
        <v>4682</v>
      </c>
      <c r="I1131" s="4">
        <v>74</v>
      </c>
      <c r="J1131" s="4">
        <v>0.2</v>
      </c>
      <c r="K1131" s="4" t="s">
        <v>150</v>
      </c>
      <c r="L1131" s="4" t="s">
        <v>78</v>
      </c>
      <c r="M1131" s="4">
        <v>37</v>
      </c>
      <c r="N1131" s="4">
        <v>40.299999999999997</v>
      </c>
      <c r="O1131" s="4">
        <v>70.647999999999996</v>
      </c>
      <c r="P1131" s="4">
        <v>-165.99600000000001</v>
      </c>
      <c r="Q1131" s="4">
        <v>5.47</v>
      </c>
      <c r="R1131" s="4">
        <v>31.77</v>
      </c>
      <c r="S1131" s="4">
        <v>281.37799999999999</v>
      </c>
      <c r="T1131" s="4"/>
      <c r="U1131" s="4"/>
      <c r="V1131" s="4"/>
      <c r="W1131" s="4">
        <v>1.21</v>
      </c>
      <c r="X1131" s="4">
        <v>1</v>
      </c>
      <c r="Y1131" s="4">
        <v>1.78</v>
      </c>
      <c r="Z1131" s="4"/>
      <c r="AA1131" s="4">
        <v>0.77</v>
      </c>
      <c r="AB1131" s="4">
        <v>14.23</v>
      </c>
      <c r="AC1131" s="4"/>
      <c r="AD1131" s="4"/>
      <c r="AE1131" s="4">
        <v>1.41</v>
      </c>
      <c r="AF1131" s="4">
        <v>2.56</v>
      </c>
      <c r="AG1131" s="4"/>
      <c r="AH1131" s="4" t="s">
        <v>4683</v>
      </c>
      <c r="AI1131" s="4">
        <v>1</v>
      </c>
      <c r="AJ1131" s="4"/>
      <c r="AK1131" s="4"/>
      <c r="AL1131" s="4">
        <v>46.196100000000001</v>
      </c>
      <c r="AM1131" s="4"/>
      <c r="AN1131" s="4"/>
      <c r="AO1131" s="4"/>
      <c r="AP1131" s="4"/>
      <c r="AQ1131" s="4">
        <v>-1.6089095040000001</v>
      </c>
      <c r="AR1131" s="4"/>
      <c r="AS1131" s="4"/>
      <c r="AT1131" s="4"/>
    </row>
    <row r="1132" spans="1:46">
      <c r="A1132" s="4" t="s">
        <v>4684</v>
      </c>
      <c r="B1132" s="4"/>
      <c r="C1132" s="4" t="s">
        <v>4684</v>
      </c>
      <c r="D1132" s="4" t="s">
        <v>4684</v>
      </c>
      <c r="E1132" s="4" t="s">
        <v>4308</v>
      </c>
      <c r="F1132" s="4" t="s">
        <v>4681</v>
      </c>
      <c r="G1132" s="4" t="s">
        <v>456</v>
      </c>
      <c r="H1132" s="4" t="s">
        <v>4682</v>
      </c>
      <c r="I1132" s="4">
        <v>74</v>
      </c>
      <c r="J1132" s="4">
        <v>0.2</v>
      </c>
      <c r="K1132" s="4" t="s">
        <v>1688</v>
      </c>
      <c r="L1132" s="4" t="s">
        <v>52</v>
      </c>
      <c r="M1132" s="4">
        <v>5</v>
      </c>
      <c r="N1132" s="4">
        <v>40.299999999999997</v>
      </c>
      <c r="O1132" s="4">
        <v>70.647999999999996</v>
      </c>
      <c r="P1132" s="4">
        <v>-165.99600000000001</v>
      </c>
      <c r="Q1132" s="4">
        <v>5.52</v>
      </c>
      <c r="R1132" s="4">
        <v>31.78</v>
      </c>
      <c r="S1132" s="4">
        <v>283.76</v>
      </c>
      <c r="T1132" s="4"/>
      <c r="U1132" s="4"/>
      <c r="V1132" s="4"/>
      <c r="W1132" s="4">
        <v>1.4770000000000001</v>
      </c>
      <c r="X1132" s="4">
        <v>6</v>
      </c>
      <c r="Y1132" s="4">
        <v>1.532</v>
      </c>
      <c r="Z1132" s="4"/>
      <c r="AA1132" s="4">
        <v>0.7</v>
      </c>
      <c r="AB1132" s="4">
        <v>14.95</v>
      </c>
      <c r="AC1132" s="4"/>
      <c r="AD1132" s="4"/>
      <c r="AE1132" s="4">
        <v>1.2</v>
      </c>
      <c r="AF1132" s="4">
        <v>1.27</v>
      </c>
      <c r="AG1132" s="4"/>
      <c r="AH1132" s="4" t="s">
        <v>4685</v>
      </c>
      <c r="AI1132" s="4">
        <v>6</v>
      </c>
      <c r="AJ1132" s="4"/>
      <c r="AK1132" s="4"/>
      <c r="AL1132" s="4">
        <v>55.133800000000001</v>
      </c>
      <c r="AM1132" s="4"/>
      <c r="AN1132" s="4"/>
      <c r="AO1132" s="4"/>
      <c r="AP1132" s="4"/>
      <c r="AQ1132" s="4">
        <v>-1.346618766</v>
      </c>
      <c r="AR1132" s="4"/>
      <c r="AS1132" s="4"/>
      <c r="AT1132" s="4"/>
    </row>
    <row r="1133" spans="1:46">
      <c r="A1133" s="4" t="s">
        <v>4686</v>
      </c>
      <c r="B1133" s="4"/>
      <c r="C1133" s="4" t="s">
        <v>4686</v>
      </c>
      <c r="D1133" s="4" t="s">
        <v>4686</v>
      </c>
      <c r="E1133" s="4" t="s">
        <v>4308</v>
      </c>
      <c r="F1133" s="4" t="s">
        <v>4687</v>
      </c>
      <c r="G1133" s="4" t="s">
        <v>456</v>
      </c>
      <c r="H1133" s="4" t="s">
        <v>4688</v>
      </c>
      <c r="I1133" s="4">
        <v>73</v>
      </c>
      <c r="J1133" s="4">
        <v>0.2</v>
      </c>
      <c r="K1133" s="4" t="s">
        <v>150</v>
      </c>
      <c r="L1133" s="4" t="s">
        <v>78</v>
      </c>
      <c r="M1133" s="4">
        <v>35</v>
      </c>
      <c r="N1133" s="4">
        <v>39.1</v>
      </c>
      <c r="O1133" s="4">
        <v>70.772000000000006</v>
      </c>
      <c r="P1133" s="4">
        <v>-165.62799999999999</v>
      </c>
      <c r="Q1133" s="4">
        <v>5.01</v>
      </c>
      <c r="R1133" s="4">
        <v>31.87</v>
      </c>
      <c r="S1133" s="4">
        <v>286.59300000000002</v>
      </c>
      <c r="T1133" s="4"/>
      <c r="U1133" s="4"/>
      <c r="V1133" s="4"/>
      <c r="W1133" s="4">
        <v>1.548</v>
      </c>
      <c r="X1133" s="4">
        <v>1</v>
      </c>
      <c r="Y1133" s="4">
        <v>2.1760000000000002</v>
      </c>
      <c r="Z1133" s="4"/>
      <c r="AA1133" s="4">
        <v>0.63</v>
      </c>
      <c r="AB1133" s="4">
        <v>10.32</v>
      </c>
      <c r="AC1133" s="4"/>
      <c r="AD1133" s="4"/>
      <c r="AE1133" s="4">
        <v>1.49</v>
      </c>
      <c r="AF1133" s="4">
        <v>1.61</v>
      </c>
      <c r="AG1133" s="4"/>
      <c r="AH1133" s="4" t="s">
        <v>4689</v>
      </c>
      <c r="AI1133" s="4">
        <v>1</v>
      </c>
      <c r="AJ1133" s="4"/>
      <c r="AK1133" s="4"/>
      <c r="AL1133" s="4">
        <v>72.919399999999996</v>
      </c>
      <c r="AM1133" s="4"/>
      <c r="AN1133" s="4"/>
      <c r="AO1133" s="4"/>
      <c r="AP1133" s="4"/>
      <c r="AQ1133" s="4">
        <v>-1.317027865</v>
      </c>
      <c r="AR1133" s="4"/>
      <c r="AS1133" s="4"/>
      <c r="AT1133" s="4"/>
    </row>
    <row r="1134" spans="1:46">
      <c r="A1134" s="4" t="s">
        <v>4690</v>
      </c>
      <c r="B1134" s="4"/>
      <c r="C1134" s="4" t="s">
        <v>4690</v>
      </c>
      <c r="D1134" s="4" t="s">
        <v>4690</v>
      </c>
      <c r="E1134" s="4" t="s">
        <v>4308</v>
      </c>
      <c r="F1134" s="4" t="s">
        <v>4687</v>
      </c>
      <c r="G1134" s="4" t="s">
        <v>456</v>
      </c>
      <c r="H1134" s="4" t="s">
        <v>4688</v>
      </c>
      <c r="I1134" s="4">
        <v>73</v>
      </c>
      <c r="J1134" s="4">
        <v>0.2</v>
      </c>
      <c r="K1134" s="4" t="s">
        <v>1688</v>
      </c>
      <c r="L1134" s="4" t="s">
        <v>52</v>
      </c>
      <c r="M1134" s="4">
        <v>5</v>
      </c>
      <c r="N1134" s="4">
        <v>39.1</v>
      </c>
      <c r="O1134" s="4">
        <v>70.772000000000006</v>
      </c>
      <c r="P1134" s="4">
        <v>-165.62799999999999</v>
      </c>
      <c r="Q1134" s="4">
        <v>5.0199999999999996</v>
      </c>
      <c r="R1134" s="4">
        <v>31.87</v>
      </c>
      <c r="S1134" s="4">
        <v>287.57299999999998</v>
      </c>
      <c r="T1134" s="4"/>
      <c r="U1134" s="4"/>
      <c r="V1134" s="4"/>
      <c r="W1134" s="4">
        <v>1.95</v>
      </c>
      <c r="X1134" s="4">
        <v>4</v>
      </c>
      <c r="Y1134" s="4">
        <v>2.3919999999999999</v>
      </c>
      <c r="Z1134" s="4"/>
      <c r="AA1134" s="4">
        <v>0.63</v>
      </c>
      <c r="AB1134" s="4">
        <v>10.68</v>
      </c>
      <c r="AC1134" s="4"/>
      <c r="AD1134" s="4"/>
      <c r="AE1134" s="4">
        <v>1.31</v>
      </c>
      <c r="AF1134" s="4">
        <v>1.89</v>
      </c>
      <c r="AG1134" s="4"/>
      <c r="AH1134" s="4" t="s">
        <v>4691</v>
      </c>
      <c r="AI1134" s="4">
        <v>4</v>
      </c>
      <c r="AJ1134" s="4"/>
      <c r="AK1134" s="4"/>
      <c r="AL1134" s="4">
        <v>72.939499999999995</v>
      </c>
      <c r="AM1134" s="4"/>
      <c r="AN1134" s="4"/>
      <c r="AO1134" s="4"/>
      <c r="AP1134" s="4"/>
      <c r="AQ1134" s="4">
        <v>-1.286003496</v>
      </c>
      <c r="AR1134" s="4"/>
      <c r="AS1134" s="4"/>
      <c r="AT1134" s="4"/>
    </row>
    <row r="1135" spans="1:46">
      <c r="A1135" s="4" t="s">
        <v>4692</v>
      </c>
      <c r="B1135" s="4"/>
      <c r="C1135" s="4" t="s">
        <v>4692</v>
      </c>
      <c r="D1135" s="4" t="s">
        <v>4692</v>
      </c>
      <c r="E1135" s="4" t="s">
        <v>4308</v>
      </c>
      <c r="F1135" s="4" t="s">
        <v>4693</v>
      </c>
      <c r="G1135" s="4" t="s">
        <v>456</v>
      </c>
      <c r="H1135" s="4" t="s">
        <v>4694</v>
      </c>
      <c r="I1135" s="4">
        <v>71</v>
      </c>
      <c r="J1135" s="4">
        <v>0.2</v>
      </c>
      <c r="K1135" s="4" t="s">
        <v>150</v>
      </c>
      <c r="L1135" s="4" t="s">
        <v>78</v>
      </c>
      <c r="M1135" s="4">
        <v>27</v>
      </c>
      <c r="N1135" s="4">
        <v>33</v>
      </c>
      <c r="O1135" s="4">
        <v>71.022999999999996</v>
      </c>
      <c r="P1135" s="4">
        <v>-164.87700000000001</v>
      </c>
      <c r="Q1135" s="4">
        <v>4.26</v>
      </c>
      <c r="R1135" s="4">
        <v>31.95</v>
      </c>
      <c r="S1135" s="4">
        <v>289.08499999999998</v>
      </c>
      <c r="T1135" s="4"/>
      <c r="U1135" s="4"/>
      <c r="V1135" s="4"/>
      <c r="W1135" s="4">
        <v>1.4019999999999999</v>
      </c>
      <c r="X1135" s="4">
        <v>1</v>
      </c>
      <c r="Y1135" s="4">
        <v>2.6040000000000001</v>
      </c>
      <c r="Z1135" s="4"/>
      <c r="AA1135" s="4">
        <v>0.76</v>
      </c>
      <c r="AB1135" s="4">
        <v>12.46</v>
      </c>
      <c r="AC1135" s="4"/>
      <c r="AD1135" s="4"/>
      <c r="AE1135" s="4">
        <v>1.61</v>
      </c>
      <c r="AF1135" s="4">
        <v>2.12</v>
      </c>
      <c r="AG1135" s="4"/>
      <c r="AH1135" s="4" t="s">
        <v>4695</v>
      </c>
      <c r="AI1135" s="4">
        <v>1</v>
      </c>
      <c r="AJ1135" s="4"/>
      <c r="AK1135" s="4"/>
      <c r="AL1135" s="4">
        <v>43.247599999999998</v>
      </c>
      <c r="AM1135" s="4"/>
      <c r="AN1135" s="4"/>
      <c r="AO1135" s="4"/>
      <c r="AP1135" s="4"/>
      <c r="AQ1135" s="4">
        <v>-1.3051505489999999</v>
      </c>
      <c r="AR1135" s="4"/>
      <c r="AS1135" s="4"/>
      <c r="AT1135" s="4"/>
    </row>
    <row r="1136" spans="1:46">
      <c r="A1136" s="4" t="s">
        <v>4696</v>
      </c>
      <c r="B1136" s="4"/>
      <c r="C1136" s="4" t="s">
        <v>4696</v>
      </c>
      <c r="D1136" s="4" t="s">
        <v>4692</v>
      </c>
      <c r="E1136" s="4" t="s">
        <v>4308</v>
      </c>
      <c r="F1136" s="4" t="s">
        <v>4693</v>
      </c>
      <c r="G1136" s="4" t="s">
        <v>456</v>
      </c>
      <c r="H1136" s="4" t="s">
        <v>4694</v>
      </c>
      <c r="I1136" s="4">
        <v>71</v>
      </c>
      <c r="J1136" s="4">
        <v>0.2</v>
      </c>
      <c r="K1136" s="4" t="s">
        <v>150</v>
      </c>
      <c r="L1136" s="4" t="s">
        <v>78</v>
      </c>
      <c r="M1136" s="4">
        <v>27</v>
      </c>
      <c r="N1136" s="4">
        <v>33</v>
      </c>
      <c r="O1136" s="4">
        <v>71.022999999999996</v>
      </c>
      <c r="P1136" s="4">
        <v>-164.87700000000001</v>
      </c>
      <c r="Q1136" s="4">
        <v>4.26</v>
      </c>
      <c r="R1136" s="4">
        <v>31.95</v>
      </c>
      <c r="S1136" s="4">
        <v>289.08499999999998</v>
      </c>
      <c r="T1136" s="4"/>
      <c r="U1136" s="4"/>
      <c r="V1136" s="4"/>
      <c r="W1136" s="4">
        <v>1.4019999999999999</v>
      </c>
      <c r="X1136" s="4">
        <v>1</v>
      </c>
      <c r="Y1136" s="4">
        <v>2.6040000000000001</v>
      </c>
      <c r="Z1136" s="4"/>
      <c r="AA1136" s="4">
        <v>0.76</v>
      </c>
      <c r="AB1136" s="4">
        <v>12.46</v>
      </c>
      <c r="AC1136" s="4"/>
      <c r="AD1136" s="4"/>
      <c r="AE1136" s="4">
        <v>1.61</v>
      </c>
      <c r="AF1136" s="4">
        <v>2.12</v>
      </c>
      <c r="AG1136" s="4"/>
      <c r="AH1136" s="4" t="s">
        <v>4695</v>
      </c>
      <c r="AI1136" s="4">
        <v>1</v>
      </c>
      <c r="AJ1136" s="4"/>
      <c r="AK1136" s="4"/>
      <c r="AL1136" s="4">
        <v>43.247599999999998</v>
      </c>
      <c r="AM1136" s="4"/>
      <c r="AN1136" s="4"/>
      <c r="AO1136" s="4"/>
      <c r="AP1136" s="4"/>
      <c r="AQ1136" s="4">
        <v>-1.3051505489999999</v>
      </c>
      <c r="AR1136" s="4"/>
      <c r="AS1136" s="4"/>
      <c r="AT1136" s="4"/>
    </row>
    <row r="1137" spans="1:46">
      <c r="A1137" s="4" t="s">
        <v>4697</v>
      </c>
      <c r="B1137" s="4"/>
      <c r="C1137" s="4" t="s">
        <v>4697</v>
      </c>
      <c r="D1137" s="4" t="s">
        <v>4697</v>
      </c>
      <c r="E1137" s="4" t="s">
        <v>4308</v>
      </c>
      <c r="F1137" s="4" t="s">
        <v>4698</v>
      </c>
      <c r="G1137" s="4" t="s">
        <v>456</v>
      </c>
      <c r="H1137" s="4" t="s">
        <v>4699</v>
      </c>
      <c r="I1137" s="4">
        <v>70</v>
      </c>
      <c r="J1137" s="4">
        <v>0.2</v>
      </c>
      <c r="K1137" s="4" t="s">
        <v>150</v>
      </c>
      <c r="L1137" s="4" t="s">
        <v>78</v>
      </c>
      <c r="M1137" s="4">
        <v>36</v>
      </c>
      <c r="N1137" s="4">
        <v>40.1</v>
      </c>
      <c r="O1137" s="4">
        <v>71.147000000000006</v>
      </c>
      <c r="P1137" s="4">
        <v>-164.48599999999999</v>
      </c>
      <c r="Q1137" s="4">
        <v>4.09</v>
      </c>
      <c r="R1137" s="4">
        <v>31.91</v>
      </c>
      <c r="S1137" s="4">
        <v>298.49200000000002</v>
      </c>
      <c r="T1137" s="4"/>
      <c r="U1137" s="4"/>
      <c r="V1137" s="4"/>
      <c r="W1137" s="4">
        <v>1.1679999999999999</v>
      </c>
      <c r="X1137" s="4">
        <v>1</v>
      </c>
      <c r="Y1137" s="4">
        <v>2.048</v>
      </c>
      <c r="Z1137" s="4"/>
      <c r="AA1137" s="4">
        <v>0.75</v>
      </c>
      <c r="AB1137" s="4">
        <v>11.39</v>
      </c>
      <c r="AC1137" s="4"/>
      <c r="AD1137" s="4"/>
      <c r="AE1137" s="4">
        <v>1.92</v>
      </c>
      <c r="AF1137" s="4">
        <v>2.39</v>
      </c>
      <c r="AG1137" s="4"/>
      <c r="AH1137" s="4" t="s">
        <v>4700</v>
      </c>
      <c r="AI1137" s="4">
        <v>1</v>
      </c>
      <c r="AJ1137" s="4"/>
      <c r="AK1137" s="4"/>
      <c r="AL1137" s="4">
        <v>51.755600000000001</v>
      </c>
      <c r="AM1137" s="4"/>
      <c r="AN1137" s="4"/>
      <c r="AO1137" s="4"/>
      <c r="AP1137" s="4"/>
      <c r="AQ1137" s="4">
        <v>-1.1411997110000001</v>
      </c>
      <c r="AR1137" s="4"/>
      <c r="AS1137" s="4"/>
      <c r="AT1137" s="4"/>
    </row>
    <row r="1138" spans="1:46">
      <c r="A1138" s="4" t="s">
        <v>4701</v>
      </c>
      <c r="B1138" s="4"/>
      <c r="C1138" s="4" t="s">
        <v>4701</v>
      </c>
      <c r="D1138" s="4" t="s">
        <v>4701</v>
      </c>
      <c r="E1138" s="4" t="s">
        <v>4308</v>
      </c>
      <c r="F1138" s="4" t="s">
        <v>4698</v>
      </c>
      <c r="G1138" s="4" t="s">
        <v>456</v>
      </c>
      <c r="H1138" s="4" t="s">
        <v>4699</v>
      </c>
      <c r="I1138" s="4">
        <v>70</v>
      </c>
      <c r="J1138" s="4">
        <v>0.2</v>
      </c>
      <c r="K1138" s="4" t="s">
        <v>1688</v>
      </c>
      <c r="L1138" s="4" t="s">
        <v>52</v>
      </c>
      <c r="M1138" s="4">
        <v>6</v>
      </c>
      <c r="N1138" s="4">
        <v>40.1</v>
      </c>
      <c r="O1138" s="4">
        <v>71.147000000000006</v>
      </c>
      <c r="P1138" s="4">
        <v>-164.48599999999999</v>
      </c>
      <c r="Q1138" s="4">
        <v>4.09</v>
      </c>
      <c r="R1138" s="4">
        <v>31.91</v>
      </c>
      <c r="S1138" s="4">
        <v>299.80799999999999</v>
      </c>
      <c r="T1138" s="4"/>
      <c r="U1138" s="4"/>
      <c r="V1138" s="4"/>
      <c r="W1138" s="4">
        <v>1.1000000000000001</v>
      </c>
      <c r="X1138" s="4">
        <v>5</v>
      </c>
      <c r="Y1138" s="4">
        <v>1.456</v>
      </c>
      <c r="Z1138" s="4"/>
      <c r="AA1138" s="4">
        <v>0.86</v>
      </c>
      <c r="AB1138" s="4">
        <v>11.39</v>
      </c>
      <c r="AC1138" s="4"/>
      <c r="AD1138" s="4"/>
      <c r="AE1138" s="4">
        <v>1.6</v>
      </c>
      <c r="AF1138" s="4">
        <v>1.19</v>
      </c>
      <c r="AG1138" s="4"/>
      <c r="AH1138" s="4" t="s">
        <v>4702</v>
      </c>
      <c r="AI1138" s="4">
        <v>5</v>
      </c>
      <c r="AJ1138" s="4"/>
      <c r="AK1138" s="4"/>
      <c r="AL1138" s="4">
        <v>54.730699999999999</v>
      </c>
      <c r="AM1138" s="4"/>
      <c r="AN1138" s="4"/>
      <c r="AO1138" s="4"/>
      <c r="AP1138" s="4"/>
      <c r="AQ1138" s="4">
        <v>-2.028793216</v>
      </c>
      <c r="AR1138" s="4"/>
      <c r="AS1138" s="4"/>
      <c r="AT1138" s="4"/>
    </row>
    <row r="1139" spans="1:46">
      <c r="A1139" s="4" t="s">
        <v>4703</v>
      </c>
      <c r="B1139" s="4"/>
      <c r="C1139" s="4" t="s">
        <v>4703</v>
      </c>
      <c r="D1139" s="4" t="s">
        <v>4703</v>
      </c>
      <c r="E1139" s="4" t="s">
        <v>4308</v>
      </c>
      <c r="F1139" s="4" t="s">
        <v>4704</v>
      </c>
      <c r="G1139" s="4" t="s">
        <v>456</v>
      </c>
      <c r="H1139" s="4" t="s">
        <v>4705</v>
      </c>
      <c r="I1139" s="4">
        <v>69</v>
      </c>
      <c r="J1139" s="4">
        <v>0.2</v>
      </c>
      <c r="K1139" s="4" t="s">
        <v>150</v>
      </c>
      <c r="L1139" s="4" t="s">
        <v>78</v>
      </c>
      <c r="M1139" s="4">
        <v>36</v>
      </c>
      <c r="N1139" s="4">
        <v>40.200000000000003</v>
      </c>
      <c r="O1139" s="4">
        <v>71.117999999999995</v>
      </c>
      <c r="P1139" s="4">
        <v>-163.80600000000001</v>
      </c>
      <c r="Q1139" s="4">
        <v>4.2300000000000004</v>
      </c>
      <c r="R1139" s="4">
        <v>31.9</v>
      </c>
      <c r="S1139" s="4">
        <v>292.09800000000001</v>
      </c>
      <c r="T1139" s="4"/>
      <c r="U1139" s="4"/>
      <c r="V1139" s="4"/>
      <c r="W1139" s="4">
        <v>1.1890000000000001</v>
      </c>
      <c r="X1139" s="4">
        <v>1</v>
      </c>
      <c r="Y1139" s="4">
        <v>2.1560000000000001</v>
      </c>
      <c r="Z1139" s="4"/>
      <c r="AA1139" s="4">
        <v>0.72</v>
      </c>
      <c r="AB1139" s="4">
        <v>10.68</v>
      </c>
      <c r="AC1139" s="4"/>
      <c r="AD1139" s="4"/>
      <c r="AE1139" s="4">
        <v>1.83</v>
      </c>
      <c r="AF1139" s="4">
        <v>1.25</v>
      </c>
      <c r="AG1139" s="4"/>
      <c r="AH1139" s="4" t="s">
        <v>4706</v>
      </c>
      <c r="AI1139" s="4">
        <v>1</v>
      </c>
      <c r="AJ1139" s="4"/>
      <c r="AK1139" s="4"/>
      <c r="AL1139" s="4">
        <v>36.296199999999999</v>
      </c>
      <c r="AM1139" s="4"/>
      <c r="AN1139" s="4"/>
      <c r="AO1139" s="4"/>
      <c r="AP1139" s="4"/>
      <c r="AQ1139" s="4">
        <v>-1.4632002719999999</v>
      </c>
      <c r="AR1139" s="4"/>
      <c r="AS1139" s="4"/>
      <c r="AT1139" s="4"/>
    </row>
    <row r="1140" spans="1:46">
      <c r="A1140" s="4" t="s">
        <v>4707</v>
      </c>
      <c r="B1140" s="4"/>
      <c r="C1140" s="4" t="s">
        <v>4707</v>
      </c>
      <c r="D1140" s="4" t="s">
        <v>4707</v>
      </c>
      <c r="E1140" s="4" t="s">
        <v>4308</v>
      </c>
      <c r="F1140" s="4" t="s">
        <v>4704</v>
      </c>
      <c r="G1140" s="4" t="s">
        <v>456</v>
      </c>
      <c r="H1140" s="4" t="s">
        <v>4705</v>
      </c>
      <c r="I1140" s="4">
        <v>69</v>
      </c>
      <c r="J1140" s="4">
        <v>0.2</v>
      </c>
      <c r="K1140" s="4" t="s">
        <v>1688</v>
      </c>
      <c r="L1140" s="4" t="s">
        <v>52</v>
      </c>
      <c r="M1140" s="4">
        <v>5</v>
      </c>
      <c r="N1140" s="4">
        <v>40.200000000000003</v>
      </c>
      <c r="O1140" s="4">
        <v>71.117999999999995</v>
      </c>
      <c r="P1140" s="4">
        <v>-163.80600000000001</v>
      </c>
      <c r="Q1140" s="4">
        <v>4.29</v>
      </c>
      <c r="R1140" s="4">
        <v>31.85</v>
      </c>
      <c r="S1140" s="4">
        <v>297.15100000000001</v>
      </c>
      <c r="T1140" s="4"/>
      <c r="U1140" s="4"/>
      <c r="V1140" s="4"/>
      <c r="W1140" s="4">
        <v>0.93</v>
      </c>
      <c r="X1140" s="4">
        <v>5</v>
      </c>
      <c r="Y1140" s="4">
        <v>1.1679999999999999</v>
      </c>
      <c r="Z1140" s="4"/>
      <c r="AA1140" s="4">
        <v>0.73</v>
      </c>
      <c r="AB1140" s="4">
        <v>10.68</v>
      </c>
      <c r="AC1140" s="4"/>
      <c r="AD1140" s="4"/>
      <c r="AE1140" s="4">
        <v>1.61</v>
      </c>
      <c r="AF1140" s="4">
        <v>1.1599999999999999</v>
      </c>
      <c r="AG1140" s="4"/>
      <c r="AH1140" s="4" t="s">
        <v>4708</v>
      </c>
      <c r="AI1140" s="4">
        <v>5</v>
      </c>
      <c r="AJ1140" s="4"/>
      <c r="AK1140" s="4"/>
      <c r="AL1140" s="4">
        <v>59.967300000000002</v>
      </c>
      <c r="AM1140" s="4"/>
      <c r="AN1140" s="4"/>
      <c r="AO1140" s="4"/>
      <c r="AP1140" s="4"/>
      <c r="AQ1140" s="4"/>
      <c r="AR1140" s="4"/>
      <c r="AS1140" s="4"/>
      <c r="AT1140" s="4"/>
    </row>
    <row r="1141" spans="1:46">
      <c r="A1141" s="4" t="s">
        <v>4709</v>
      </c>
      <c r="B1141" s="4"/>
      <c r="C1141" s="4" t="s">
        <v>4709</v>
      </c>
      <c r="D1141" s="4" t="s">
        <v>4709</v>
      </c>
      <c r="E1141" s="4" t="s">
        <v>4308</v>
      </c>
      <c r="F1141" s="4" t="s">
        <v>4710</v>
      </c>
      <c r="G1141" s="4" t="s">
        <v>456</v>
      </c>
      <c r="H1141" s="4" t="s">
        <v>4711</v>
      </c>
      <c r="I1141" s="4">
        <v>78</v>
      </c>
      <c r="J1141" s="4">
        <v>0.2</v>
      </c>
      <c r="K1141" s="4" t="s">
        <v>150</v>
      </c>
      <c r="L1141" s="4" t="s">
        <v>78</v>
      </c>
      <c r="M1141" s="4">
        <v>38</v>
      </c>
      <c r="N1141" s="4">
        <v>42.3</v>
      </c>
      <c r="O1141" s="4">
        <v>71.266000000000005</v>
      </c>
      <c r="P1141" s="4">
        <v>-166.42</v>
      </c>
      <c r="Q1141" s="4">
        <v>0.1</v>
      </c>
      <c r="R1141" s="4">
        <v>32.4</v>
      </c>
      <c r="S1141" s="4">
        <v>330.42599999999999</v>
      </c>
      <c r="T1141" s="4"/>
      <c r="U1141" s="4"/>
      <c r="V1141" s="4"/>
      <c r="W1141" s="4">
        <v>0.64700000000000002</v>
      </c>
      <c r="X1141" s="4">
        <v>1</v>
      </c>
      <c r="Y1141" s="4">
        <v>1.1519999999999999</v>
      </c>
      <c r="Z1141" s="4"/>
      <c r="AA1141" s="4"/>
      <c r="AB1141" s="4"/>
      <c r="AC1141" s="4"/>
      <c r="AD1141" s="4"/>
      <c r="AE1141" s="4"/>
      <c r="AF1141" s="4"/>
      <c r="AG1141" s="4"/>
      <c r="AH1141" s="4" t="s">
        <v>4712</v>
      </c>
      <c r="AI1141" s="4">
        <v>1</v>
      </c>
      <c r="AJ1141" s="4"/>
      <c r="AK1141" s="4"/>
      <c r="AL1141" s="4">
        <v>38.882300000000001</v>
      </c>
      <c r="AM1141" s="4"/>
      <c r="AN1141" s="4"/>
      <c r="AO1141" s="4"/>
      <c r="AP1141" s="4"/>
      <c r="AQ1141" s="4">
        <v>-1.001971808</v>
      </c>
      <c r="AR1141" s="4"/>
      <c r="AS1141" s="4"/>
      <c r="AT1141" s="4"/>
    </row>
    <row r="1142" spans="1:46">
      <c r="A1142" s="4" t="s">
        <v>4713</v>
      </c>
      <c r="B1142" s="4"/>
      <c r="C1142" s="4" t="s">
        <v>4713</v>
      </c>
      <c r="D1142" s="4" t="s">
        <v>4713</v>
      </c>
      <c r="E1142" s="4" t="s">
        <v>4308</v>
      </c>
      <c r="F1142" s="4" t="s">
        <v>4710</v>
      </c>
      <c r="G1142" s="4" t="s">
        <v>456</v>
      </c>
      <c r="H1142" s="4" t="s">
        <v>4711</v>
      </c>
      <c r="I1142" s="4">
        <v>78</v>
      </c>
      <c r="J1142" s="4">
        <v>0.2</v>
      </c>
      <c r="K1142" s="4" t="s">
        <v>1688</v>
      </c>
      <c r="L1142" s="4" t="s">
        <v>52</v>
      </c>
      <c r="M1142" s="4">
        <v>5</v>
      </c>
      <c r="N1142" s="4">
        <v>42.3</v>
      </c>
      <c r="O1142" s="4">
        <v>71.266000000000005</v>
      </c>
      <c r="P1142" s="4">
        <v>-166.42</v>
      </c>
      <c r="Q1142" s="4">
        <v>4.26</v>
      </c>
      <c r="R1142" s="4">
        <v>31.89</v>
      </c>
      <c r="S1142" s="4">
        <v>311.702</v>
      </c>
      <c r="T1142" s="4"/>
      <c r="U1142" s="4"/>
      <c r="V1142" s="4"/>
      <c r="W1142" s="4">
        <v>2.86</v>
      </c>
      <c r="X1142" s="4">
        <v>5</v>
      </c>
      <c r="Y1142" s="4">
        <v>4</v>
      </c>
      <c r="Z1142" s="4"/>
      <c r="AA1142" s="4">
        <v>0.46</v>
      </c>
      <c r="AB1142" s="4">
        <v>4.9800000000000004</v>
      </c>
      <c r="AC1142" s="4"/>
      <c r="AD1142" s="4"/>
      <c r="AE1142" s="4">
        <v>0.52</v>
      </c>
      <c r="AF1142" s="4">
        <v>0.54</v>
      </c>
      <c r="AG1142" s="4"/>
      <c r="AH1142" s="4" t="s">
        <v>4714</v>
      </c>
      <c r="AI1142" s="4">
        <v>5</v>
      </c>
      <c r="AJ1142" s="4"/>
      <c r="AK1142" s="4"/>
      <c r="AL1142" s="4">
        <v>87.0017</v>
      </c>
      <c r="AM1142" s="4"/>
      <c r="AN1142" s="4"/>
      <c r="AO1142" s="4"/>
      <c r="AP1142" s="4"/>
      <c r="AQ1142" s="4">
        <v>-1.1407452810000001</v>
      </c>
      <c r="AR1142" s="4"/>
      <c r="AS1142" s="4"/>
      <c r="AT1142" s="4"/>
    </row>
    <row r="1143" spans="1:46">
      <c r="A1143" s="4" t="s">
        <v>4715</v>
      </c>
      <c r="B1143" s="4"/>
      <c r="C1143" s="4" t="s">
        <v>4715</v>
      </c>
      <c r="D1143" s="4" t="s">
        <v>4715</v>
      </c>
      <c r="E1143" s="4" t="s">
        <v>4308</v>
      </c>
      <c r="F1143" s="4" t="s">
        <v>4716</v>
      </c>
      <c r="G1143" s="4" t="s">
        <v>456</v>
      </c>
      <c r="H1143" s="4" t="s">
        <v>4717</v>
      </c>
      <c r="I1143" s="4">
        <v>76</v>
      </c>
      <c r="J1143" s="4">
        <v>0.2</v>
      </c>
      <c r="K1143" s="4" t="s">
        <v>1488</v>
      </c>
      <c r="L1143" s="4" t="s">
        <v>78</v>
      </c>
      <c r="M1143" s="4">
        <v>35</v>
      </c>
      <c r="N1143" s="4">
        <v>44.2</v>
      </c>
      <c r="O1143" s="4">
        <v>71.385999999999996</v>
      </c>
      <c r="P1143" s="4">
        <v>-166.82</v>
      </c>
      <c r="Q1143" s="4">
        <v>0.96</v>
      </c>
      <c r="R1143" s="4">
        <v>32.25</v>
      </c>
      <c r="S1143" s="4">
        <v>294.70400000000001</v>
      </c>
      <c r="T1143" s="4"/>
      <c r="U1143" s="4"/>
      <c r="V1143" s="4"/>
      <c r="W1143" s="4">
        <v>3.5470000000000002</v>
      </c>
      <c r="X1143" s="4">
        <v>2</v>
      </c>
      <c r="Y1143" s="4">
        <v>9.6</v>
      </c>
      <c r="Z1143" s="4"/>
      <c r="AA1143" s="4"/>
      <c r="AB1143" s="4"/>
      <c r="AC1143" s="4"/>
      <c r="AD1143" s="4"/>
      <c r="AE1143" s="4"/>
      <c r="AF1143" s="4"/>
      <c r="AG1143" s="4"/>
      <c r="AH1143" s="4" t="s">
        <v>4718</v>
      </c>
      <c r="AI1143" s="4">
        <v>2</v>
      </c>
      <c r="AJ1143" s="4"/>
      <c r="AK1143" s="4"/>
      <c r="AL1143" s="4">
        <v>74.734999999999999</v>
      </c>
      <c r="AM1143" s="4"/>
      <c r="AN1143" s="4"/>
      <c r="AO1143" s="4"/>
      <c r="AP1143" s="4"/>
      <c r="AQ1143" s="4"/>
      <c r="AR1143" s="4"/>
      <c r="AS1143" s="4"/>
      <c r="AT1143" s="4"/>
    </row>
    <row r="1144" spans="1:46">
      <c r="A1144" s="4" t="s">
        <v>4719</v>
      </c>
      <c r="B1144" s="4"/>
      <c r="C1144" s="4" t="s">
        <v>4719</v>
      </c>
      <c r="D1144" s="4" t="s">
        <v>4719</v>
      </c>
      <c r="E1144" s="4" t="s">
        <v>4308</v>
      </c>
      <c r="F1144" s="4" t="s">
        <v>4716</v>
      </c>
      <c r="G1144" s="4" t="s">
        <v>456</v>
      </c>
      <c r="H1144" s="4" t="s">
        <v>4717</v>
      </c>
      <c r="I1144" s="4">
        <v>76</v>
      </c>
      <c r="J1144" s="4">
        <v>0.2</v>
      </c>
      <c r="K1144" s="4" t="s">
        <v>1688</v>
      </c>
      <c r="L1144" s="4" t="s">
        <v>52</v>
      </c>
      <c r="M1144" s="4">
        <v>4</v>
      </c>
      <c r="N1144" s="4">
        <v>44.2</v>
      </c>
      <c r="O1144" s="4">
        <v>71.385999999999996</v>
      </c>
      <c r="P1144" s="4">
        <v>-166.82</v>
      </c>
      <c r="Q1144" s="4">
        <v>3.84</v>
      </c>
      <c r="R1144" s="4">
        <v>31.8</v>
      </c>
      <c r="S1144" s="4">
        <v>317.96800000000002</v>
      </c>
      <c r="T1144" s="4"/>
      <c r="U1144" s="4"/>
      <c r="V1144" s="4"/>
      <c r="W1144" s="4">
        <v>1.415</v>
      </c>
      <c r="X1144" s="4">
        <v>6</v>
      </c>
      <c r="Y1144" s="4">
        <v>1.8720000000000001</v>
      </c>
      <c r="Z1144" s="4"/>
      <c r="AA1144" s="4">
        <v>0.47</v>
      </c>
      <c r="AB1144" s="4">
        <v>4.63</v>
      </c>
      <c r="AC1144" s="4"/>
      <c r="AD1144" s="4"/>
      <c r="AE1144" s="4">
        <v>0.36</v>
      </c>
      <c r="AF1144" s="4">
        <v>0.21</v>
      </c>
      <c r="AG1144" s="4"/>
      <c r="AH1144" s="4" t="s">
        <v>4720</v>
      </c>
      <c r="AI1144" s="4">
        <v>6</v>
      </c>
      <c r="AJ1144" s="4"/>
      <c r="AK1144" s="4"/>
      <c r="AL1144" s="4">
        <v>89.231700000000004</v>
      </c>
      <c r="AM1144" s="4"/>
      <c r="AN1144" s="4"/>
      <c r="AO1144" s="4"/>
      <c r="AP1144" s="4"/>
      <c r="AQ1144" s="4">
        <v>-1.2553545580000001</v>
      </c>
      <c r="AR1144" s="4"/>
      <c r="AS1144" s="4"/>
      <c r="AT1144" s="4"/>
    </row>
    <row r="1145" spans="1:46">
      <c r="A1145" s="4" t="s">
        <v>4721</v>
      </c>
      <c r="B1145" s="4"/>
      <c r="C1145" s="4" t="s">
        <v>4721</v>
      </c>
      <c r="D1145" s="4" t="s">
        <v>4721</v>
      </c>
      <c r="E1145" s="4" t="s">
        <v>4308</v>
      </c>
      <c r="F1145" s="4" t="s">
        <v>4716</v>
      </c>
      <c r="G1145" s="4" t="s">
        <v>456</v>
      </c>
      <c r="H1145" s="4" t="s">
        <v>4722</v>
      </c>
      <c r="I1145" s="4">
        <v>77</v>
      </c>
      <c r="J1145" s="4">
        <v>0.2</v>
      </c>
      <c r="K1145" s="4" t="s">
        <v>150</v>
      </c>
      <c r="L1145" s="4" t="s">
        <v>78</v>
      </c>
      <c r="M1145" s="4">
        <v>40</v>
      </c>
      <c r="N1145" s="4">
        <v>44.2</v>
      </c>
      <c r="O1145" s="4">
        <v>71.385999999999996</v>
      </c>
      <c r="P1145" s="4">
        <v>-166.822</v>
      </c>
      <c r="Q1145" s="4">
        <v>-0.06</v>
      </c>
      <c r="R1145" s="4">
        <v>32.369999999999997</v>
      </c>
      <c r="S1145" s="4">
        <v>276.435</v>
      </c>
      <c r="T1145" s="4"/>
      <c r="U1145" s="4"/>
      <c r="V1145" s="4"/>
      <c r="W1145" s="4">
        <v>1.216</v>
      </c>
      <c r="X1145" s="4">
        <v>1</v>
      </c>
      <c r="Y1145" s="4"/>
      <c r="Z1145" s="4"/>
      <c r="AA1145" s="4">
        <v>1.65</v>
      </c>
      <c r="AB1145" s="4">
        <v>18.510000000000002</v>
      </c>
      <c r="AC1145" s="4"/>
      <c r="AD1145" s="4"/>
      <c r="AE1145" s="4">
        <v>4.26</v>
      </c>
      <c r="AF1145" s="4">
        <v>5.08</v>
      </c>
      <c r="AG1145" s="4"/>
      <c r="AH1145" s="4" t="s">
        <v>4723</v>
      </c>
      <c r="AI1145" s="4">
        <v>1</v>
      </c>
      <c r="AJ1145" s="4"/>
      <c r="AK1145" s="4"/>
      <c r="AL1145" s="4">
        <v>29.6524</v>
      </c>
      <c r="AM1145" s="4"/>
      <c r="AN1145" s="4"/>
      <c r="AO1145" s="4"/>
      <c r="AP1145" s="4"/>
      <c r="AQ1145" s="4"/>
      <c r="AR1145" s="4"/>
      <c r="AS1145" s="4"/>
      <c r="AT1145" s="4"/>
    </row>
    <row r="1146" spans="1:46">
      <c r="A1146" s="4" t="s">
        <v>4724</v>
      </c>
      <c r="B1146" s="4"/>
      <c r="C1146" s="4" t="s">
        <v>4724</v>
      </c>
      <c r="D1146" s="4" t="s">
        <v>4724</v>
      </c>
      <c r="E1146" s="4" t="s">
        <v>4308</v>
      </c>
      <c r="F1146" s="4" t="s">
        <v>4725</v>
      </c>
      <c r="G1146" s="4" t="s">
        <v>456</v>
      </c>
      <c r="H1146" s="4" t="s">
        <v>4726</v>
      </c>
      <c r="I1146" s="4">
        <v>75</v>
      </c>
      <c r="J1146" s="4">
        <v>0.2</v>
      </c>
      <c r="K1146" s="4" t="s">
        <v>1488</v>
      </c>
      <c r="L1146" s="4" t="s">
        <v>65</v>
      </c>
      <c r="M1146" s="4">
        <v>35</v>
      </c>
      <c r="N1146" s="4">
        <v>46.4</v>
      </c>
      <c r="O1146" s="4">
        <v>71.507000000000005</v>
      </c>
      <c r="P1146" s="4">
        <v>-167.221</v>
      </c>
      <c r="Q1146" s="4">
        <v>1.9</v>
      </c>
      <c r="R1146" s="4">
        <v>32.130000000000003</v>
      </c>
      <c r="S1146" s="4">
        <v>302.935</v>
      </c>
      <c r="T1146" s="4"/>
      <c r="U1146" s="4"/>
      <c r="V1146" s="4"/>
      <c r="W1146" s="4">
        <v>3.7490000000000001</v>
      </c>
      <c r="X1146" s="4">
        <v>2</v>
      </c>
      <c r="Y1146" s="4">
        <v>5.48</v>
      </c>
      <c r="Z1146" s="4"/>
      <c r="AA1146" s="4"/>
      <c r="AB1146" s="4"/>
      <c r="AC1146" s="4"/>
      <c r="AD1146" s="4"/>
      <c r="AE1146" s="4"/>
      <c r="AF1146" s="4"/>
      <c r="AG1146" s="4"/>
      <c r="AH1146" s="4" t="s">
        <v>4727</v>
      </c>
      <c r="AI1146" s="4">
        <v>2</v>
      </c>
      <c r="AJ1146" s="4"/>
      <c r="AK1146" s="4"/>
      <c r="AL1146" s="4">
        <v>75.246499999999997</v>
      </c>
      <c r="AM1146" s="4"/>
      <c r="AN1146" s="4"/>
      <c r="AO1146" s="4"/>
      <c r="AP1146" s="4"/>
      <c r="AQ1146" s="4"/>
      <c r="AR1146" s="4"/>
      <c r="AS1146" s="4"/>
      <c r="AT1146" s="4"/>
    </row>
    <row r="1147" spans="1:46">
      <c r="A1147" s="4" t="s">
        <v>4728</v>
      </c>
      <c r="B1147" s="4"/>
      <c r="C1147" s="4" t="s">
        <v>4728</v>
      </c>
      <c r="D1147" s="4" t="s">
        <v>4728</v>
      </c>
      <c r="E1147" s="4" t="s">
        <v>4308</v>
      </c>
      <c r="F1147" s="4" t="s">
        <v>4725</v>
      </c>
      <c r="G1147" s="4" t="s">
        <v>456</v>
      </c>
      <c r="H1147" s="4" t="s">
        <v>4726</v>
      </c>
      <c r="I1147" s="4">
        <v>75</v>
      </c>
      <c r="J1147" s="4">
        <v>0.2</v>
      </c>
      <c r="K1147" s="4" t="s">
        <v>150</v>
      </c>
      <c r="L1147" s="4" t="s">
        <v>78</v>
      </c>
      <c r="M1147" s="4">
        <v>42</v>
      </c>
      <c r="N1147" s="4">
        <v>46.4</v>
      </c>
      <c r="O1147" s="4">
        <v>71.507000000000005</v>
      </c>
      <c r="P1147" s="4">
        <v>-167.221</v>
      </c>
      <c r="Q1147" s="4">
        <v>-0.14000000000000001</v>
      </c>
      <c r="R1147" s="4">
        <v>32.380000000000003</v>
      </c>
      <c r="S1147" s="4">
        <v>264.98</v>
      </c>
      <c r="T1147" s="4"/>
      <c r="U1147" s="4"/>
      <c r="V1147" s="4"/>
      <c r="W1147" s="4">
        <v>0.76700000000000002</v>
      </c>
      <c r="X1147" s="4">
        <v>1</v>
      </c>
      <c r="Y1147" s="4">
        <v>1.448</v>
      </c>
      <c r="Z1147" s="4"/>
      <c r="AA1147" s="4">
        <v>1.35</v>
      </c>
      <c r="AB1147" s="4">
        <v>20.64</v>
      </c>
      <c r="AC1147" s="4"/>
      <c r="AD1147" s="4"/>
      <c r="AE1147" s="4">
        <v>3.77</v>
      </c>
      <c r="AF1147" s="4">
        <v>7.39</v>
      </c>
      <c r="AG1147" s="4"/>
      <c r="AH1147" s="4" t="s">
        <v>4729</v>
      </c>
      <c r="AI1147" s="4">
        <v>1</v>
      </c>
      <c r="AJ1147" s="4"/>
      <c r="AK1147" s="4"/>
      <c r="AL1147" s="4">
        <v>15.2942</v>
      </c>
      <c r="AM1147" s="4"/>
      <c r="AN1147" s="4"/>
      <c r="AO1147" s="4"/>
      <c r="AP1147" s="4"/>
      <c r="AQ1147" s="4">
        <v>-1.2586481249999999</v>
      </c>
      <c r="AR1147" s="4"/>
      <c r="AS1147" s="4"/>
      <c r="AT1147" s="4"/>
    </row>
    <row r="1148" spans="1:46">
      <c r="A1148" s="4" t="s">
        <v>4730</v>
      </c>
      <c r="B1148" s="4"/>
      <c r="C1148" s="4" t="s">
        <v>4730</v>
      </c>
      <c r="D1148" s="4" t="s">
        <v>4730</v>
      </c>
      <c r="E1148" s="4" t="s">
        <v>4308</v>
      </c>
      <c r="F1148" s="4" t="s">
        <v>4725</v>
      </c>
      <c r="G1148" s="4" t="s">
        <v>456</v>
      </c>
      <c r="H1148" s="4" t="s">
        <v>4726</v>
      </c>
      <c r="I1148" s="4">
        <v>75</v>
      </c>
      <c r="J1148" s="4">
        <v>0.2</v>
      </c>
      <c r="K1148" s="4" t="s">
        <v>1688</v>
      </c>
      <c r="L1148" s="4" t="s">
        <v>52</v>
      </c>
      <c r="M1148" s="4">
        <v>5</v>
      </c>
      <c r="N1148" s="4">
        <v>46.4</v>
      </c>
      <c r="O1148" s="4">
        <v>71.507000000000005</v>
      </c>
      <c r="P1148" s="4">
        <v>-167.221</v>
      </c>
      <c r="Q1148" s="4">
        <v>3.91</v>
      </c>
      <c r="R1148" s="4">
        <v>31.74</v>
      </c>
      <c r="S1148" s="4">
        <v>315.226</v>
      </c>
      <c r="T1148" s="4"/>
      <c r="U1148" s="4"/>
      <c r="V1148" s="4"/>
      <c r="W1148" s="4">
        <v>1.4990000000000001</v>
      </c>
      <c r="X1148" s="4">
        <v>7</v>
      </c>
      <c r="Y1148" s="4">
        <v>1.8320000000000001</v>
      </c>
      <c r="Z1148" s="4"/>
      <c r="AA1148" s="4">
        <v>0.47</v>
      </c>
      <c r="AB1148" s="4">
        <v>4.63</v>
      </c>
      <c r="AC1148" s="4"/>
      <c r="AD1148" s="4"/>
      <c r="AE1148" s="4">
        <v>0.4</v>
      </c>
      <c r="AF1148" s="4">
        <v>0.54</v>
      </c>
      <c r="AG1148" s="4"/>
      <c r="AH1148" s="4" t="s">
        <v>4731</v>
      </c>
      <c r="AI1148" s="4">
        <v>7</v>
      </c>
      <c r="AJ1148" s="4"/>
      <c r="AK1148" s="4"/>
      <c r="AL1148" s="4">
        <v>89.996300000000005</v>
      </c>
      <c r="AM1148" s="4"/>
      <c r="AN1148" s="4"/>
      <c r="AO1148" s="4"/>
      <c r="AP1148" s="4"/>
      <c r="AQ1148" s="4">
        <v>-1.532560202</v>
      </c>
      <c r="AR1148" s="4"/>
      <c r="AS1148" s="4"/>
      <c r="AT1148" s="4"/>
    </row>
    <row r="1149" spans="1:46">
      <c r="A1149" s="4" t="s">
        <v>4732</v>
      </c>
      <c r="B1149" s="4"/>
      <c r="C1149" s="4" t="s">
        <v>4732</v>
      </c>
      <c r="D1149" s="4" t="s">
        <v>4732</v>
      </c>
      <c r="E1149" s="4" t="s">
        <v>4308</v>
      </c>
      <c r="F1149" s="4" t="s">
        <v>4733</v>
      </c>
      <c r="G1149" s="4" t="s">
        <v>456</v>
      </c>
      <c r="H1149" s="4" t="s">
        <v>4734</v>
      </c>
      <c r="I1149" s="4">
        <v>84</v>
      </c>
      <c r="J1149" s="4">
        <v>0.2</v>
      </c>
      <c r="K1149" s="4" t="s">
        <v>150</v>
      </c>
      <c r="L1149" s="4" t="s">
        <v>78</v>
      </c>
      <c r="M1149" s="4">
        <v>37</v>
      </c>
      <c r="N1149" s="4">
        <v>41.9</v>
      </c>
      <c r="O1149" s="4">
        <v>70.524000000000001</v>
      </c>
      <c r="P1149" s="4">
        <v>-164.12700000000001</v>
      </c>
      <c r="Q1149" s="4">
        <v>5.59</v>
      </c>
      <c r="R1149" s="4">
        <v>31.7</v>
      </c>
      <c r="S1149" s="4">
        <v>279.137</v>
      </c>
      <c r="T1149" s="4"/>
      <c r="U1149" s="4"/>
      <c r="V1149" s="4"/>
      <c r="W1149" s="4">
        <v>1.0549999999999999</v>
      </c>
      <c r="X1149" s="4">
        <v>1</v>
      </c>
      <c r="Y1149" s="4">
        <v>1.4319999999999999</v>
      </c>
      <c r="Z1149" s="4"/>
      <c r="AA1149" s="4">
        <v>0.92</v>
      </c>
      <c r="AB1149" s="4">
        <v>14.23</v>
      </c>
      <c r="AC1149" s="4"/>
      <c r="AD1149" s="4"/>
      <c r="AE1149" s="4">
        <v>1.74</v>
      </c>
      <c r="AF1149" s="4">
        <v>1.21</v>
      </c>
      <c r="AG1149" s="4"/>
      <c r="AH1149" s="4" t="s">
        <v>4735</v>
      </c>
      <c r="AI1149" s="4">
        <v>1</v>
      </c>
      <c r="AJ1149" s="4"/>
      <c r="AK1149" s="4"/>
      <c r="AL1149" s="4">
        <v>48.6755</v>
      </c>
      <c r="AM1149" s="4"/>
      <c r="AN1149" s="4"/>
      <c r="AO1149" s="4"/>
      <c r="AP1149" s="4"/>
      <c r="AQ1149" s="4">
        <v>-1.3767557500000001</v>
      </c>
      <c r="AR1149" s="4"/>
      <c r="AS1149" s="4"/>
      <c r="AT1149" s="4"/>
    </row>
    <row r="1150" spans="1:46">
      <c r="A1150" s="4" t="s">
        <v>4736</v>
      </c>
      <c r="B1150" s="4"/>
      <c r="C1150" s="4" t="s">
        <v>4736</v>
      </c>
      <c r="D1150" s="4" t="s">
        <v>4736</v>
      </c>
      <c r="E1150" s="4" t="s">
        <v>4308</v>
      </c>
      <c r="F1150" s="4" t="s">
        <v>4733</v>
      </c>
      <c r="G1150" s="4" t="s">
        <v>456</v>
      </c>
      <c r="H1150" s="4" t="s">
        <v>4734</v>
      </c>
      <c r="I1150" s="4">
        <v>84</v>
      </c>
      <c r="J1150" s="4">
        <v>0.2</v>
      </c>
      <c r="K1150" s="4" t="s">
        <v>1688</v>
      </c>
      <c r="L1150" s="4" t="s">
        <v>52</v>
      </c>
      <c r="M1150" s="4">
        <v>5</v>
      </c>
      <c r="N1150" s="4">
        <v>41.9</v>
      </c>
      <c r="O1150" s="4">
        <v>70.524000000000001</v>
      </c>
      <c r="P1150" s="4">
        <v>-164.12700000000001</v>
      </c>
      <c r="Q1150" s="4">
        <v>5.67</v>
      </c>
      <c r="R1150" s="4">
        <v>31.68</v>
      </c>
      <c r="S1150" s="4">
        <v>284.32900000000001</v>
      </c>
      <c r="T1150" s="4"/>
      <c r="U1150" s="4"/>
      <c r="V1150" s="4"/>
      <c r="W1150" s="4">
        <v>1.272</v>
      </c>
      <c r="X1150" s="4">
        <v>5</v>
      </c>
      <c r="Y1150" s="4">
        <v>1.476</v>
      </c>
      <c r="Z1150" s="4"/>
      <c r="AA1150" s="4">
        <v>0.82</v>
      </c>
      <c r="AB1150" s="4">
        <v>13.52</v>
      </c>
      <c r="AC1150" s="4"/>
      <c r="AD1150" s="4"/>
      <c r="AE1150" s="4">
        <v>1.5</v>
      </c>
      <c r="AF1150" s="4">
        <v>0.97</v>
      </c>
      <c r="AG1150" s="4"/>
      <c r="AH1150" s="4" t="s">
        <v>4737</v>
      </c>
      <c r="AI1150" s="4">
        <v>5</v>
      </c>
      <c r="AJ1150" s="4"/>
      <c r="AK1150" s="4"/>
      <c r="AL1150" s="4">
        <v>60.143300000000004</v>
      </c>
      <c r="AM1150" s="4"/>
      <c r="AN1150" s="4"/>
      <c r="AO1150" s="4"/>
      <c r="AP1150" s="4"/>
      <c r="AQ1150" s="4">
        <v>-1.246258855</v>
      </c>
      <c r="AR1150" s="4"/>
      <c r="AS1150" s="4"/>
      <c r="AT1150" s="4"/>
    </row>
    <row r="1151" spans="1:46">
      <c r="A1151" s="4" t="s">
        <v>4738</v>
      </c>
      <c r="B1151" s="4"/>
      <c r="C1151" s="4" t="s">
        <v>4738</v>
      </c>
      <c r="D1151" s="4" t="s">
        <v>4738</v>
      </c>
      <c r="E1151" s="4" t="s">
        <v>4308</v>
      </c>
      <c r="F1151" s="4" t="s">
        <v>4739</v>
      </c>
      <c r="G1151" s="4" t="s">
        <v>456</v>
      </c>
      <c r="H1151" s="4" t="s">
        <v>4740</v>
      </c>
      <c r="I1151" s="4">
        <v>83</v>
      </c>
      <c r="J1151" s="4">
        <v>0.2</v>
      </c>
      <c r="K1151" s="4" t="s">
        <v>1688</v>
      </c>
      <c r="L1151" s="4" t="s">
        <v>52</v>
      </c>
      <c r="M1151" s="4">
        <v>4</v>
      </c>
      <c r="N1151" s="4">
        <v>44</v>
      </c>
      <c r="O1151" s="4">
        <v>70.647000000000006</v>
      </c>
      <c r="P1151" s="4">
        <v>-164.50200000000001</v>
      </c>
      <c r="Q1151" s="4">
        <v>5.08</v>
      </c>
      <c r="R1151" s="4">
        <v>31.86</v>
      </c>
      <c r="S1151" s="4">
        <v>290.67399999999998</v>
      </c>
      <c r="T1151" s="4"/>
      <c r="U1151" s="4"/>
      <c r="V1151" s="4"/>
      <c r="W1151" s="4">
        <v>1.194</v>
      </c>
      <c r="X1151" s="4">
        <v>9</v>
      </c>
      <c r="Y1151" s="4">
        <v>1.804</v>
      </c>
      <c r="Z1151" s="4"/>
      <c r="AA1151" s="4">
        <v>0.88</v>
      </c>
      <c r="AB1151" s="4">
        <v>12.46</v>
      </c>
      <c r="AC1151" s="4"/>
      <c r="AD1151" s="4"/>
      <c r="AE1151" s="4">
        <v>1.46</v>
      </c>
      <c r="AF1151" s="4">
        <v>1.52</v>
      </c>
      <c r="AG1151" s="4"/>
      <c r="AH1151" s="4" t="s">
        <v>4741</v>
      </c>
      <c r="AI1151" s="4">
        <v>9</v>
      </c>
      <c r="AJ1151" s="4"/>
      <c r="AK1151" s="4"/>
      <c r="AL1151" s="4">
        <v>63.358699999999999</v>
      </c>
      <c r="AM1151" s="4"/>
      <c r="AN1151" s="4"/>
      <c r="AO1151" s="4"/>
      <c r="AP1151" s="4"/>
      <c r="AQ1151" s="4">
        <v>-1.0900448389999999</v>
      </c>
      <c r="AR1151" s="4"/>
      <c r="AS1151" s="4"/>
      <c r="AT1151" s="4"/>
    </row>
    <row r="1152" spans="1:46">
      <c r="A1152" s="4" t="s">
        <v>4742</v>
      </c>
      <c r="B1152" s="4"/>
      <c r="C1152" s="4" t="s">
        <v>4742</v>
      </c>
      <c r="D1152" s="4" t="s">
        <v>4742</v>
      </c>
      <c r="E1152" s="4" t="s">
        <v>4308</v>
      </c>
      <c r="F1152" s="4" t="s">
        <v>4739</v>
      </c>
      <c r="G1152" s="4" t="s">
        <v>456</v>
      </c>
      <c r="H1152" s="4" t="s">
        <v>4740</v>
      </c>
      <c r="I1152" s="4">
        <v>83</v>
      </c>
      <c r="J1152" s="4">
        <v>0.2</v>
      </c>
      <c r="K1152" s="4" t="s">
        <v>150</v>
      </c>
      <c r="L1152" s="4" t="s">
        <v>78</v>
      </c>
      <c r="M1152" s="4">
        <v>40</v>
      </c>
      <c r="N1152" s="4">
        <v>44</v>
      </c>
      <c r="O1152" s="4">
        <v>70.647000000000006</v>
      </c>
      <c r="P1152" s="4">
        <v>-164.50200000000001</v>
      </c>
      <c r="Q1152" s="4">
        <v>4.9000000000000004</v>
      </c>
      <c r="R1152" s="4">
        <v>31.88</v>
      </c>
      <c r="S1152" s="4">
        <v>283.81299999999999</v>
      </c>
      <c r="T1152" s="4"/>
      <c r="U1152" s="4"/>
      <c r="V1152" s="4"/>
      <c r="W1152" s="4">
        <v>1.0760000000000001</v>
      </c>
      <c r="X1152" s="4">
        <v>5</v>
      </c>
      <c r="Y1152" s="4">
        <v>1.64</v>
      </c>
      <c r="Z1152" s="4"/>
      <c r="AA1152" s="4">
        <v>0.93</v>
      </c>
      <c r="AB1152" s="4">
        <v>12.81</v>
      </c>
      <c r="AC1152" s="4"/>
      <c r="AD1152" s="4"/>
      <c r="AE1152" s="4">
        <v>1.87</v>
      </c>
      <c r="AF1152" s="4">
        <v>1.75</v>
      </c>
      <c r="AG1152" s="4"/>
      <c r="AH1152" s="4" t="s">
        <v>4743</v>
      </c>
      <c r="AI1152" s="4">
        <v>5</v>
      </c>
      <c r="AJ1152" s="4"/>
      <c r="AK1152" s="4"/>
      <c r="AL1152" s="4">
        <v>54.411499999999997</v>
      </c>
      <c r="AM1152" s="4"/>
      <c r="AN1152" s="4"/>
      <c r="AO1152" s="4"/>
      <c r="AP1152" s="4"/>
      <c r="AQ1152" s="4">
        <v>-1.191189745</v>
      </c>
      <c r="AR1152" s="4"/>
      <c r="AS1152" s="4"/>
      <c r="AT1152" s="4"/>
    </row>
    <row r="1153" spans="1:46">
      <c r="A1153" s="4" t="s">
        <v>4744</v>
      </c>
      <c r="B1153" s="4"/>
      <c r="C1153" s="4" t="s">
        <v>4744</v>
      </c>
      <c r="D1153" s="4" t="s">
        <v>4744</v>
      </c>
      <c r="E1153" s="4" t="s">
        <v>4308</v>
      </c>
      <c r="F1153" s="4" t="s">
        <v>4745</v>
      </c>
      <c r="G1153" s="4" t="s">
        <v>456</v>
      </c>
      <c r="H1153" s="4" t="s">
        <v>4746</v>
      </c>
      <c r="I1153" s="4">
        <v>82</v>
      </c>
      <c r="J1153" s="4">
        <v>0.2</v>
      </c>
      <c r="K1153" s="4" t="s">
        <v>150</v>
      </c>
      <c r="L1153" s="4" t="s">
        <v>78</v>
      </c>
      <c r="M1153" s="4">
        <v>34</v>
      </c>
      <c r="N1153" s="4">
        <v>37.6</v>
      </c>
      <c r="O1153" s="4">
        <v>70.772000000000006</v>
      </c>
      <c r="P1153" s="4">
        <v>-164.87799999999999</v>
      </c>
      <c r="Q1153" s="4">
        <v>4.82</v>
      </c>
      <c r="R1153" s="4">
        <v>31.9</v>
      </c>
      <c r="S1153" s="4">
        <v>285.57799999999997</v>
      </c>
      <c r="T1153" s="4"/>
      <c r="U1153" s="4"/>
      <c r="V1153" s="4"/>
      <c r="W1153" s="4">
        <v>0.73</v>
      </c>
      <c r="X1153" s="4">
        <v>1</v>
      </c>
      <c r="Y1153" s="4">
        <v>1.4039999999999999</v>
      </c>
      <c r="Z1153" s="4"/>
      <c r="AA1153" s="4">
        <v>0.73</v>
      </c>
      <c r="AB1153" s="4">
        <v>12.81</v>
      </c>
      <c r="AC1153" s="4"/>
      <c r="AD1153" s="4"/>
      <c r="AE1153" s="4">
        <v>1.63</v>
      </c>
      <c r="AF1153" s="4">
        <v>2.59</v>
      </c>
      <c r="AG1153" s="4"/>
      <c r="AH1153" s="4" t="s">
        <v>4747</v>
      </c>
      <c r="AI1153" s="4">
        <v>1</v>
      </c>
      <c r="AJ1153" s="4"/>
      <c r="AK1153" s="4"/>
      <c r="AL1153" s="4">
        <v>61.347999999999999</v>
      </c>
      <c r="AM1153" s="4"/>
      <c r="AN1153" s="4"/>
      <c r="AO1153" s="4"/>
      <c r="AP1153" s="4"/>
      <c r="AQ1153" s="4">
        <v>-1.2</v>
      </c>
      <c r="AR1153" s="4"/>
      <c r="AS1153" s="4"/>
      <c r="AT1153" s="4"/>
    </row>
    <row r="1154" spans="1:46">
      <c r="A1154" s="4" t="s">
        <v>4748</v>
      </c>
      <c r="B1154" s="4"/>
      <c r="C1154" s="4" t="s">
        <v>4748</v>
      </c>
      <c r="D1154" s="4" t="s">
        <v>4748</v>
      </c>
      <c r="E1154" s="4" t="s">
        <v>4308</v>
      </c>
      <c r="F1154" s="4" t="s">
        <v>4745</v>
      </c>
      <c r="G1154" s="4" t="s">
        <v>456</v>
      </c>
      <c r="H1154" s="4" t="s">
        <v>4746</v>
      </c>
      <c r="I1154" s="4">
        <v>82</v>
      </c>
      <c r="J1154" s="4">
        <v>0.2</v>
      </c>
      <c r="K1154" s="4" t="s">
        <v>1688</v>
      </c>
      <c r="L1154" s="4" t="s">
        <v>52</v>
      </c>
      <c r="M1154" s="4">
        <v>5</v>
      </c>
      <c r="N1154" s="4">
        <v>37.6</v>
      </c>
      <c r="O1154" s="4">
        <v>70.772000000000006</v>
      </c>
      <c r="P1154" s="4">
        <v>-164.87799999999999</v>
      </c>
      <c r="Q1154" s="4">
        <v>4.9000000000000004</v>
      </c>
      <c r="R1154" s="4">
        <v>31.9</v>
      </c>
      <c r="S1154" s="4">
        <v>290.40800000000002</v>
      </c>
      <c r="T1154" s="4"/>
      <c r="U1154" s="4"/>
      <c r="V1154" s="4"/>
      <c r="W1154" s="4">
        <v>1.44</v>
      </c>
      <c r="X1154" s="4">
        <v>4</v>
      </c>
      <c r="Y1154" s="4">
        <v>2.2440000000000002</v>
      </c>
      <c r="Z1154" s="4"/>
      <c r="AA1154" s="4">
        <v>0.87</v>
      </c>
      <c r="AB1154" s="4">
        <v>9.9600000000000009</v>
      </c>
      <c r="AC1154" s="4"/>
      <c r="AD1154" s="4"/>
      <c r="AE1154" s="4">
        <v>1.61</v>
      </c>
      <c r="AF1154" s="4">
        <v>1.7</v>
      </c>
      <c r="AG1154" s="4"/>
      <c r="AH1154" s="4" t="s">
        <v>4749</v>
      </c>
      <c r="AI1154" s="4">
        <v>4</v>
      </c>
      <c r="AJ1154" s="4"/>
      <c r="AK1154" s="4"/>
      <c r="AL1154" s="4">
        <v>68.204300000000003</v>
      </c>
      <c r="AM1154" s="4"/>
      <c r="AN1154" s="4"/>
      <c r="AO1154" s="4"/>
      <c r="AP1154" s="4"/>
      <c r="AQ1154" s="4">
        <v>-0.44092219199999999</v>
      </c>
      <c r="AR1154" s="4"/>
      <c r="AS1154" s="4"/>
      <c r="AT1154" s="4"/>
    </row>
    <row r="1155" spans="1:46">
      <c r="A1155" s="4" t="s">
        <v>4750</v>
      </c>
      <c r="B1155" s="4"/>
      <c r="C1155" s="4" t="s">
        <v>4750</v>
      </c>
      <c r="D1155" s="4" t="s">
        <v>4750</v>
      </c>
      <c r="E1155" s="4" t="s">
        <v>4308</v>
      </c>
      <c r="F1155" s="4" t="s">
        <v>4751</v>
      </c>
      <c r="G1155" s="4" t="s">
        <v>456</v>
      </c>
      <c r="H1155" s="4" t="s">
        <v>4752</v>
      </c>
      <c r="I1155" s="4">
        <v>81</v>
      </c>
      <c r="J1155" s="4">
        <v>0.2</v>
      </c>
      <c r="K1155" s="4" t="s">
        <v>150</v>
      </c>
      <c r="L1155" s="4" t="s">
        <v>78</v>
      </c>
      <c r="M1155" s="4">
        <v>38</v>
      </c>
      <c r="N1155" s="4">
        <v>39.200000000000003</v>
      </c>
      <c r="O1155" s="4">
        <v>70.897000000000006</v>
      </c>
      <c r="P1155" s="4">
        <v>-165.25399999999999</v>
      </c>
      <c r="Q1155" s="4">
        <v>1.28</v>
      </c>
      <c r="R1155" s="4">
        <v>32.29</v>
      </c>
      <c r="S1155" s="4">
        <v>332.99599999999998</v>
      </c>
      <c r="T1155" s="4"/>
      <c r="U1155" s="4"/>
      <c r="V1155" s="4"/>
      <c r="W1155" s="4">
        <v>1.1160000000000001</v>
      </c>
      <c r="X1155" s="4">
        <v>1</v>
      </c>
      <c r="Y1155" s="4">
        <v>2.004</v>
      </c>
      <c r="Z1155" s="4"/>
      <c r="AA1155" s="4">
        <v>1.0900000000000001</v>
      </c>
      <c r="AB1155" s="4">
        <v>16.37</v>
      </c>
      <c r="AC1155" s="4"/>
      <c r="AD1155" s="4"/>
      <c r="AE1155" s="4">
        <v>2.6</v>
      </c>
      <c r="AF1155" s="4">
        <v>2.4</v>
      </c>
      <c r="AG1155" s="4"/>
      <c r="AH1155" s="4" t="s">
        <v>4753</v>
      </c>
      <c r="AI1155" s="4">
        <v>1</v>
      </c>
      <c r="AJ1155" s="4"/>
      <c r="AK1155" s="4"/>
      <c r="AL1155" s="4">
        <v>28.114699999999999</v>
      </c>
      <c r="AM1155" s="4"/>
      <c r="AN1155" s="4"/>
      <c r="AO1155" s="4"/>
      <c r="AP1155" s="4"/>
      <c r="AQ1155" s="4">
        <v>-0.93758514800000003</v>
      </c>
      <c r="AR1155" s="4"/>
      <c r="AS1155" s="4"/>
      <c r="AT1155" s="4"/>
    </row>
    <row r="1156" spans="1:46">
      <c r="A1156" s="4" t="s">
        <v>4754</v>
      </c>
      <c r="B1156" s="4"/>
      <c r="C1156" s="4" t="s">
        <v>4754</v>
      </c>
      <c r="D1156" s="4" t="s">
        <v>4754</v>
      </c>
      <c r="E1156" s="4" t="s">
        <v>4308</v>
      </c>
      <c r="F1156" s="4" t="s">
        <v>4751</v>
      </c>
      <c r="G1156" s="4" t="s">
        <v>456</v>
      </c>
      <c r="H1156" s="4" t="s">
        <v>4752</v>
      </c>
      <c r="I1156" s="4">
        <v>81</v>
      </c>
      <c r="J1156" s="4">
        <v>0.2</v>
      </c>
      <c r="K1156" s="4" t="s">
        <v>1688</v>
      </c>
      <c r="L1156" s="4" t="s">
        <v>52</v>
      </c>
      <c r="M1156" s="4">
        <v>5</v>
      </c>
      <c r="N1156" s="4">
        <v>39.200000000000003</v>
      </c>
      <c r="O1156" s="4">
        <v>70.897000000000006</v>
      </c>
      <c r="P1156" s="4">
        <v>-165.25399999999999</v>
      </c>
      <c r="Q1156" s="4">
        <v>5.0599999999999996</v>
      </c>
      <c r="R1156" s="4">
        <v>31.88</v>
      </c>
      <c r="S1156" s="4">
        <v>307.65199999999999</v>
      </c>
      <c r="T1156" s="4"/>
      <c r="U1156" s="4"/>
      <c r="V1156" s="4"/>
      <c r="W1156" s="4">
        <v>5.6950000000000003</v>
      </c>
      <c r="X1156" s="4">
        <v>5</v>
      </c>
      <c r="Y1156" s="4">
        <v>5.68</v>
      </c>
      <c r="Z1156" s="4"/>
      <c r="AA1156" s="4">
        <v>0.54</v>
      </c>
      <c r="AB1156" s="4">
        <v>6.76</v>
      </c>
      <c r="AC1156" s="4"/>
      <c r="AD1156" s="4"/>
      <c r="AE1156" s="4">
        <v>0.28999999999999998</v>
      </c>
      <c r="AF1156" s="4">
        <v>0.28000000000000003</v>
      </c>
      <c r="AG1156" s="4"/>
      <c r="AH1156" s="4" t="s">
        <v>4755</v>
      </c>
      <c r="AI1156" s="4">
        <v>5</v>
      </c>
      <c r="AJ1156" s="4"/>
      <c r="AK1156" s="4"/>
      <c r="AL1156" s="4">
        <v>79.7423</v>
      </c>
      <c r="AM1156" s="4"/>
      <c r="AN1156" s="4"/>
      <c r="AO1156" s="4"/>
      <c r="AP1156" s="4"/>
      <c r="AQ1156" s="4">
        <v>-0.77241194999999996</v>
      </c>
      <c r="AR1156" s="4"/>
      <c r="AS1156" s="4"/>
      <c r="AT1156" s="4"/>
    </row>
    <row r="1157" spans="1:46">
      <c r="A1157" s="4" t="s">
        <v>4756</v>
      </c>
      <c r="B1157" s="4"/>
      <c r="C1157" s="4" t="s">
        <v>4756</v>
      </c>
      <c r="D1157" s="4" t="s">
        <v>4756</v>
      </c>
      <c r="E1157" s="4" t="s">
        <v>4308</v>
      </c>
      <c r="F1157" s="4" t="s">
        <v>4757</v>
      </c>
      <c r="G1157" s="4" t="s">
        <v>456</v>
      </c>
      <c r="H1157" s="4" t="s">
        <v>4758</v>
      </c>
      <c r="I1157" s="4">
        <v>80</v>
      </c>
      <c r="J1157" s="4">
        <v>0.2</v>
      </c>
      <c r="K1157" s="4" t="s">
        <v>150</v>
      </c>
      <c r="L1157" s="4" t="s">
        <v>78</v>
      </c>
      <c r="M1157" s="4">
        <v>37</v>
      </c>
      <c r="N1157" s="4">
        <v>40.700000000000003</v>
      </c>
      <c r="O1157" s="4">
        <v>71.02</v>
      </c>
      <c r="P1157" s="4">
        <v>-165.64099999999999</v>
      </c>
      <c r="Q1157" s="4">
        <v>0.67</v>
      </c>
      <c r="R1157" s="4">
        <v>32.340000000000003</v>
      </c>
      <c r="S1157" s="4">
        <v>346.01</v>
      </c>
      <c r="T1157" s="4"/>
      <c r="U1157" s="4"/>
      <c r="V1157" s="4"/>
      <c r="W1157" s="4">
        <v>0.65500000000000003</v>
      </c>
      <c r="X1157" s="4">
        <v>1</v>
      </c>
      <c r="Y1157" s="4">
        <v>1.0640000000000001</v>
      </c>
      <c r="Z1157" s="4"/>
      <c r="AA1157" s="4">
        <v>1.31</v>
      </c>
      <c r="AB1157" s="4">
        <v>14.59</v>
      </c>
      <c r="AC1157" s="4"/>
      <c r="AD1157" s="4"/>
      <c r="AE1157" s="4">
        <v>2.68</v>
      </c>
      <c r="AF1157" s="4">
        <v>2.06</v>
      </c>
      <c r="AG1157" s="4"/>
      <c r="AH1157" s="4" t="s">
        <v>4759</v>
      </c>
      <c r="AI1157" s="4">
        <v>1</v>
      </c>
      <c r="AJ1157" s="4"/>
      <c r="AK1157" s="4"/>
      <c r="AL1157" s="4">
        <v>32.347299999999997</v>
      </c>
      <c r="AM1157" s="4"/>
      <c r="AN1157" s="4"/>
      <c r="AO1157" s="4"/>
      <c r="AP1157" s="4"/>
      <c r="AQ1157" s="4">
        <v>-1.0766999239999999</v>
      </c>
      <c r="AR1157" s="4"/>
      <c r="AS1157" s="4"/>
      <c r="AT1157" s="4"/>
    </row>
    <row r="1158" spans="1:46">
      <c r="A1158" s="4" t="s">
        <v>4760</v>
      </c>
      <c r="B1158" s="4"/>
      <c r="C1158" s="4" t="s">
        <v>4760</v>
      </c>
      <c r="D1158" s="4" t="s">
        <v>4760</v>
      </c>
      <c r="E1158" s="4" t="s">
        <v>4308</v>
      </c>
      <c r="F1158" s="4" t="s">
        <v>4757</v>
      </c>
      <c r="G1158" s="4" t="s">
        <v>456</v>
      </c>
      <c r="H1158" s="4" t="s">
        <v>4758</v>
      </c>
      <c r="I1158" s="4">
        <v>80</v>
      </c>
      <c r="J1158" s="4">
        <v>0.2</v>
      </c>
      <c r="K1158" s="4" t="s">
        <v>1688</v>
      </c>
      <c r="L1158" s="4" t="s">
        <v>52</v>
      </c>
      <c r="M1158" s="4">
        <v>5</v>
      </c>
      <c r="N1158" s="4">
        <v>40.700000000000003</v>
      </c>
      <c r="O1158" s="4">
        <v>71.02</v>
      </c>
      <c r="P1158" s="4">
        <v>-165.64099999999999</v>
      </c>
      <c r="Q1158" s="4">
        <v>4.82</v>
      </c>
      <c r="R1158" s="4">
        <v>31.91</v>
      </c>
      <c r="S1158" s="4">
        <v>313.19200000000001</v>
      </c>
      <c r="T1158" s="4"/>
      <c r="U1158" s="4"/>
      <c r="V1158" s="4"/>
      <c r="W1158" s="4">
        <v>5.5469999999999997</v>
      </c>
      <c r="X1158" s="4">
        <v>6</v>
      </c>
      <c r="Y1158" s="4">
        <v>4.32</v>
      </c>
      <c r="Z1158" s="4"/>
      <c r="AA1158" s="4">
        <v>0.5</v>
      </c>
      <c r="AB1158" s="4">
        <v>3.91</v>
      </c>
      <c r="AC1158" s="4"/>
      <c r="AD1158" s="4"/>
      <c r="AE1158" s="4">
        <v>0.35</v>
      </c>
      <c r="AF1158" s="4">
        <v>0.24</v>
      </c>
      <c r="AG1158" s="4"/>
      <c r="AH1158" s="4" t="s">
        <v>4761</v>
      </c>
      <c r="AI1158" s="4">
        <v>6</v>
      </c>
      <c r="AJ1158" s="4"/>
      <c r="AK1158" s="4"/>
      <c r="AL1158" s="4">
        <v>81.207099999999997</v>
      </c>
      <c r="AM1158" s="4"/>
      <c r="AN1158" s="4"/>
      <c r="AO1158" s="4"/>
      <c r="AP1158" s="4"/>
      <c r="AQ1158" s="4">
        <v>-1.393616078</v>
      </c>
      <c r="AR1158" s="4"/>
      <c r="AS1158" s="4"/>
      <c r="AT1158" s="4"/>
    </row>
    <row r="1159" spans="1:46">
      <c r="A1159" s="4" t="s">
        <v>4762</v>
      </c>
      <c r="B1159" s="4"/>
      <c r="C1159" s="4" t="s">
        <v>4762</v>
      </c>
      <c r="D1159" s="4" t="s">
        <v>4762</v>
      </c>
      <c r="E1159" s="4" t="s">
        <v>4308</v>
      </c>
      <c r="F1159" s="4" t="s">
        <v>4763</v>
      </c>
      <c r="G1159" s="4" t="s">
        <v>456</v>
      </c>
      <c r="H1159" s="4" t="s">
        <v>4764</v>
      </c>
      <c r="I1159" s="4">
        <v>88</v>
      </c>
      <c r="J1159" s="4">
        <v>0.2</v>
      </c>
      <c r="K1159" s="4" t="s">
        <v>150</v>
      </c>
      <c r="L1159" s="4" t="s">
        <v>78</v>
      </c>
      <c r="M1159" s="4">
        <v>11</v>
      </c>
      <c r="N1159" s="4">
        <v>12.4</v>
      </c>
      <c r="O1159" s="4">
        <v>70.036000000000001</v>
      </c>
      <c r="P1159" s="4">
        <v>-162.76599999999999</v>
      </c>
      <c r="Q1159" s="4">
        <v>7.3</v>
      </c>
      <c r="R1159" s="4">
        <v>30.59</v>
      </c>
      <c r="S1159" s="4">
        <v>274.11900000000003</v>
      </c>
      <c r="T1159" s="4"/>
      <c r="U1159" s="4"/>
      <c r="V1159" s="4"/>
      <c r="W1159" s="4">
        <v>1.1319999999999999</v>
      </c>
      <c r="X1159" s="4">
        <v>1</v>
      </c>
      <c r="Y1159" s="4">
        <v>2.02</v>
      </c>
      <c r="Z1159" s="4"/>
      <c r="AA1159" s="4">
        <v>0.72</v>
      </c>
      <c r="AB1159" s="4">
        <v>13.52</v>
      </c>
      <c r="AC1159" s="4"/>
      <c r="AD1159" s="4"/>
      <c r="AE1159" s="4">
        <v>1.1200000000000001</v>
      </c>
      <c r="AF1159" s="4">
        <v>0.66</v>
      </c>
      <c r="AG1159" s="4"/>
      <c r="AH1159" s="4" t="s">
        <v>4765</v>
      </c>
      <c r="AI1159" s="4">
        <v>1</v>
      </c>
      <c r="AJ1159" s="4"/>
      <c r="AK1159" s="4"/>
      <c r="AL1159" s="4">
        <v>42.697499999999998</v>
      </c>
      <c r="AM1159" s="4"/>
      <c r="AN1159" s="4"/>
      <c r="AO1159" s="4"/>
      <c r="AP1159" s="4"/>
      <c r="AQ1159" s="4">
        <v>-2.3038861009999998</v>
      </c>
      <c r="AR1159" s="4"/>
      <c r="AS1159" s="4"/>
      <c r="AT1159" s="4"/>
    </row>
    <row r="1160" spans="1:46">
      <c r="A1160" s="4" t="s">
        <v>4766</v>
      </c>
      <c r="B1160" s="4"/>
      <c r="C1160" s="4" t="s">
        <v>4766</v>
      </c>
      <c r="D1160" s="4" t="s">
        <v>4766</v>
      </c>
      <c r="E1160" s="4" t="s">
        <v>4308</v>
      </c>
      <c r="F1160" s="4" t="s">
        <v>4763</v>
      </c>
      <c r="G1160" s="4" t="s">
        <v>456</v>
      </c>
      <c r="H1160" s="4" t="s">
        <v>4764</v>
      </c>
      <c r="I1160" s="4">
        <v>88</v>
      </c>
      <c r="J1160" s="4">
        <v>0.2</v>
      </c>
      <c r="K1160" s="4" t="s">
        <v>1688</v>
      </c>
      <c r="L1160" s="4" t="s">
        <v>52</v>
      </c>
      <c r="M1160" s="4">
        <v>4</v>
      </c>
      <c r="N1160" s="4">
        <v>12.4</v>
      </c>
      <c r="O1160" s="4">
        <v>70.036000000000001</v>
      </c>
      <c r="P1160" s="4">
        <v>-162.76599999999999</v>
      </c>
      <c r="Q1160" s="4">
        <v>7.5</v>
      </c>
      <c r="R1160" s="4">
        <v>29.8</v>
      </c>
      <c r="S1160" s="4">
        <v>285.20100000000002</v>
      </c>
      <c r="T1160" s="4"/>
      <c r="U1160" s="4"/>
      <c r="V1160" s="4"/>
      <c r="W1160" s="4">
        <v>1.2969999999999999</v>
      </c>
      <c r="X1160" s="4">
        <v>2</v>
      </c>
      <c r="Y1160" s="4">
        <v>1.6559999999999999</v>
      </c>
      <c r="Z1160" s="4"/>
      <c r="AA1160" s="4">
        <v>0.66</v>
      </c>
      <c r="AB1160" s="4">
        <v>13.88</v>
      </c>
      <c r="AC1160" s="4"/>
      <c r="AD1160" s="4"/>
      <c r="AE1160" s="4">
        <v>0.84</v>
      </c>
      <c r="AF1160" s="4">
        <v>0.26</v>
      </c>
      <c r="AG1160" s="4"/>
      <c r="AH1160" s="4" t="s">
        <v>4767</v>
      </c>
      <c r="AI1160" s="4">
        <v>2</v>
      </c>
      <c r="AJ1160" s="4"/>
      <c r="AK1160" s="4"/>
      <c r="AL1160" s="4">
        <v>50.936100000000003</v>
      </c>
      <c r="AM1160" s="4"/>
      <c r="AN1160" s="4"/>
      <c r="AO1160" s="4"/>
      <c r="AP1160" s="4"/>
      <c r="AQ1160" s="4">
        <v>-2.657458112</v>
      </c>
      <c r="AR1160" s="4"/>
      <c r="AS1160" s="4"/>
      <c r="AT1160" s="4"/>
    </row>
    <row r="1161" spans="1:46">
      <c r="A1161" s="4" t="s">
        <v>4768</v>
      </c>
      <c r="B1161" s="4"/>
      <c r="C1161" s="4" t="s">
        <v>4768</v>
      </c>
      <c r="D1161" s="4" t="s">
        <v>4768</v>
      </c>
      <c r="E1161" s="4" t="s">
        <v>4308</v>
      </c>
      <c r="F1161" s="4" t="s">
        <v>4769</v>
      </c>
      <c r="G1161" s="4" t="s">
        <v>456</v>
      </c>
      <c r="H1161" s="4" t="s">
        <v>4770</v>
      </c>
      <c r="I1161" s="4">
        <v>87</v>
      </c>
      <c r="J1161" s="4">
        <v>0.2</v>
      </c>
      <c r="K1161" s="4" t="s">
        <v>150</v>
      </c>
      <c r="L1161" s="4" t="s">
        <v>78</v>
      </c>
      <c r="M1161" s="4">
        <v>18</v>
      </c>
      <c r="N1161" s="4">
        <v>19.600000000000001</v>
      </c>
      <c r="O1161" s="4">
        <v>70.141000000000005</v>
      </c>
      <c r="P1161" s="4">
        <v>-163.05099999999999</v>
      </c>
      <c r="Q1161" s="4">
        <v>7.53</v>
      </c>
      <c r="R1161" s="4">
        <v>30.74</v>
      </c>
      <c r="S1161" s="4">
        <v>269.846</v>
      </c>
      <c r="T1161" s="4"/>
      <c r="U1161" s="4"/>
      <c r="V1161" s="4"/>
      <c r="W1161" s="4">
        <v>0.72799999999999998</v>
      </c>
      <c r="X1161" s="4">
        <v>1</v>
      </c>
      <c r="Y1161" s="4">
        <v>1.46</v>
      </c>
      <c r="Z1161" s="4"/>
      <c r="AA1161" s="4">
        <v>0.81</v>
      </c>
      <c r="AB1161" s="4">
        <v>16.02</v>
      </c>
      <c r="AC1161" s="4"/>
      <c r="AD1161" s="4"/>
      <c r="AE1161" s="4">
        <v>0.75</v>
      </c>
      <c r="AF1161" s="4">
        <v>0.26</v>
      </c>
      <c r="AG1161" s="4"/>
      <c r="AH1161" s="4" t="s">
        <v>4771</v>
      </c>
      <c r="AI1161" s="4">
        <v>1</v>
      </c>
      <c r="AJ1161" s="4"/>
      <c r="AK1161" s="4"/>
      <c r="AL1161" s="4">
        <v>48.185099999999998</v>
      </c>
      <c r="AM1161" s="4"/>
      <c r="AN1161" s="4"/>
      <c r="AO1161" s="4"/>
      <c r="AP1161" s="4"/>
      <c r="AQ1161" s="4">
        <v>-2.212536568</v>
      </c>
      <c r="AR1161" s="4"/>
      <c r="AS1161" s="4"/>
      <c r="AT1161" s="4"/>
    </row>
    <row r="1162" spans="1:46">
      <c r="A1162" s="4" t="s">
        <v>4772</v>
      </c>
      <c r="B1162" s="4"/>
      <c r="C1162" s="4" t="s">
        <v>4772</v>
      </c>
      <c r="D1162" s="4" t="s">
        <v>4772</v>
      </c>
      <c r="E1162" s="4" t="s">
        <v>4308</v>
      </c>
      <c r="F1162" s="4" t="s">
        <v>4769</v>
      </c>
      <c r="G1162" s="4" t="s">
        <v>456</v>
      </c>
      <c r="H1162" s="4" t="s">
        <v>4770</v>
      </c>
      <c r="I1162" s="4">
        <v>87</v>
      </c>
      <c r="J1162" s="4">
        <v>0.2</v>
      </c>
      <c r="K1162" s="4" t="s">
        <v>1688</v>
      </c>
      <c r="L1162" s="4" t="s">
        <v>52</v>
      </c>
      <c r="M1162" s="4">
        <v>5</v>
      </c>
      <c r="N1162" s="4">
        <v>19.600000000000001</v>
      </c>
      <c r="O1162" s="4">
        <v>70.141000000000005</v>
      </c>
      <c r="P1162" s="4">
        <v>-163.05099999999999</v>
      </c>
      <c r="Q1162" s="4">
        <v>7.59</v>
      </c>
      <c r="R1162" s="4">
        <v>30.68</v>
      </c>
      <c r="S1162" s="4">
        <v>272.762</v>
      </c>
      <c r="T1162" s="4"/>
      <c r="U1162" s="4"/>
      <c r="V1162" s="4"/>
      <c r="W1162" s="4">
        <v>1.0089999999999999</v>
      </c>
      <c r="X1162" s="4">
        <v>3</v>
      </c>
      <c r="Y1162" s="4">
        <v>1.9039999999999999</v>
      </c>
      <c r="Z1162" s="4"/>
      <c r="AA1162" s="4">
        <v>0.81</v>
      </c>
      <c r="AB1162" s="4">
        <v>15.66</v>
      </c>
      <c r="AC1162" s="4"/>
      <c r="AD1162" s="4"/>
      <c r="AE1162" s="4">
        <v>0.89</v>
      </c>
      <c r="AF1162" s="4">
        <v>0.25</v>
      </c>
      <c r="AG1162" s="4"/>
      <c r="AH1162" s="4" t="s">
        <v>4773</v>
      </c>
      <c r="AI1162" s="4">
        <v>3</v>
      </c>
      <c r="AJ1162" s="4"/>
      <c r="AK1162" s="4"/>
      <c r="AL1162" s="4">
        <v>47.186900000000001</v>
      </c>
      <c r="AM1162" s="4"/>
      <c r="AN1162" s="4"/>
      <c r="AO1162" s="4"/>
      <c r="AP1162" s="4"/>
      <c r="AQ1162" s="4">
        <v>-2.4287856400000001</v>
      </c>
      <c r="AR1162" s="4"/>
      <c r="AS1162" s="4"/>
      <c r="AT1162" s="4"/>
    </row>
    <row r="1163" spans="1:46">
      <c r="A1163" s="4" t="s">
        <v>4774</v>
      </c>
      <c r="B1163" s="4"/>
      <c r="C1163" s="4" t="s">
        <v>4774</v>
      </c>
      <c r="D1163" s="4" t="s">
        <v>4774</v>
      </c>
      <c r="E1163" s="4" t="s">
        <v>4308</v>
      </c>
      <c r="F1163" s="4" t="s">
        <v>4775</v>
      </c>
      <c r="G1163" s="4" t="s">
        <v>456</v>
      </c>
      <c r="H1163" s="4" t="s">
        <v>4776</v>
      </c>
      <c r="I1163" s="4">
        <v>86</v>
      </c>
      <c r="J1163" s="4">
        <v>0.2</v>
      </c>
      <c r="K1163" s="4" t="s">
        <v>150</v>
      </c>
      <c r="L1163" s="4" t="s">
        <v>78</v>
      </c>
      <c r="M1163" s="4">
        <v>26</v>
      </c>
      <c r="N1163" s="4">
        <v>28.4</v>
      </c>
      <c r="O1163" s="4">
        <v>70.268000000000001</v>
      </c>
      <c r="P1163" s="4">
        <v>-163.40600000000001</v>
      </c>
      <c r="Q1163" s="4">
        <v>7.34</v>
      </c>
      <c r="R1163" s="4">
        <v>30.76</v>
      </c>
      <c r="S1163" s="4">
        <v>266.99599999999998</v>
      </c>
      <c r="T1163" s="4"/>
      <c r="U1163" s="4"/>
      <c r="V1163" s="4"/>
      <c r="W1163" s="4">
        <v>0.65300000000000002</v>
      </c>
      <c r="X1163" s="4">
        <v>1</v>
      </c>
      <c r="Y1163" s="4">
        <v>1.284</v>
      </c>
      <c r="Z1163" s="4"/>
      <c r="AA1163" s="4">
        <v>0.82</v>
      </c>
      <c r="AB1163" s="4">
        <v>11.39</v>
      </c>
      <c r="AC1163" s="4"/>
      <c r="AD1163" s="4"/>
      <c r="AE1163" s="4">
        <v>1.1100000000000001</v>
      </c>
      <c r="AF1163" s="4">
        <v>0.49</v>
      </c>
      <c r="AG1163" s="4"/>
      <c r="AH1163" s="4" t="s">
        <v>4777</v>
      </c>
      <c r="AI1163" s="4">
        <v>1</v>
      </c>
      <c r="AJ1163" s="4"/>
      <c r="AK1163" s="4"/>
      <c r="AL1163" s="4">
        <v>69.302899999999994</v>
      </c>
      <c r="AM1163" s="4"/>
      <c r="AN1163" s="4"/>
      <c r="AO1163" s="4"/>
      <c r="AP1163" s="4"/>
      <c r="AQ1163" s="4">
        <v>-2.1577746310000001</v>
      </c>
      <c r="AR1163" s="4"/>
      <c r="AS1163" s="4"/>
      <c r="AT1163" s="4"/>
    </row>
    <row r="1164" spans="1:46">
      <c r="A1164" s="4" t="s">
        <v>4778</v>
      </c>
      <c r="B1164" s="4"/>
      <c r="C1164" s="4" t="s">
        <v>4778</v>
      </c>
      <c r="D1164" s="4" t="s">
        <v>4778</v>
      </c>
      <c r="E1164" s="4" t="s">
        <v>4308</v>
      </c>
      <c r="F1164" s="4" t="s">
        <v>4775</v>
      </c>
      <c r="G1164" s="4" t="s">
        <v>456</v>
      </c>
      <c r="H1164" s="4" t="s">
        <v>4776</v>
      </c>
      <c r="I1164" s="4">
        <v>86</v>
      </c>
      <c r="J1164" s="4">
        <v>0.2</v>
      </c>
      <c r="K1164" s="4" t="s">
        <v>1688</v>
      </c>
      <c r="L1164" s="4" t="s">
        <v>52</v>
      </c>
      <c r="M1164" s="4">
        <v>5</v>
      </c>
      <c r="N1164" s="4">
        <v>28.4</v>
      </c>
      <c r="O1164" s="4">
        <v>70.268000000000001</v>
      </c>
      <c r="P1164" s="4">
        <v>-163.40600000000001</v>
      </c>
      <c r="Q1164" s="4">
        <v>7.62</v>
      </c>
      <c r="R1164" s="4">
        <v>30.69</v>
      </c>
      <c r="S1164" s="4">
        <v>282.08100000000002</v>
      </c>
      <c r="T1164" s="4"/>
      <c r="U1164" s="4"/>
      <c r="V1164" s="4"/>
      <c r="W1164" s="4">
        <v>1.395</v>
      </c>
      <c r="X1164" s="4">
        <v>4</v>
      </c>
      <c r="Y1164" s="4">
        <v>1.788</v>
      </c>
      <c r="Z1164" s="4"/>
      <c r="AA1164" s="4">
        <v>0.74</v>
      </c>
      <c r="AB1164" s="4">
        <v>9.25</v>
      </c>
      <c r="AC1164" s="4"/>
      <c r="AD1164" s="4"/>
      <c r="AE1164" s="4">
        <v>0.43</v>
      </c>
      <c r="AF1164" s="4">
        <v>0.28999999999999998</v>
      </c>
      <c r="AG1164" s="4"/>
      <c r="AH1164" s="4" t="s">
        <v>4779</v>
      </c>
      <c r="AI1164" s="4">
        <v>4</v>
      </c>
      <c r="AJ1164" s="4"/>
      <c r="AK1164" s="4"/>
      <c r="AL1164" s="4">
        <v>73.437299999999993</v>
      </c>
      <c r="AM1164" s="4"/>
      <c r="AN1164" s="4"/>
      <c r="AO1164" s="4"/>
      <c r="AP1164" s="4"/>
      <c r="AQ1164" s="4">
        <v>-2.1680136970000001</v>
      </c>
      <c r="AR1164" s="4"/>
      <c r="AS1164" s="4"/>
      <c r="AT1164" s="4"/>
    </row>
    <row r="1165" spans="1:46">
      <c r="A1165" s="4" t="s">
        <v>4780</v>
      </c>
      <c r="B1165" s="4"/>
      <c r="C1165" s="4" t="s">
        <v>4780</v>
      </c>
      <c r="D1165" s="4" t="s">
        <v>4780</v>
      </c>
      <c r="E1165" s="4" t="s">
        <v>4308</v>
      </c>
      <c r="F1165" s="4" t="s">
        <v>4781</v>
      </c>
      <c r="G1165" s="4" t="s">
        <v>456</v>
      </c>
      <c r="H1165" s="4" t="s">
        <v>4782</v>
      </c>
      <c r="I1165" s="4">
        <v>85</v>
      </c>
      <c r="J1165" s="4">
        <v>0.2</v>
      </c>
      <c r="K1165" s="4" t="s">
        <v>1488</v>
      </c>
      <c r="L1165" s="4" t="s">
        <v>65</v>
      </c>
      <c r="M1165" s="4">
        <v>15</v>
      </c>
      <c r="N1165" s="4">
        <v>33.299999999999997</v>
      </c>
      <c r="O1165" s="4">
        <v>70.397999999999996</v>
      </c>
      <c r="P1165" s="4">
        <v>-163.76499999999999</v>
      </c>
      <c r="Q1165" s="4">
        <v>6.94</v>
      </c>
      <c r="R1165" s="4">
        <v>31.06</v>
      </c>
      <c r="S1165" s="4">
        <v>282.916</v>
      </c>
      <c r="T1165" s="4"/>
      <c r="U1165" s="4"/>
      <c r="V1165" s="4"/>
      <c r="W1165" s="4">
        <v>2.89</v>
      </c>
      <c r="X1165" s="4">
        <v>3</v>
      </c>
      <c r="Y1165" s="4">
        <v>3.4319999999999999</v>
      </c>
      <c r="Z1165" s="4"/>
      <c r="AA1165" s="4">
        <v>0.6</v>
      </c>
      <c r="AB1165" s="4">
        <v>7.12</v>
      </c>
      <c r="AC1165" s="4"/>
      <c r="AD1165" s="4"/>
      <c r="AE1165" s="4">
        <v>0.4</v>
      </c>
      <c r="AF1165" s="4">
        <v>0.22</v>
      </c>
      <c r="AG1165" s="4"/>
      <c r="AH1165" s="4" t="s">
        <v>4783</v>
      </c>
      <c r="AI1165" s="4">
        <v>3</v>
      </c>
      <c r="AJ1165" s="4"/>
      <c r="AK1165" s="4"/>
      <c r="AL1165" s="4">
        <v>83.299099999999996</v>
      </c>
      <c r="AM1165" s="4"/>
      <c r="AN1165" s="4"/>
      <c r="AO1165" s="4"/>
      <c r="AP1165" s="4"/>
      <c r="AQ1165" s="4"/>
      <c r="AR1165" s="4"/>
      <c r="AS1165" s="4"/>
      <c r="AT1165" s="4"/>
    </row>
    <row r="1166" spans="1:46">
      <c r="A1166" s="4" t="s">
        <v>4784</v>
      </c>
      <c r="B1166" s="4"/>
      <c r="C1166" s="4" t="s">
        <v>4784</v>
      </c>
      <c r="D1166" s="4" t="s">
        <v>4784</v>
      </c>
      <c r="E1166" s="4" t="s">
        <v>4308</v>
      </c>
      <c r="F1166" s="4" t="s">
        <v>4781</v>
      </c>
      <c r="G1166" s="4" t="s">
        <v>456</v>
      </c>
      <c r="H1166" s="4" t="s">
        <v>4782</v>
      </c>
      <c r="I1166" s="4">
        <v>85</v>
      </c>
      <c r="J1166" s="4">
        <v>0.2</v>
      </c>
      <c r="K1166" s="4" t="s">
        <v>150</v>
      </c>
      <c r="L1166" s="4" t="s">
        <v>78</v>
      </c>
      <c r="M1166" s="4">
        <v>30</v>
      </c>
      <c r="N1166" s="4">
        <v>33.299999999999997</v>
      </c>
      <c r="O1166" s="4">
        <v>70.397999999999996</v>
      </c>
      <c r="P1166" s="4">
        <v>-163.76499999999999</v>
      </c>
      <c r="Q1166" s="4">
        <v>6.62</v>
      </c>
      <c r="R1166" s="4">
        <v>31.21</v>
      </c>
      <c r="S1166" s="4">
        <v>284.77699999999999</v>
      </c>
      <c r="T1166" s="4"/>
      <c r="U1166" s="4"/>
      <c r="V1166" s="4"/>
      <c r="W1166" s="4">
        <v>1.67</v>
      </c>
      <c r="X1166" s="4">
        <v>1</v>
      </c>
      <c r="Y1166" s="4">
        <v>3.036</v>
      </c>
      <c r="Z1166" s="4"/>
      <c r="AA1166" s="4">
        <v>0.73</v>
      </c>
      <c r="AB1166" s="4">
        <v>9.25</v>
      </c>
      <c r="AC1166" s="4"/>
      <c r="AD1166" s="4"/>
      <c r="AE1166" s="4">
        <v>0.83</v>
      </c>
      <c r="AF1166" s="4">
        <v>0.71</v>
      </c>
      <c r="AG1166" s="4"/>
      <c r="AH1166" s="4" t="s">
        <v>4785</v>
      </c>
      <c r="AI1166" s="4">
        <v>1</v>
      </c>
      <c r="AJ1166" s="4"/>
      <c r="AK1166" s="4"/>
      <c r="AL1166" s="4">
        <v>85.2136</v>
      </c>
      <c r="AM1166" s="4"/>
      <c r="AN1166" s="4"/>
      <c r="AO1166" s="4"/>
      <c r="AP1166" s="4"/>
      <c r="AQ1166" s="4">
        <v>-1.6005134700000001</v>
      </c>
      <c r="AR1166" s="4"/>
      <c r="AS1166" s="4"/>
      <c r="AT1166" s="4"/>
    </row>
    <row r="1167" spans="1:46">
      <c r="A1167" s="4" t="s">
        <v>4786</v>
      </c>
      <c r="B1167" s="4"/>
      <c r="C1167" s="4" t="s">
        <v>4786</v>
      </c>
      <c r="D1167" s="4" t="s">
        <v>4786</v>
      </c>
      <c r="E1167" s="4" t="s">
        <v>4308</v>
      </c>
      <c r="F1167" s="4" t="s">
        <v>4781</v>
      </c>
      <c r="G1167" s="4" t="s">
        <v>456</v>
      </c>
      <c r="H1167" s="4" t="s">
        <v>4782</v>
      </c>
      <c r="I1167" s="4">
        <v>85</v>
      </c>
      <c r="J1167" s="4">
        <v>0.2</v>
      </c>
      <c r="K1167" s="4" t="s">
        <v>1688</v>
      </c>
      <c r="L1167" s="4" t="s">
        <v>52</v>
      </c>
      <c r="M1167" s="4">
        <v>5</v>
      </c>
      <c r="N1167" s="4">
        <v>33.299999999999997</v>
      </c>
      <c r="O1167" s="4">
        <v>70.397999999999996</v>
      </c>
      <c r="P1167" s="4">
        <v>-163.76499999999999</v>
      </c>
      <c r="Q1167" s="4">
        <v>7.27</v>
      </c>
      <c r="R1167" s="4">
        <v>30.96</v>
      </c>
      <c r="S1167" s="4">
        <v>294.25099999999998</v>
      </c>
      <c r="T1167" s="4"/>
      <c r="U1167" s="4"/>
      <c r="V1167" s="4"/>
      <c r="W1167" s="4">
        <v>2.5459999999999998</v>
      </c>
      <c r="X1167" s="4">
        <v>5</v>
      </c>
      <c r="Y1167" s="4">
        <v>2.2400000000000002</v>
      </c>
      <c r="Z1167" s="4"/>
      <c r="AA1167" s="4">
        <v>0.57999999999999996</v>
      </c>
      <c r="AB1167" s="4">
        <v>6.76</v>
      </c>
      <c r="AC1167" s="4"/>
      <c r="AD1167" s="4"/>
      <c r="AE1167" s="4">
        <v>0.37</v>
      </c>
      <c r="AF1167" s="4">
        <v>0.11</v>
      </c>
      <c r="AG1167" s="4"/>
      <c r="AH1167" s="4" t="s">
        <v>4787</v>
      </c>
      <c r="AI1167" s="4">
        <v>5</v>
      </c>
      <c r="AJ1167" s="4"/>
      <c r="AK1167" s="4"/>
      <c r="AL1167" s="4">
        <v>86.188000000000002</v>
      </c>
      <c r="AM1167" s="4"/>
      <c r="AN1167" s="4"/>
      <c r="AO1167" s="4"/>
      <c r="AP1167" s="4"/>
      <c r="AQ1167" s="4">
        <v>-1.8857226499999999</v>
      </c>
      <c r="AR1167" s="4"/>
      <c r="AS1167" s="4"/>
      <c r="AT1167" s="4"/>
    </row>
    <row r="1168" spans="1:46">
      <c r="F1168" s="4"/>
      <c r="H1168" s="11"/>
      <c r="I1168" s="4"/>
      <c r="K1168" s="4"/>
      <c r="M1168" s="4"/>
      <c r="O1168" s="4"/>
      <c r="P1168" s="4"/>
      <c r="Q1168" s="4"/>
      <c r="R1168" s="4"/>
      <c r="X1168" s="4"/>
      <c r="Y1168" s="4"/>
      <c r="Z1168" s="4"/>
      <c r="AA1168" s="4"/>
      <c r="AB1168" s="4"/>
      <c r="AE1168" s="4"/>
      <c r="AF1168" s="4"/>
      <c r="AI1168" s="4"/>
      <c r="AQ1168" s="4"/>
    </row>
    <row r="1169" spans="6:43">
      <c r="F1169" s="4"/>
      <c r="H1169" s="11"/>
      <c r="I1169" s="4"/>
      <c r="K1169" s="4"/>
      <c r="M1169" s="4"/>
      <c r="O1169" s="4"/>
      <c r="P1169" s="4"/>
      <c r="Q1169" s="4"/>
      <c r="R1169" s="4"/>
      <c r="X1169" s="4"/>
      <c r="Y1169" s="4"/>
      <c r="Z1169" s="4"/>
      <c r="AA1169" s="4"/>
      <c r="AB1169" s="4"/>
      <c r="AE1169" s="4"/>
      <c r="AF1169" s="4"/>
      <c r="AI1169" s="4"/>
      <c r="AQ1169" s="4"/>
    </row>
    <row r="1170" spans="6:43">
      <c r="F1170" s="4"/>
      <c r="H1170" s="11"/>
      <c r="I1170" s="4"/>
      <c r="K1170" s="4"/>
      <c r="M1170" s="4"/>
      <c r="O1170" s="4"/>
      <c r="P1170" s="4"/>
      <c r="Q1170" s="4"/>
      <c r="R1170" s="4"/>
      <c r="X1170" s="4"/>
      <c r="Y1170" s="4"/>
      <c r="Z1170" s="4"/>
      <c r="AA1170" s="4"/>
      <c r="AB1170" s="4"/>
      <c r="AE1170" s="4"/>
      <c r="AF1170" s="4"/>
      <c r="AI1170" s="4"/>
      <c r="AQ1170" s="4"/>
    </row>
    <row r="1171" spans="6:43">
      <c r="F1171" s="4"/>
      <c r="H1171" s="11"/>
      <c r="I1171" s="4"/>
      <c r="K1171" s="4"/>
      <c r="M1171" s="4"/>
      <c r="O1171" s="4"/>
      <c r="P1171" s="4"/>
      <c r="Q1171" s="4"/>
      <c r="R1171" s="4"/>
      <c r="X1171" s="4"/>
      <c r="Y1171" s="4"/>
      <c r="Z1171" s="4"/>
      <c r="AA1171" s="4"/>
      <c r="AB1171" s="4"/>
      <c r="AE1171" s="4"/>
      <c r="AF1171" s="4"/>
      <c r="AI1171" s="4"/>
      <c r="AQ1171" s="4"/>
    </row>
    <row r="1172" spans="6:43">
      <c r="F1172" s="4"/>
      <c r="H1172" s="11"/>
      <c r="I1172" s="4"/>
      <c r="K1172" s="4"/>
      <c r="M1172" s="4"/>
      <c r="O1172" s="4"/>
      <c r="P1172" s="4"/>
      <c r="Q1172" s="4"/>
      <c r="R1172" s="4"/>
      <c r="X1172" s="4"/>
      <c r="Y1172" s="4"/>
      <c r="Z1172" s="4"/>
      <c r="AA1172" s="4"/>
      <c r="AB1172" s="4"/>
      <c r="AE1172" s="4"/>
      <c r="AF1172" s="4"/>
      <c r="AI1172" s="4"/>
      <c r="AQ1172" s="4"/>
    </row>
    <row r="1173" spans="6:43">
      <c r="F1173" s="4"/>
      <c r="H1173" s="11"/>
      <c r="I1173" s="4"/>
      <c r="K1173" s="4"/>
      <c r="M1173" s="4"/>
      <c r="O1173" s="4"/>
      <c r="P1173" s="4"/>
      <c r="Q1173" s="4"/>
      <c r="R1173" s="4"/>
      <c r="X1173" s="4"/>
      <c r="Y1173" s="4"/>
      <c r="Z1173" s="4"/>
      <c r="AA1173" s="4"/>
      <c r="AB1173" s="4"/>
      <c r="AE1173" s="4"/>
      <c r="AF1173" s="4"/>
      <c r="AI1173" s="4"/>
      <c r="AQ1173" s="4"/>
    </row>
    <row r="1174" spans="6:43">
      <c r="F1174" s="4"/>
      <c r="H1174" s="11"/>
      <c r="I1174" s="4"/>
      <c r="K1174" s="4"/>
      <c r="M1174" s="4"/>
      <c r="O1174" s="4"/>
      <c r="P1174" s="4"/>
      <c r="Q1174" s="4"/>
      <c r="R1174" s="4"/>
      <c r="X1174" s="4"/>
      <c r="Y1174" s="4"/>
      <c r="Z1174" s="4"/>
      <c r="AA1174" s="4"/>
      <c r="AB1174" s="4"/>
      <c r="AE1174" s="4"/>
      <c r="AF1174" s="4"/>
      <c r="AI1174" s="4"/>
      <c r="AQ1174" s="4"/>
    </row>
    <row r="1175" spans="6:43">
      <c r="F1175" s="4"/>
      <c r="H1175" s="11"/>
      <c r="I1175" s="4"/>
      <c r="K1175" s="4"/>
      <c r="M1175" s="4"/>
      <c r="O1175" s="4"/>
      <c r="P1175" s="4"/>
      <c r="Q1175" s="4"/>
      <c r="R1175" s="4"/>
      <c r="X1175" s="4"/>
      <c r="Y1175" s="4"/>
      <c r="Z1175" s="4"/>
      <c r="AA1175" s="4"/>
      <c r="AB1175" s="4"/>
      <c r="AE1175" s="4"/>
      <c r="AF1175" s="4"/>
      <c r="AI1175" s="4"/>
      <c r="AQ1175" s="4"/>
    </row>
    <row r="1176" spans="6:43">
      <c r="F1176" s="4"/>
      <c r="H1176" s="11"/>
      <c r="I1176" s="4"/>
      <c r="K1176" s="4"/>
      <c r="M1176" s="4"/>
      <c r="O1176" s="4"/>
      <c r="P1176" s="4"/>
      <c r="Q1176" s="4"/>
      <c r="R1176" s="4"/>
      <c r="X1176" s="4"/>
      <c r="Y1176" s="4"/>
      <c r="Z1176" s="4"/>
      <c r="AA1176" s="4"/>
      <c r="AB1176" s="4"/>
      <c r="AE1176" s="4"/>
      <c r="AF1176" s="4"/>
      <c r="AI1176" s="4"/>
      <c r="AQ1176" s="4"/>
    </row>
    <row r="1177" spans="6:43">
      <c r="F1177" s="4"/>
      <c r="H1177" s="11"/>
      <c r="I1177" s="4"/>
      <c r="K1177" s="4"/>
      <c r="M1177" s="4"/>
      <c r="O1177" s="4"/>
      <c r="P1177" s="4"/>
      <c r="Q1177" s="4"/>
      <c r="R1177" s="4"/>
      <c r="X1177" s="4"/>
      <c r="Y1177" s="4"/>
      <c r="Z1177" s="4"/>
      <c r="AA1177" s="4"/>
      <c r="AB1177" s="4"/>
      <c r="AE1177" s="4"/>
      <c r="AF1177" s="4"/>
      <c r="AI1177" s="4"/>
      <c r="AQ1177" s="4"/>
    </row>
    <row r="1178" spans="6:43">
      <c r="F1178" s="4"/>
      <c r="H1178" s="11"/>
      <c r="I1178" s="4"/>
      <c r="K1178" s="4"/>
      <c r="M1178" s="4"/>
      <c r="O1178" s="4"/>
      <c r="P1178" s="4"/>
      <c r="Q1178" s="4"/>
      <c r="R1178" s="4"/>
      <c r="X1178" s="4"/>
      <c r="Y1178" s="4"/>
      <c r="Z1178" s="4"/>
      <c r="AA1178" s="4"/>
      <c r="AB1178" s="4"/>
      <c r="AE1178" s="4"/>
      <c r="AF1178" s="4"/>
      <c r="AI1178" s="4"/>
      <c r="AQ1178" s="4"/>
    </row>
    <row r="1179" spans="6:43">
      <c r="F1179" s="4"/>
      <c r="H1179" s="11"/>
      <c r="I1179" s="4"/>
      <c r="K1179" s="4"/>
      <c r="M1179" s="4"/>
      <c r="O1179" s="4"/>
      <c r="P1179" s="4"/>
      <c r="Q1179" s="4"/>
      <c r="R1179" s="4"/>
      <c r="X1179" s="4"/>
      <c r="Y1179" s="4"/>
      <c r="Z1179" s="4"/>
      <c r="AA1179" s="4"/>
      <c r="AB1179" s="4"/>
      <c r="AE1179" s="4"/>
      <c r="AF1179" s="4"/>
      <c r="AI1179" s="4"/>
      <c r="AQ1179" s="4"/>
    </row>
    <row r="1180" spans="6:43">
      <c r="F1180" s="4"/>
      <c r="H1180" s="11"/>
      <c r="I1180" s="4"/>
      <c r="K1180" s="4"/>
      <c r="M1180" s="4"/>
      <c r="O1180" s="4"/>
      <c r="P1180" s="4"/>
      <c r="Q1180" s="4"/>
      <c r="R1180" s="4"/>
      <c r="X1180" s="4"/>
      <c r="Y1180" s="4"/>
      <c r="Z1180" s="4"/>
      <c r="AA1180" s="4"/>
      <c r="AB1180" s="4"/>
      <c r="AE1180" s="4"/>
      <c r="AF1180" s="4"/>
      <c r="AI1180" s="4"/>
      <c r="AQ1180" s="4"/>
    </row>
    <row r="1181" spans="6:43">
      <c r="F1181" s="4"/>
      <c r="H1181" s="11"/>
      <c r="I1181" s="4"/>
      <c r="K1181" s="4"/>
      <c r="M1181" s="4"/>
      <c r="O1181" s="4"/>
      <c r="P1181" s="4"/>
      <c r="Q1181" s="4"/>
      <c r="R1181" s="4"/>
      <c r="X1181" s="4"/>
      <c r="Y1181" s="4"/>
      <c r="Z1181" s="4"/>
      <c r="AA1181" s="4"/>
      <c r="AB1181" s="4"/>
      <c r="AE1181" s="4"/>
      <c r="AF1181" s="4"/>
      <c r="AI1181" s="4"/>
      <c r="AQ1181" s="4"/>
    </row>
    <row r="1182" spans="6:43">
      <c r="F1182" s="4"/>
      <c r="H1182" s="11"/>
      <c r="I1182" s="4"/>
      <c r="K1182" s="4"/>
      <c r="M1182" s="4"/>
      <c r="O1182" s="4"/>
      <c r="P1182" s="4"/>
      <c r="Q1182" s="4"/>
      <c r="R1182" s="4"/>
      <c r="X1182" s="4"/>
      <c r="Y1182" s="4"/>
      <c r="Z1182" s="4"/>
      <c r="AA1182" s="4"/>
      <c r="AB1182" s="4"/>
      <c r="AE1182" s="4"/>
      <c r="AF1182" s="4"/>
      <c r="AI1182" s="4"/>
      <c r="AQ1182" s="4"/>
    </row>
    <row r="1183" spans="6:43">
      <c r="F1183" s="4"/>
      <c r="H1183" s="11"/>
      <c r="I1183" s="4"/>
      <c r="K1183" s="4"/>
      <c r="M1183" s="4"/>
      <c r="O1183" s="4"/>
      <c r="P1183" s="4"/>
      <c r="Q1183" s="4"/>
      <c r="R1183" s="4"/>
      <c r="X1183" s="4"/>
      <c r="Y1183" s="4"/>
      <c r="Z1183" s="4"/>
      <c r="AA1183" s="4"/>
      <c r="AB1183" s="4"/>
      <c r="AE1183" s="4"/>
      <c r="AF1183" s="4"/>
      <c r="AI1183" s="4"/>
      <c r="AQ1183" s="4"/>
    </row>
    <row r="1184" spans="6:43">
      <c r="F1184" s="4"/>
      <c r="H1184" s="11"/>
      <c r="I1184" s="4"/>
      <c r="K1184" s="4"/>
      <c r="M1184" s="4"/>
      <c r="O1184" s="4"/>
      <c r="P1184" s="4"/>
      <c r="Q1184" s="4"/>
      <c r="R1184" s="4"/>
      <c r="X1184" s="4"/>
      <c r="Y1184" s="4"/>
      <c r="Z1184" s="4"/>
      <c r="AA1184" s="4"/>
      <c r="AB1184" s="4"/>
      <c r="AE1184" s="4"/>
      <c r="AF1184" s="4"/>
      <c r="AI1184" s="4"/>
      <c r="AQ1184" s="4"/>
    </row>
    <row r="1185" spans="6:43">
      <c r="F1185" s="4"/>
      <c r="H1185" s="11"/>
      <c r="I1185" s="4"/>
      <c r="K1185" s="4"/>
      <c r="M1185" s="4"/>
      <c r="O1185" s="4"/>
      <c r="P1185" s="4"/>
      <c r="Q1185" s="4"/>
      <c r="R1185" s="4"/>
      <c r="X1185" s="4"/>
      <c r="Y1185" s="4"/>
      <c r="Z1185" s="4"/>
      <c r="AA1185" s="4"/>
      <c r="AB1185" s="4"/>
      <c r="AE1185" s="4"/>
      <c r="AF1185" s="4"/>
      <c r="AI1185" s="4"/>
      <c r="AQ1185" s="4"/>
    </row>
    <row r="1186" spans="6:43">
      <c r="F1186" s="4"/>
      <c r="H1186" s="11"/>
      <c r="I1186" s="4"/>
      <c r="K1186" s="4"/>
      <c r="M1186" s="4"/>
      <c r="O1186" s="4"/>
      <c r="P1186" s="4"/>
      <c r="Q1186" s="4"/>
      <c r="R1186" s="4"/>
      <c r="X1186" s="4"/>
      <c r="Y1186" s="4"/>
      <c r="Z1186" s="4"/>
      <c r="AA1186" s="4"/>
      <c r="AB1186" s="4"/>
      <c r="AE1186" s="4"/>
      <c r="AF1186" s="4"/>
      <c r="AI1186" s="4"/>
      <c r="AQ1186" s="4"/>
    </row>
    <row r="1187" spans="6:43">
      <c r="F1187" s="4"/>
      <c r="H1187" s="11"/>
      <c r="I1187" s="4"/>
      <c r="K1187" s="4"/>
      <c r="M1187" s="4"/>
      <c r="O1187" s="4"/>
      <c r="P1187" s="4"/>
      <c r="Q1187" s="4"/>
      <c r="R1187" s="4"/>
      <c r="X1187" s="4"/>
      <c r="Y1187" s="4"/>
      <c r="Z1187" s="4"/>
      <c r="AA1187" s="4"/>
      <c r="AB1187" s="4"/>
      <c r="AE1187" s="4"/>
      <c r="AF1187" s="4"/>
      <c r="AI1187" s="4"/>
      <c r="AQ1187" s="4"/>
    </row>
    <row r="1188" spans="6:43">
      <c r="F1188" s="4"/>
      <c r="H1188" s="11"/>
      <c r="I1188" s="4"/>
      <c r="K1188" s="4"/>
      <c r="M1188" s="4"/>
      <c r="O1188" s="4"/>
      <c r="P1188" s="4"/>
      <c r="Q1188" s="4"/>
      <c r="R1188" s="4"/>
      <c r="X1188" s="4"/>
      <c r="Y1188" s="4"/>
      <c r="Z1188" s="4"/>
      <c r="AA1188" s="4"/>
      <c r="AB1188" s="4"/>
      <c r="AE1188" s="4"/>
      <c r="AF1188" s="4"/>
      <c r="AI1188" s="4"/>
      <c r="AQ1188" s="4"/>
    </row>
    <row r="1189" spans="6:43">
      <c r="F1189" s="4"/>
      <c r="H1189" s="11"/>
      <c r="I1189" s="4"/>
      <c r="K1189" s="4"/>
      <c r="M1189" s="4"/>
      <c r="O1189" s="4"/>
      <c r="P1189" s="4"/>
      <c r="Q1189" s="4"/>
      <c r="R1189" s="4"/>
      <c r="X1189" s="4"/>
      <c r="Y1189" s="4"/>
      <c r="Z1189" s="4"/>
      <c r="AA1189" s="4"/>
      <c r="AB1189" s="4"/>
      <c r="AE1189" s="4"/>
      <c r="AF1189" s="4"/>
      <c r="AI1189" s="4"/>
      <c r="AQ1189" s="4"/>
    </row>
    <row r="1190" spans="6:43">
      <c r="F1190" s="4"/>
      <c r="H1190" s="11"/>
      <c r="I1190" s="4"/>
      <c r="K1190" s="4"/>
      <c r="M1190" s="4"/>
      <c r="O1190" s="4"/>
      <c r="P1190" s="4"/>
      <c r="Q1190" s="4"/>
      <c r="R1190" s="4"/>
      <c r="X1190" s="4"/>
      <c r="Y1190" s="4"/>
      <c r="Z1190" s="4"/>
      <c r="AA1190" s="4"/>
      <c r="AB1190" s="4"/>
      <c r="AE1190" s="4"/>
      <c r="AF1190" s="4"/>
      <c r="AI1190" s="4"/>
      <c r="AQ1190" s="4"/>
    </row>
    <row r="1191" spans="6:43">
      <c r="F1191" s="4"/>
      <c r="H1191" s="11"/>
      <c r="I1191" s="4"/>
      <c r="K1191" s="4"/>
      <c r="M1191" s="4"/>
      <c r="O1191" s="4"/>
      <c r="P1191" s="4"/>
      <c r="Q1191" s="4"/>
      <c r="R1191" s="4"/>
      <c r="X1191" s="4"/>
      <c r="Y1191" s="4"/>
      <c r="Z1191" s="4"/>
      <c r="AA1191" s="4"/>
      <c r="AB1191" s="4"/>
      <c r="AE1191" s="4"/>
      <c r="AF1191" s="4"/>
      <c r="AI1191" s="4"/>
      <c r="AQ1191" s="4"/>
    </row>
    <row r="1192" spans="6:43">
      <c r="F1192" s="4"/>
      <c r="H1192" s="11"/>
      <c r="I1192" s="4"/>
      <c r="K1192" s="4"/>
      <c r="M1192" s="4"/>
      <c r="O1192" s="4"/>
      <c r="P1192" s="4"/>
      <c r="Q1192" s="4"/>
      <c r="R1192" s="4"/>
      <c r="X1192" s="4"/>
      <c r="Y1192" s="4"/>
      <c r="Z1192" s="4"/>
      <c r="AA1192" s="4"/>
      <c r="AB1192" s="4"/>
      <c r="AE1192" s="4"/>
      <c r="AF1192" s="4"/>
      <c r="AI1192" s="4"/>
      <c r="AQ1192" s="4"/>
    </row>
    <row r="1193" spans="6:43">
      <c r="F1193" s="4"/>
      <c r="H1193" s="11"/>
      <c r="I1193" s="4"/>
      <c r="K1193" s="4"/>
      <c r="M1193" s="4"/>
      <c r="O1193" s="4"/>
      <c r="P1193" s="4"/>
      <c r="Q1193" s="4"/>
      <c r="R1193" s="4"/>
      <c r="X1193" s="4"/>
      <c r="Y1193" s="4"/>
      <c r="Z1193" s="4"/>
      <c r="AA1193" s="4"/>
      <c r="AB1193" s="4"/>
      <c r="AE1193" s="4"/>
      <c r="AF1193" s="4"/>
      <c r="AI1193" s="4"/>
      <c r="AQ1193" s="4"/>
    </row>
    <row r="1194" spans="6:43">
      <c r="F1194" s="4"/>
      <c r="H1194" s="11"/>
      <c r="I1194" s="4"/>
      <c r="K1194" s="4"/>
      <c r="M1194" s="4"/>
      <c r="O1194" s="4"/>
      <c r="P1194" s="4"/>
      <c r="Q1194" s="4"/>
      <c r="R1194" s="4"/>
      <c r="X1194" s="4"/>
      <c r="Y1194" s="4"/>
      <c r="Z1194" s="4"/>
      <c r="AA1194" s="4"/>
      <c r="AB1194" s="4"/>
      <c r="AE1194" s="4"/>
      <c r="AF1194" s="4"/>
      <c r="AI1194" s="4"/>
      <c r="AQ1194" s="4"/>
    </row>
    <row r="1195" spans="6:43">
      <c r="F1195" s="4"/>
      <c r="H1195" s="11"/>
      <c r="I1195" s="4"/>
      <c r="K1195" s="4"/>
      <c r="M1195" s="4"/>
      <c r="O1195" s="4"/>
      <c r="P1195" s="4"/>
      <c r="Q1195" s="4"/>
      <c r="R1195" s="4"/>
      <c r="X1195" s="4"/>
      <c r="Y1195" s="4"/>
      <c r="Z1195" s="4"/>
      <c r="AA1195" s="4"/>
      <c r="AB1195" s="4"/>
      <c r="AE1195" s="4"/>
      <c r="AF1195" s="4"/>
      <c r="AI1195" s="4"/>
      <c r="AQ1195" s="4"/>
    </row>
    <row r="1196" spans="6:43">
      <c r="F1196" s="4"/>
      <c r="H1196" s="11"/>
      <c r="I1196" s="4"/>
      <c r="K1196" s="4"/>
      <c r="M1196" s="4"/>
      <c r="O1196" s="4"/>
      <c r="P1196" s="4"/>
      <c r="Q1196" s="4"/>
      <c r="R1196" s="4"/>
      <c r="X1196" s="4"/>
      <c r="Y1196" s="4"/>
      <c r="Z1196" s="4"/>
      <c r="AA1196" s="4"/>
      <c r="AB1196" s="4"/>
      <c r="AE1196" s="4"/>
      <c r="AF1196" s="4"/>
      <c r="AI1196" s="4"/>
      <c r="AQ1196" s="4"/>
    </row>
    <row r="1197" spans="6:43">
      <c r="F1197" s="4"/>
      <c r="H1197" s="11"/>
      <c r="I1197" s="4"/>
      <c r="K1197" s="4"/>
      <c r="M1197" s="4"/>
      <c r="O1197" s="4"/>
      <c r="P1197" s="4"/>
      <c r="Q1197" s="4"/>
      <c r="R1197" s="4"/>
      <c r="X1197" s="4"/>
      <c r="Y1197" s="4"/>
      <c r="Z1197" s="4"/>
      <c r="AA1197" s="4"/>
      <c r="AB1197" s="4"/>
      <c r="AE1197" s="4"/>
      <c r="AF1197" s="4"/>
      <c r="AI1197" s="4"/>
      <c r="AQ1197" s="4"/>
    </row>
    <row r="1198" spans="6:43">
      <c r="F1198" s="4"/>
      <c r="H1198" s="11"/>
      <c r="I1198" s="4"/>
      <c r="K1198" s="4"/>
      <c r="M1198" s="4"/>
      <c r="O1198" s="4"/>
      <c r="P1198" s="4"/>
      <c r="Q1198" s="4"/>
      <c r="R1198" s="4"/>
      <c r="X1198" s="4"/>
      <c r="Y1198" s="4"/>
      <c r="Z1198" s="4"/>
      <c r="AA1198" s="4"/>
      <c r="AB1198" s="4"/>
      <c r="AE1198" s="4"/>
      <c r="AF1198" s="4"/>
      <c r="AI1198" s="4"/>
      <c r="AQ1198" s="4"/>
    </row>
    <row r="1199" spans="6:43">
      <c r="F1199" s="4"/>
      <c r="H1199" s="11"/>
      <c r="I1199" s="4"/>
      <c r="K1199" s="4"/>
      <c r="M1199" s="4"/>
      <c r="O1199" s="4"/>
      <c r="P1199" s="4"/>
      <c r="Q1199" s="4"/>
      <c r="R1199" s="4"/>
      <c r="X1199" s="4"/>
      <c r="Y1199" s="4"/>
      <c r="Z1199" s="4"/>
      <c r="AA1199" s="4"/>
      <c r="AB1199" s="4"/>
      <c r="AE1199" s="4"/>
      <c r="AF1199" s="4"/>
      <c r="AI1199" s="4"/>
      <c r="AQ1199" s="4"/>
    </row>
    <row r="1200" spans="6:43">
      <c r="F1200" s="4"/>
      <c r="H1200" s="11"/>
      <c r="I1200" s="4"/>
      <c r="K1200" s="4"/>
      <c r="M1200" s="4"/>
      <c r="O1200" s="4"/>
      <c r="P1200" s="4"/>
      <c r="Q1200" s="4"/>
      <c r="R1200" s="4"/>
      <c r="X1200" s="4"/>
      <c r="Y1200" s="4"/>
      <c r="Z1200" s="4"/>
      <c r="AA1200" s="4"/>
      <c r="AB1200" s="4"/>
      <c r="AE1200" s="4"/>
      <c r="AF1200" s="4"/>
      <c r="AI1200" s="4"/>
      <c r="AQ1200" s="4"/>
    </row>
    <row r="1201" spans="6:43">
      <c r="F1201" s="4"/>
      <c r="H1201" s="11"/>
      <c r="I1201" s="4"/>
      <c r="K1201" s="4"/>
      <c r="M1201" s="4"/>
      <c r="O1201" s="4"/>
      <c r="P1201" s="4"/>
      <c r="Q1201" s="4"/>
      <c r="R1201" s="4"/>
      <c r="X1201" s="4"/>
      <c r="Y1201" s="4"/>
      <c r="Z1201" s="4"/>
      <c r="AA1201" s="4"/>
      <c r="AB1201" s="4"/>
      <c r="AE1201" s="4"/>
      <c r="AF1201" s="4"/>
      <c r="AI1201" s="4"/>
      <c r="AQ1201" s="4"/>
    </row>
    <row r="1202" spans="6:43">
      <c r="F1202" s="4"/>
      <c r="H1202" s="11"/>
      <c r="I1202" s="4"/>
      <c r="K1202" s="4"/>
      <c r="M1202" s="4"/>
      <c r="O1202" s="4"/>
      <c r="P1202" s="4"/>
      <c r="Q1202" s="4"/>
      <c r="R1202" s="4"/>
      <c r="X1202" s="4"/>
      <c r="Y1202" s="4"/>
      <c r="Z1202" s="4"/>
      <c r="AA1202" s="4"/>
      <c r="AB1202" s="4"/>
      <c r="AE1202" s="4"/>
      <c r="AF1202" s="4"/>
      <c r="AI1202" s="4"/>
      <c r="AQ1202" s="4"/>
    </row>
    <row r="1203" spans="6:43">
      <c r="F1203" s="4"/>
      <c r="H1203" s="11"/>
      <c r="I1203" s="4"/>
      <c r="K1203" s="4"/>
      <c r="M1203" s="4"/>
      <c r="O1203" s="4"/>
      <c r="P1203" s="4"/>
      <c r="Q1203" s="4"/>
      <c r="R1203" s="4"/>
      <c r="X1203" s="4"/>
      <c r="Y1203" s="4"/>
      <c r="Z1203" s="4"/>
      <c r="AA1203" s="4"/>
      <c r="AB1203" s="4"/>
      <c r="AE1203" s="4"/>
      <c r="AF1203" s="4"/>
      <c r="AI1203" s="4"/>
      <c r="AQ1203" s="4"/>
    </row>
    <row r="1204" spans="6:43">
      <c r="F1204" s="4"/>
      <c r="H1204" s="11"/>
      <c r="I1204" s="4"/>
      <c r="K1204" s="4"/>
      <c r="M1204" s="4"/>
      <c r="O1204" s="4"/>
      <c r="P1204" s="4"/>
      <c r="Q1204" s="4"/>
      <c r="R1204" s="4"/>
      <c r="X1204" s="4"/>
      <c r="Y1204" s="4"/>
      <c r="Z1204" s="4"/>
      <c r="AA1204" s="4"/>
      <c r="AB1204" s="4"/>
      <c r="AE1204" s="4"/>
      <c r="AF1204" s="4"/>
      <c r="AI1204" s="4"/>
      <c r="AQ1204" s="4"/>
    </row>
    <row r="1205" spans="6:43">
      <c r="F1205" s="4"/>
      <c r="H1205" s="11"/>
      <c r="I1205" s="4"/>
      <c r="K1205" s="4"/>
      <c r="M1205" s="4"/>
      <c r="O1205" s="4"/>
      <c r="P1205" s="4"/>
      <c r="Q1205" s="4"/>
      <c r="R1205" s="4"/>
      <c r="X1205" s="4"/>
      <c r="Y1205" s="4"/>
      <c r="Z1205" s="4"/>
      <c r="AA1205" s="4"/>
      <c r="AB1205" s="4"/>
      <c r="AE1205" s="4"/>
      <c r="AF1205" s="4"/>
      <c r="AI1205" s="4"/>
      <c r="AQ1205" s="4"/>
    </row>
    <row r="1206" spans="6:43">
      <c r="F1206" s="4"/>
      <c r="H1206" s="11"/>
      <c r="I1206" s="4"/>
      <c r="K1206" s="4"/>
      <c r="M1206" s="4"/>
      <c r="O1206" s="4"/>
      <c r="P1206" s="4"/>
      <c r="Q1206" s="4"/>
      <c r="R1206" s="4"/>
      <c r="X1206" s="4"/>
      <c r="Y1206" s="4"/>
      <c r="Z1206" s="4"/>
      <c r="AA1206" s="4"/>
      <c r="AB1206" s="4"/>
      <c r="AE1206" s="4"/>
      <c r="AF1206" s="4"/>
      <c r="AI1206" s="4"/>
      <c r="AQ1206" s="4"/>
    </row>
    <row r="1207" spans="6:43">
      <c r="F1207" s="4"/>
      <c r="H1207" s="11"/>
      <c r="I1207" s="4"/>
      <c r="K1207" s="4"/>
      <c r="M1207" s="4"/>
      <c r="O1207" s="4"/>
      <c r="P1207" s="4"/>
      <c r="Q1207" s="4"/>
      <c r="R1207" s="4"/>
      <c r="X1207" s="4"/>
      <c r="Y1207" s="4"/>
      <c r="Z1207" s="4"/>
      <c r="AA1207" s="4"/>
      <c r="AB1207" s="4"/>
      <c r="AE1207" s="4"/>
      <c r="AF1207" s="4"/>
      <c r="AI1207" s="4"/>
      <c r="AQ1207" s="4"/>
    </row>
    <row r="1208" spans="6:43">
      <c r="F1208" s="4"/>
      <c r="H1208" s="11"/>
      <c r="I1208" s="4"/>
      <c r="K1208" s="4"/>
      <c r="M1208" s="4"/>
      <c r="O1208" s="4"/>
      <c r="P1208" s="4"/>
      <c r="Q1208" s="4"/>
      <c r="R1208" s="4"/>
      <c r="X1208" s="4"/>
      <c r="Y1208" s="4"/>
      <c r="Z1208" s="4"/>
      <c r="AA1208" s="4"/>
      <c r="AB1208" s="4"/>
      <c r="AE1208" s="4"/>
      <c r="AF1208" s="4"/>
      <c r="AI1208" s="4"/>
      <c r="AQ1208" s="4"/>
    </row>
    <row r="1209" spans="6:43">
      <c r="F1209" s="4"/>
      <c r="H1209" s="11"/>
      <c r="I1209" s="4"/>
      <c r="K1209" s="4"/>
      <c r="M1209" s="4"/>
      <c r="O1209" s="4"/>
      <c r="P1209" s="4"/>
      <c r="Q1209" s="4"/>
      <c r="R1209" s="4"/>
      <c r="X1209" s="4"/>
      <c r="Y1209" s="4"/>
      <c r="Z1209" s="4"/>
      <c r="AA1209" s="4"/>
      <c r="AB1209" s="4"/>
      <c r="AE1209" s="4"/>
      <c r="AF1209" s="4"/>
      <c r="AI1209" s="4"/>
      <c r="AQ1209" s="4"/>
    </row>
    <row r="1210" spans="6:43">
      <c r="F1210" s="4"/>
      <c r="H1210" s="11"/>
      <c r="I1210" s="4"/>
      <c r="K1210" s="4"/>
      <c r="M1210" s="4"/>
      <c r="O1210" s="4"/>
      <c r="P1210" s="4"/>
      <c r="Q1210" s="4"/>
      <c r="R1210" s="4"/>
      <c r="X1210" s="4"/>
      <c r="Y1210" s="4"/>
      <c r="Z1210" s="4"/>
      <c r="AA1210" s="4"/>
      <c r="AB1210" s="4"/>
      <c r="AE1210" s="4"/>
      <c r="AF1210" s="4"/>
      <c r="AI1210" s="4"/>
      <c r="AQ1210" s="4"/>
    </row>
    <row r="1211" spans="6:43">
      <c r="F1211" s="4"/>
      <c r="H1211" s="11"/>
      <c r="I1211" s="4"/>
      <c r="K1211" s="4"/>
      <c r="M1211" s="4"/>
      <c r="O1211" s="4"/>
      <c r="P1211" s="4"/>
      <c r="Q1211" s="4"/>
      <c r="R1211" s="4"/>
      <c r="X1211" s="4"/>
      <c r="Y1211" s="4"/>
      <c r="Z1211" s="4"/>
      <c r="AA1211" s="4"/>
      <c r="AB1211" s="4"/>
      <c r="AE1211" s="4"/>
      <c r="AF1211" s="4"/>
      <c r="AI1211" s="4"/>
      <c r="AQ1211" s="4"/>
    </row>
    <row r="1212" spans="6:43">
      <c r="F1212" s="4"/>
      <c r="H1212" s="11"/>
      <c r="I1212" s="4"/>
      <c r="K1212" s="4"/>
      <c r="M1212" s="4"/>
      <c r="O1212" s="4"/>
      <c r="P1212" s="4"/>
      <c r="Q1212" s="4"/>
      <c r="R1212" s="4"/>
      <c r="X1212" s="4"/>
      <c r="Y1212" s="4"/>
      <c r="Z1212" s="4"/>
      <c r="AA1212" s="4"/>
      <c r="AB1212" s="4"/>
      <c r="AE1212" s="4"/>
      <c r="AF1212" s="4"/>
      <c r="AI1212" s="4"/>
      <c r="AQ1212" s="4"/>
    </row>
    <row r="1213" spans="6:43">
      <c r="F1213" s="4"/>
      <c r="H1213" s="11"/>
      <c r="I1213" s="4"/>
      <c r="K1213" s="4"/>
      <c r="M1213" s="4"/>
      <c r="O1213" s="4"/>
      <c r="P1213" s="4"/>
      <c r="Q1213" s="4"/>
      <c r="R1213" s="4"/>
      <c r="X1213" s="4"/>
      <c r="Y1213" s="4"/>
      <c r="Z1213" s="4"/>
      <c r="AA1213" s="4"/>
      <c r="AB1213" s="4"/>
      <c r="AE1213" s="4"/>
      <c r="AF1213" s="4"/>
      <c r="AI1213" s="4"/>
      <c r="AQ1213" s="4"/>
    </row>
    <row r="1214" spans="6:43">
      <c r="F1214" s="4"/>
      <c r="H1214" s="11"/>
      <c r="I1214" s="4"/>
      <c r="K1214" s="4"/>
      <c r="M1214" s="4"/>
      <c r="O1214" s="4"/>
      <c r="P1214" s="4"/>
      <c r="Q1214" s="4"/>
      <c r="R1214" s="4"/>
      <c r="X1214" s="4"/>
      <c r="Y1214" s="4"/>
      <c r="Z1214" s="4"/>
      <c r="AA1214" s="4"/>
      <c r="AB1214" s="4"/>
      <c r="AE1214" s="4"/>
      <c r="AF1214" s="4"/>
      <c r="AI1214" s="4"/>
      <c r="AQ1214" s="4"/>
    </row>
    <row r="1215" spans="6:43">
      <c r="F1215" s="4"/>
      <c r="H1215" s="11"/>
      <c r="I1215" s="4"/>
      <c r="K1215" s="4"/>
      <c r="M1215" s="4"/>
      <c r="O1215" s="4"/>
      <c r="P1215" s="4"/>
      <c r="Q1215" s="4"/>
      <c r="R1215" s="4"/>
      <c r="X1215" s="4"/>
      <c r="Y1215" s="4"/>
      <c r="Z1215" s="4"/>
      <c r="AA1215" s="4"/>
      <c r="AB1215" s="4"/>
      <c r="AE1215" s="4"/>
      <c r="AF1215" s="4"/>
      <c r="AI1215" s="4"/>
      <c r="AQ1215" s="4"/>
    </row>
    <row r="1216" spans="6:43">
      <c r="F1216" s="4"/>
      <c r="H1216" s="11"/>
      <c r="I1216" s="4"/>
      <c r="K1216" s="4"/>
      <c r="M1216" s="4"/>
      <c r="O1216" s="4"/>
      <c r="P1216" s="4"/>
      <c r="Q1216" s="4"/>
      <c r="R1216" s="4"/>
      <c r="X1216" s="4"/>
      <c r="Y1216" s="4"/>
      <c r="Z1216" s="4"/>
      <c r="AA1216" s="4"/>
      <c r="AB1216" s="4"/>
      <c r="AE1216" s="4"/>
      <c r="AF1216" s="4"/>
      <c r="AI1216" s="4"/>
      <c r="AQ1216" s="4"/>
    </row>
    <row r="1217" spans="6:43">
      <c r="F1217" s="4"/>
      <c r="H1217" s="11"/>
      <c r="I1217" s="4"/>
      <c r="K1217" s="4"/>
      <c r="M1217" s="4"/>
      <c r="O1217" s="4"/>
      <c r="P1217" s="4"/>
      <c r="Q1217" s="4"/>
      <c r="R1217" s="4"/>
      <c r="X1217" s="4"/>
      <c r="Y1217" s="4"/>
      <c r="Z1217" s="4"/>
      <c r="AA1217" s="4"/>
      <c r="AB1217" s="4"/>
      <c r="AE1217" s="4"/>
      <c r="AF1217" s="4"/>
      <c r="AI1217" s="4"/>
      <c r="AQ1217" s="4"/>
    </row>
    <row r="1218" spans="6:43">
      <c r="F1218" s="4"/>
      <c r="H1218" s="11"/>
      <c r="I1218" s="4"/>
      <c r="K1218" s="4"/>
      <c r="M1218" s="4"/>
      <c r="O1218" s="4"/>
      <c r="P1218" s="4"/>
      <c r="Q1218" s="4"/>
      <c r="R1218" s="4"/>
      <c r="X1218" s="4"/>
      <c r="Y1218" s="4"/>
      <c r="Z1218" s="4"/>
      <c r="AA1218" s="4"/>
      <c r="AB1218" s="4"/>
      <c r="AE1218" s="4"/>
      <c r="AF1218" s="4"/>
      <c r="AI1218" s="4"/>
      <c r="AQ1218" s="4"/>
    </row>
    <row r="1219" spans="6:43">
      <c r="F1219" s="4"/>
      <c r="H1219" s="11"/>
      <c r="I1219" s="4"/>
      <c r="K1219" s="4"/>
      <c r="M1219" s="4"/>
      <c r="O1219" s="4"/>
      <c r="P1219" s="4"/>
      <c r="Q1219" s="4"/>
      <c r="R1219" s="4"/>
      <c r="X1219" s="4"/>
      <c r="Y1219" s="4"/>
      <c r="Z1219" s="4"/>
      <c r="AA1219" s="4"/>
      <c r="AB1219" s="4"/>
      <c r="AE1219" s="4"/>
      <c r="AF1219" s="4"/>
      <c r="AI1219" s="4"/>
      <c r="AQ1219" s="4"/>
    </row>
    <row r="1220" spans="6:43">
      <c r="F1220" s="4"/>
      <c r="H1220" s="11"/>
      <c r="I1220" s="4"/>
      <c r="K1220" s="4"/>
      <c r="M1220" s="4"/>
      <c r="O1220" s="4"/>
      <c r="P1220" s="4"/>
      <c r="Q1220" s="4"/>
      <c r="R1220" s="4"/>
      <c r="X1220" s="4"/>
      <c r="Y1220" s="4"/>
      <c r="Z1220" s="4"/>
      <c r="AA1220" s="4"/>
      <c r="AB1220" s="4"/>
      <c r="AE1220" s="4"/>
      <c r="AF1220" s="4"/>
      <c r="AI1220" s="4"/>
      <c r="AQ1220" s="4"/>
    </row>
    <row r="1221" spans="6:43">
      <c r="F1221" s="4"/>
      <c r="H1221" s="11"/>
      <c r="I1221" s="4"/>
      <c r="K1221" s="4"/>
      <c r="M1221" s="4"/>
      <c r="O1221" s="4"/>
      <c r="P1221" s="4"/>
      <c r="Q1221" s="4"/>
      <c r="R1221" s="4"/>
      <c r="X1221" s="4"/>
      <c r="Y1221" s="4"/>
      <c r="Z1221" s="4"/>
      <c r="AA1221" s="4"/>
      <c r="AB1221" s="4"/>
      <c r="AE1221" s="4"/>
      <c r="AF1221" s="4"/>
      <c r="AI1221" s="4"/>
      <c r="AQ1221" s="4"/>
    </row>
    <row r="1222" spans="6:43">
      <c r="F1222" s="4"/>
      <c r="H1222" s="11"/>
      <c r="I1222" s="4"/>
      <c r="K1222" s="4"/>
      <c r="M1222" s="4"/>
      <c r="O1222" s="4"/>
      <c r="P1222" s="4"/>
      <c r="Q1222" s="4"/>
      <c r="R1222" s="4"/>
      <c r="X1222" s="4"/>
      <c r="Y1222" s="4"/>
      <c r="Z1222" s="4"/>
      <c r="AA1222" s="4"/>
      <c r="AB1222" s="4"/>
      <c r="AE1222" s="4"/>
      <c r="AF1222" s="4"/>
      <c r="AI1222" s="4"/>
      <c r="AQ1222" s="4"/>
    </row>
    <row r="1223" spans="6:43">
      <c r="F1223" s="4"/>
      <c r="H1223" s="11"/>
      <c r="I1223" s="4"/>
      <c r="K1223" s="4"/>
      <c r="M1223" s="4"/>
      <c r="O1223" s="4"/>
      <c r="P1223" s="4"/>
      <c r="Q1223" s="4"/>
      <c r="R1223" s="4"/>
      <c r="X1223" s="4"/>
      <c r="Y1223" s="4"/>
      <c r="Z1223" s="4"/>
      <c r="AA1223" s="4"/>
      <c r="AB1223" s="4"/>
      <c r="AE1223" s="4"/>
      <c r="AF1223" s="4"/>
      <c r="AI1223" s="4"/>
      <c r="AQ1223" s="4"/>
    </row>
    <row r="1224" spans="6:43">
      <c r="F1224" s="4"/>
      <c r="H1224" s="11"/>
      <c r="I1224" s="4"/>
      <c r="K1224" s="4"/>
      <c r="M1224" s="4"/>
      <c r="O1224" s="4"/>
      <c r="P1224" s="4"/>
      <c r="Q1224" s="4"/>
      <c r="R1224" s="4"/>
      <c r="X1224" s="4"/>
      <c r="Y1224" s="4"/>
      <c r="Z1224" s="4"/>
      <c r="AA1224" s="4"/>
      <c r="AB1224" s="4"/>
      <c r="AE1224" s="4"/>
      <c r="AF1224" s="4"/>
      <c r="AI1224" s="4"/>
      <c r="AQ1224" s="4"/>
    </row>
    <row r="1225" spans="6:43">
      <c r="F1225" s="4"/>
      <c r="H1225" s="11"/>
      <c r="I1225" s="4"/>
      <c r="K1225" s="4"/>
      <c r="M1225" s="4"/>
      <c r="O1225" s="4"/>
      <c r="P1225" s="4"/>
      <c r="Q1225" s="4"/>
      <c r="R1225" s="4"/>
      <c r="X1225" s="4"/>
      <c r="Y1225" s="4"/>
      <c r="Z1225" s="4"/>
      <c r="AA1225" s="4"/>
      <c r="AB1225" s="4"/>
      <c r="AE1225" s="4"/>
      <c r="AF1225" s="4"/>
      <c r="AI1225" s="4"/>
      <c r="AQ1225" s="4"/>
    </row>
    <row r="1226" spans="6:43">
      <c r="F1226" s="4"/>
      <c r="H1226" s="11"/>
      <c r="I1226" s="4"/>
      <c r="K1226" s="4"/>
      <c r="M1226" s="4"/>
      <c r="O1226" s="4"/>
      <c r="P1226" s="4"/>
      <c r="Q1226" s="4"/>
      <c r="R1226" s="4"/>
      <c r="X1226" s="4"/>
      <c r="Y1226" s="4"/>
      <c r="Z1226" s="4"/>
      <c r="AA1226" s="4"/>
      <c r="AB1226" s="4"/>
      <c r="AE1226" s="4"/>
      <c r="AF1226" s="4"/>
      <c r="AI1226" s="4"/>
      <c r="AQ1226" s="4"/>
    </row>
    <row r="1227" spans="6:43">
      <c r="F1227" s="4"/>
      <c r="H1227" s="11"/>
      <c r="I1227" s="4"/>
      <c r="K1227" s="4"/>
      <c r="M1227" s="4"/>
      <c r="O1227" s="4"/>
      <c r="P1227" s="4"/>
      <c r="Q1227" s="4"/>
      <c r="R1227" s="4"/>
      <c r="X1227" s="4"/>
      <c r="Y1227" s="4"/>
      <c r="Z1227" s="4"/>
      <c r="AA1227" s="4"/>
      <c r="AB1227" s="4"/>
      <c r="AE1227" s="4"/>
      <c r="AF1227" s="4"/>
      <c r="AI1227" s="4"/>
      <c r="AQ1227" s="4"/>
    </row>
    <row r="1228" spans="6:43">
      <c r="F1228" s="4"/>
      <c r="H1228" s="11"/>
      <c r="I1228" s="4"/>
      <c r="K1228" s="4"/>
      <c r="M1228" s="4"/>
      <c r="O1228" s="4"/>
      <c r="P1228" s="4"/>
      <c r="Q1228" s="4"/>
      <c r="R1228" s="4"/>
      <c r="X1228" s="4"/>
      <c r="Y1228" s="4"/>
      <c r="Z1228" s="4"/>
      <c r="AA1228" s="4"/>
      <c r="AB1228" s="4"/>
      <c r="AE1228" s="4"/>
      <c r="AF1228" s="4"/>
      <c r="AI1228" s="4"/>
      <c r="AQ1228" s="4"/>
    </row>
    <row r="1229" spans="6:43">
      <c r="F1229" s="4"/>
      <c r="H1229" s="11"/>
      <c r="I1229" s="4"/>
      <c r="K1229" s="4"/>
      <c r="M1229" s="4"/>
      <c r="O1229" s="4"/>
      <c r="P1229" s="4"/>
      <c r="Q1229" s="4"/>
      <c r="R1229" s="4"/>
      <c r="X1229" s="4"/>
      <c r="Y1229" s="4"/>
      <c r="Z1229" s="4"/>
      <c r="AA1229" s="4"/>
      <c r="AB1229" s="4"/>
      <c r="AE1229" s="4"/>
      <c r="AF1229" s="4"/>
      <c r="AI1229" s="4"/>
      <c r="AQ1229" s="4"/>
    </row>
    <row r="1230" spans="6:43">
      <c r="F1230" s="4"/>
      <c r="H1230" s="11"/>
      <c r="I1230" s="4"/>
      <c r="K1230" s="4"/>
      <c r="M1230" s="4"/>
      <c r="O1230" s="4"/>
      <c r="P1230" s="4"/>
      <c r="Q1230" s="4"/>
      <c r="R1230" s="4"/>
      <c r="X1230" s="4"/>
      <c r="Y1230" s="4"/>
      <c r="Z1230" s="4"/>
      <c r="AA1230" s="4"/>
      <c r="AB1230" s="4"/>
      <c r="AE1230" s="4"/>
      <c r="AF1230" s="4"/>
      <c r="AI1230" s="4"/>
      <c r="AQ1230" s="4"/>
    </row>
    <row r="1231" spans="6:43">
      <c r="F1231" s="4"/>
      <c r="H1231" s="11"/>
      <c r="I1231" s="4"/>
      <c r="K1231" s="4"/>
      <c r="M1231" s="4"/>
      <c r="O1231" s="4"/>
      <c r="P1231" s="4"/>
      <c r="Q1231" s="4"/>
      <c r="R1231" s="4"/>
      <c r="X1231" s="4"/>
      <c r="Y1231" s="4"/>
      <c r="Z1231" s="4"/>
      <c r="AA1231" s="4"/>
      <c r="AB1231" s="4"/>
      <c r="AE1231" s="4"/>
      <c r="AF1231" s="4"/>
      <c r="AI1231" s="4"/>
      <c r="AQ1231" s="4"/>
    </row>
    <row r="1232" spans="6:43">
      <c r="F1232" s="4"/>
      <c r="H1232" s="11"/>
      <c r="I1232" s="4"/>
      <c r="K1232" s="4"/>
      <c r="M1232" s="4"/>
      <c r="O1232" s="4"/>
      <c r="P1232" s="4"/>
      <c r="Q1232" s="4"/>
      <c r="R1232" s="4"/>
      <c r="X1232" s="4"/>
      <c r="Y1232" s="4"/>
      <c r="Z1232" s="4"/>
      <c r="AA1232" s="4"/>
      <c r="AB1232" s="4"/>
      <c r="AE1232" s="4"/>
      <c r="AF1232" s="4"/>
      <c r="AI1232" s="4"/>
      <c r="AQ1232" s="4"/>
    </row>
    <row r="1233" spans="6:43">
      <c r="F1233" s="4"/>
      <c r="H1233" s="11"/>
      <c r="I1233" s="4"/>
      <c r="K1233" s="4"/>
      <c r="M1233" s="4"/>
      <c r="O1233" s="4"/>
      <c r="P1233" s="4"/>
      <c r="Q1233" s="4"/>
      <c r="R1233" s="4"/>
      <c r="X1233" s="4"/>
      <c r="Y1233" s="4"/>
      <c r="Z1233" s="4"/>
      <c r="AA1233" s="4"/>
      <c r="AB1233" s="4"/>
      <c r="AE1233" s="4"/>
      <c r="AF1233" s="4"/>
      <c r="AI1233" s="4"/>
      <c r="AQ1233" s="4"/>
    </row>
    <row r="1234" spans="6:43">
      <c r="F1234" s="4"/>
      <c r="H1234" s="11"/>
      <c r="I1234" s="4"/>
      <c r="K1234" s="4"/>
      <c r="M1234" s="4"/>
      <c r="O1234" s="4"/>
      <c r="P1234" s="4"/>
      <c r="Q1234" s="4"/>
      <c r="R1234" s="4"/>
      <c r="X1234" s="4"/>
      <c r="Y1234" s="4"/>
      <c r="Z1234" s="4"/>
      <c r="AA1234" s="4"/>
      <c r="AB1234" s="4"/>
      <c r="AE1234" s="4"/>
      <c r="AF1234" s="4"/>
      <c r="AI1234" s="4"/>
      <c r="AQ1234" s="4"/>
    </row>
    <row r="1235" spans="6:43">
      <c r="F1235" s="4"/>
      <c r="H1235" s="11"/>
      <c r="I1235" s="4"/>
      <c r="K1235" s="4"/>
      <c r="M1235" s="4"/>
      <c r="O1235" s="4"/>
      <c r="P1235" s="4"/>
      <c r="Q1235" s="4"/>
      <c r="R1235" s="4"/>
      <c r="X1235" s="4"/>
      <c r="Y1235" s="4"/>
      <c r="Z1235" s="4"/>
      <c r="AA1235" s="4"/>
      <c r="AB1235" s="4"/>
      <c r="AE1235" s="4"/>
      <c r="AF1235" s="4"/>
      <c r="AI1235" s="4"/>
      <c r="AQ1235" s="4"/>
    </row>
    <row r="1236" spans="6:43">
      <c r="F1236" s="4"/>
      <c r="H1236" s="11"/>
      <c r="I1236" s="4"/>
      <c r="K1236" s="4"/>
      <c r="M1236" s="4"/>
      <c r="O1236" s="4"/>
      <c r="P1236" s="4"/>
      <c r="Q1236" s="4"/>
      <c r="R1236" s="4"/>
      <c r="X1236" s="4"/>
      <c r="Y1236" s="4"/>
      <c r="Z1236" s="4"/>
      <c r="AA1236" s="4"/>
      <c r="AB1236" s="4"/>
      <c r="AE1236" s="4"/>
      <c r="AF1236" s="4"/>
      <c r="AI1236" s="4"/>
      <c r="AQ1236" s="4"/>
    </row>
    <row r="1237" spans="6:43">
      <c r="F1237" s="4"/>
      <c r="H1237" s="11"/>
      <c r="I1237" s="4"/>
      <c r="K1237" s="4"/>
      <c r="M1237" s="4"/>
      <c r="O1237" s="4"/>
      <c r="P1237" s="4"/>
      <c r="Q1237" s="4"/>
      <c r="R1237" s="4"/>
      <c r="X1237" s="4"/>
      <c r="Y1237" s="4"/>
      <c r="Z1237" s="4"/>
      <c r="AA1237" s="4"/>
      <c r="AB1237" s="4"/>
      <c r="AE1237" s="4"/>
      <c r="AF1237" s="4"/>
      <c r="AI1237" s="4"/>
      <c r="AQ1237" s="4"/>
    </row>
    <row r="1238" spans="6:43">
      <c r="F1238" s="4"/>
      <c r="H1238" s="11"/>
      <c r="I1238" s="4"/>
      <c r="K1238" s="4"/>
      <c r="M1238" s="4"/>
      <c r="O1238" s="4"/>
      <c r="P1238" s="4"/>
      <c r="Q1238" s="4"/>
      <c r="R1238" s="4"/>
      <c r="X1238" s="4"/>
      <c r="Y1238" s="4"/>
      <c r="Z1238" s="4"/>
      <c r="AA1238" s="4"/>
      <c r="AB1238" s="4"/>
      <c r="AE1238" s="4"/>
      <c r="AF1238" s="4"/>
      <c r="AI1238" s="4"/>
      <c r="AQ1238" s="4"/>
    </row>
    <row r="1239" spans="6:43">
      <c r="F1239" s="4"/>
      <c r="H1239" s="11"/>
      <c r="I1239" s="4"/>
      <c r="K1239" s="4"/>
      <c r="M1239" s="4"/>
      <c r="O1239" s="4"/>
      <c r="P1239" s="4"/>
      <c r="Q1239" s="4"/>
      <c r="R1239" s="4"/>
      <c r="X1239" s="4"/>
      <c r="Y1239" s="4"/>
      <c r="Z1239" s="4"/>
      <c r="AA1239" s="4"/>
      <c r="AB1239" s="4"/>
      <c r="AE1239" s="4"/>
      <c r="AF1239" s="4"/>
      <c r="AI1239" s="4"/>
      <c r="AQ1239" s="4"/>
    </row>
    <row r="1240" spans="6:43">
      <c r="F1240" s="4"/>
      <c r="H1240" s="11"/>
      <c r="I1240" s="4"/>
      <c r="K1240" s="4"/>
      <c r="M1240" s="4"/>
      <c r="O1240" s="4"/>
      <c r="P1240" s="4"/>
      <c r="Q1240" s="4"/>
      <c r="R1240" s="4"/>
      <c r="X1240" s="4"/>
      <c r="Y1240" s="4"/>
      <c r="Z1240" s="4"/>
      <c r="AA1240" s="4"/>
      <c r="AB1240" s="4"/>
      <c r="AE1240" s="4"/>
      <c r="AF1240" s="4"/>
      <c r="AI1240" s="4"/>
      <c r="AQ1240" s="4"/>
    </row>
    <row r="1241" spans="6:43">
      <c r="F1241" s="4"/>
      <c r="H1241" s="11"/>
      <c r="I1241" s="4"/>
      <c r="K1241" s="4"/>
      <c r="M1241" s="4"/>
      <c r="O1241" s="4"/>
      <c r="P1241" s="4"/>
      <c r="Q1241" s="4"/>
      <c r="R1241" s="4"/>
      <c r="X1241" s="4"/>
      <c r="Y1241" s="4"/>
      <c r="Z1241" s="4"/>
      <c r="AA1241" s="4"/>
      <c r="AB1241" s="4"/>
      <c r="AE1241" s="4"/>
      <c r="AF1241" s="4"/>
      <c r="AI1241" s="4"/>
      <c r="AQ1241" s="4"/>
    </row>
    <row r="1242" spans="6:43">
      <c r="F1242" s="4"/>
      <c r="H1242" s="11"/>
      <c r="I1242" s="4"/>
      <c r="K1242" s="4"/>
      <c r="M1242" s="4"/>
      <c r="O1242" s="4"/>
      <c r="P1242" s="4"/>
      <c r="Q1242" s="4"/>
      <c r="R1242" s="4"/>
      <c r="X1242" s="4"/>
      <c r="Y1242" s="4"/>
      <c r="Z1242" s="4"/>
      <c r="AA1242" s="4"/>
      <c r="AB1242" s="4"/>
      <c r="AE1242" s="4"/>
      <c r="AF1242" s="4"/>
      <c r="AI1242" s="4"/>
      <c r="AQ1242" s="4"/>
    </row>
    <row r="1243" spans="6:43">
      <c r="F1243" s="4"/>
      <c r="H1243" s="11"/>
      <c r="I1243" s="4"/>
      <c r="K1243" s="4"/>
      <c r="M1243" s="4"/>
      <c r="O1243" s="4"/>
      <c r="P1243" s="4"/>
      <c r="Q1243" s="4"/>
      <c r="R1243" s="4"/>
      <c r="X1243" s="4"/>
      <c r="Y1243" s="4"/>
      <c r="Z1243" s="4"/>
      <c r="AA1243" s="4"/>
      <c r="AB1243" s="4"/>
      <c r="AE1243" s="4"/>
      <c r="AF1243" s="4"/>
      <c r="AI1243" s="4"/>
      <c r="AQ1243" s="4"/>
    </row>
    <row r="1244" spans="6:43">
      <c r="F1244" s="4"/>
      <c r="H1244" s="11"/>
      <c r="I1244" s="4"/>
      <c r="K1244" s="4"/>
      <c r="M1244" s="4"/>
      <c r="O1244" s="4"/>
      <c r="P1244" s="4"/>
      <c r="Q1244" s="4"/>
      <c r="R1244" s="4"/>
      <c r="X1244" s="4"/>
      <c r="Y1244" s="4"/>
      <c r="Z1244" s="4"/>
      <c r="AA1244" s="4"/>
      <c r="AB1244" s="4"/>
      <c r="AE1244" s="4"/>
      <c r="AF1244" s="4"/>
      <c r="AI1244" s="4"/>
      <c r="AQ1244" s="4"/>
    </row>
    <row r="1245" spans="6:43">
      <c r="F1245" s="4"/>
      <c r="H1245" s="11"/>
      <c r="I1245" s="4"/>
      <c r="K1245" s="4"/>
      <c r="M1245" s="4"/>
      <c r="O1245" s="4"/>
      <c r="P1245" s="4"/>
      <c r="Q1245" s="4"/>
      <c r="R1245" s="4"/>
      <c r="X1245" s="4"/>
      <c r="Y1245" s="4"/>
      <c r="Z1245" s="4"/>
      <c r="AA1245" s="4"/>
      <c r="AB1245" s="4"/>
      <c r="AE1245" s="4"/>
      <c r="AF1245" s="4"/>
      <c r="AI1245" s="4"/>
      <c r="AQ1245" s="4"/>
    </row>
    <row r="1246" spans="6:43">
      <c r="F1246" s="4"/>
      <c r="H1246" s="11"/>
      <c r="I1246" s="4"/>
      <c r="K1246" s="4"/>
      <c r="M1246" s="4"/>
      <c r="O1246" s="4"/>
      <c r="P1246" s="4"/>
      <c r="Q1246" s="4"/>
      <c r="R1246" s="4"/>
      <c r="X1246" s="4"/>
      <c r="Y1246" s="4"/>
      <c r="Z1246" s="4"/>
      <c r="AA1246" s="4"/>
      <c r="AB1246" s="4"/>
      <c r="AE1246" s="4"/>
      <c r="AF1246" s="4"/>
      <c r="AI1246" s="4"/>
      <c r="AQ1246" s="4"/>
    </row>
    <row r="1247" spans="6:43">
      <c r="F1247" s="4"/>
      <c r="H1247" s="11"/>
      <c r="I1247" s="4"/>
      <c r="K1247" s="4"/>
      <c r="M1247" s="4"/>
      <c r="O1247" s="4"/>
      <c r="P1247" s="4"/>
      <c r="Q1247" s="4"/>
      <c r="R1247" s="4"/>
      <c r="X1247" s="4"/>
      <c r="Y1247" s="4"/>
      <c r="Z1247" s="4"/>
      <c r="AA1247" s="4"/>
      <c r="AB1247" s="4"/>
      <c r="AE1247" s="4"/>
      <c r="AF1247" s="4"/>
      <c r="AI1247" s="4"/>
      <c r="AQ1247" s="4"/>
    </row>
    <row r="1248" spans="6:43">
      <c r="F1248" s="4"/>
      <c r="H1248" s="11"/>
      <c r="I1248" s="4"/>
      <c r="K1248" s="4"/>
      <c r="M1248" s="4"/>
      <c r="O1248" s="4"/>
      <c r="P1248" s="4"/>
      <c r="Q1248" s="4"/>
      <c r="R1248" s="4"/>
      <c r="X1248" s="4"/>
      <c r="Y1248" s="4"/>
      <c r="Z1248" s="4"/>
      <c r="AA1248" s="4"/>
      <c r="AB1248" s="4"/>
      <c r="AE1248" s="4"/>
      <c r="AF1248" s="4"/>
      <c r="AI1248" s="4"/>
      <c r="AQ1248" s="4"/>
    </row>
    <row r="1249" spans="6:43">
      <c r="F1249" s="4"/>
      <c r="H1249" s="11"/>
      <c r="I1249" s="4"/>
      <c r="K1249" s="4"/>
      <c r="M1249" s="4"/>
      <c r="O1249" s="4"/>
      <c r="P1249" s="4"/>
      <c r="Q1249" s="4"/>
      <c r="R1249" s="4"/>
      <c r="X1249" s="4"/>
      <c r="Y1249" s="4"/>
      <c r="Z1249" s="4"/>
      <c r="AA1249" s="4"/>
      <c r="AB1249" s="4"/>
      <c r="AE1249" s="4"/>
      <c r="AF1249" s="4"/>
      <c r="AI1249" s="4"/>
      <c r="AQ1249" s="4"/>
    </row>
    <row r="1250" spans="6:43">
      <c r="F1250" s="4"/>
      <c r="H1250" s="11"/>
      <c r="I1250" s="4"/>
      <c r="K1250" s="4"/>
      <c r="M1250" s="4"/>
      <c r="O1250" s="4"/>
      <c r="P1250" s="4"/>
      <c r="Q1250" s="4"/>
      <c r="R1250" s="4"/>
      <c r="X1250" s="4"/>
      <c r="Y1250" s="4"/>
      <c r="Z1250" s="4"/>
      <c r="AA1250" s="4"/>
      <c r="AB1250" s="4"/>
      <c r="AE1250" s="4"/>
      <c r="AF1250" s="4"/>
      <c r="AI1250" s="4"/>
      <c r="AQ1250" s="4"/>
    </row>
    <row r="1251" spans="6:43">
      <c r="F1251" s="4"/>
      <c r="H1251" s="11"/>
      <c r="I1251" s="4"/>
      <c r="K1251" s="4"/>
      <c r="M1251" s="4"/>
      <c r="O1251" s="4"/>
      <c r="P1251" s="4"/>
      <c r="Q1251" s="4"/>
      <c r="R1251" s="4"/>
      <c r="X1251" s="4"/>
      <c r="Y1251" s="4"/>
      <c r="Z1251" s="4"/>
      <c r="AA1251" s="4"/>
      <c r="AB1251" s="4"/>
      <c r="AE1251" s="4"/>
      <c r="AF1251" s="4"/>
      <c r="AI1251" s="4"/>
      <c r="AQ1251" s="4"/>
    </row>
    <row r="1252" spans="6:43">
      <c r="F1252" s="4"/>
      <c r="H1252" s="11"/>
      <c r="I1252" s="4"/>
      <c r="K1252" s="4"/>
      <c r="M1252" s="4"/>
      <c r="O1252" s="4"/>
      <c r="P1252" s="4"/>
      <c r="Q1252" s="4"/>
      <c r="R1252" s="4"/>
      <c r="X1252" s="4"/>
      <c r="Y1252" s="4"/>
      <c r="Z1252" s="4"/>
      <c r="AA1252" s="4"/>
      <c r="AB1252" s="4"/>
      <c r="AE1252" s="4"/>
      <c r="AF1252" s="4"/>
      <c r="AI1252" s="4"/>
      <c r="AQ1252" s="4"/>
    </row>
    <row r="1253" spans="6:43">
      <c r="F1253" s="4"/>
      <c r="H1253" s="11"/>
      <c r="I1253" s="4"/>
      <c r="K1253" s="4"/>
      <c r="M1253" s="4"/>
      <c r="O1253" s="4"/>
      <c r="P1253" s="4"/>
      <c r="Q1253" s="4"/>
      <c r="R1253" s="4"/>
      <c r="X1253" s="4"/>
      <c r="Y1253" s="4"/>
      <c r="Z1253" s="4"/>
      <c r="AA1253" s="4"/>
      <c r="AB1253" s="4"/>
      <c r="AE1253" s="4"/>
      <c r="AF1253" s="4"/>
      <c r="AI1253" s="4"/>
      <c r="AQ1253" s="4"/>
    </row>
    <row r="1254" spans="6:43">
      <c r="F1254" s="4"/>
      <c r="H1254" s="11"/>
      <c r="I1254" s="4"/>
      <c r="K1254" s="4"/>
      <c r="M1254" s="4"/>
      <c r="O1254" s="4"/>
      <c r="P1254" s="4"/>
      <c r="Q1254" s="4"/>
      <c r="R1254" s="4"/>
      <c r="X1254" s="4"/>
      <c r="Y1254" s="4"/>
      <c r="Z1254" s="4"/>
      <c r="AA1254" s="4"/>
      <c r="AB1254" s="4"/>
      <c r="AE1254" s="4"/>
      <c r="AF1254" s="4"/>
      <c r="AI1254" s="4"/>
      <c r="AQ1254" s="4"/>
    </row>
    <row r="1255" spans="6:43">
      <c r="F1255" s="4"/>
      <c r="H1255" s="11"/>
      <c r="I1255" s="4"/>
      <c r="K1255" s="4"/>
      <c r="M1255" s="4"/>
      <c r="O1255" s="4"/>
      <c r="P1255" s="4"/>
      <c r="Q1255" s="4"/>
      <c r="R1255" s="4"/>
      <c r="X1255" s="4"/>
      <c r="Y1255" s="4"/>
      <c r="Z1255" s="4"/>
      <c r="AA1255" s="4"/>
      <c r="AB1255" s="4"/>
      <c r="AE1255" s="4"/>
      <c r="AF1255" s="4"/>
      <c r="AI1255" s="4"/>
      <c r="AQ1255" s="4"/>
    </row>
    <row r="1256" spans="6:43">
      <c r="F1256" s="4"/>
      <c r="H1256" s="11"/>
      <c r="I1256" s="4"/>
      <c r="K1256" s="4"/>
      <c r="M1256" s="4"/>
      <c r="O1256" s="4"/>
      <c r="P1256" s="4"/>
      <c r="Q1256" s="4"/>
      <c r="R1256" s="4"/>
      <c r="X1256" s="4"/>
      <c r="Y1256" s="4"/>
      <c r="Z1256" s="4"/>
      <c r="AA1256" s="4"/>
      <c r="AB1256" s="4"/>
      <c r="AE1256" s="4"/>
      <c r="AF1256" s="4"/>
      <c r="AI1256" s="4"/>
      <c r="AQ1256" s="4"/>
    </row>
    <row r="1257" spans="6:43">
      <c r="F1257" s="4"/>
      <c r="H1257" s="11"/>
      <c r="I1257" s="4"/>
      <c r="K1257" s="4"/>
      <c r="M1257" s="4"/>
      <c r="O1257" s="4"/>
      <c r="P1257" s="4"/>
      <c r="Q1257" s="4"/>
      <c r="R1257" s="4"/>
      <c r="X1257" s="4"/>
      <c r="Y1257" s="4"/>
      <c r="Z1257" s="4"/>
      <c r="AA1257" s="4"/>
      <c r="AB1257" s="4"/>
      <c r="AE1257" s="4"/>
      <c r="AF1257" s="4"/>
      <c r="AI1257" s="4"/>
      <c r="AQ1257" s="4"/>
    </row>
    <row r="1258" spans="6:43">
      <c r="F1258" s="4"/>
      <c r="H1258" s="11"/>
      <c r="I1258" s="4"/>
      <c r="K1258" s="4"/>
      <c r="M1258" s="4"/>
      <c r="O1258" s="4"/>
      <c r="P1258" s="4"/>
      <c r="Q1258" s="4"/>
      <c r="R1258" s="4"/>
      <c r="X1258" s="4"/>
      <c r="Y1258" s="4"/>
      <c r="Z1258" s="4"/>
      <c r="AA1258" s="4"/>
      <c r="AB1258" s="4"/>
      <c r="AE1258" s="4"/>
      <c r="AF1258" s="4"/>
      <c r="AI1258" s="4"/>
      <c r="AQ1258" s="4"/>
    </row>
    <row r="1259" spans="6:43">
      <c r="F1259" s="4"/>
      <c r="H1259" s="11"/>
      <c r="I1259" s="4"/>
      <c r="K1259" s="4"/>
      <c r="M1259" s="4"/>
      <c r="O1259" s="4"/>
      <c r="P1259" s="4"/>
      <c r="Q1259" s="4"/>
      <c r="R1259" s="4"/>
      <c r="X1259" s="4"/>
      <c r="Y1259" s="4"/>
      <c r="Z1259" s="4"/>
      <c r="AA1259" s="4"/>
      <c r="AB1259" s="4"/>
      <c r="AE1259" s="4"/>
      <c r="AF1259" s="4"/>
      <c r="AI1259" s="4"/>
      <c r="AQ1259" s="4"/>
    </row>
    <row r="1260" spans="6:43">
      <c r="F1260" s="4"/>
      <c r="H1260" s="11"/>
      <c r="I1260" s="4"/>
      <c r="K1260" s="4"/>
      <c r="M1260" s="4"/>
      <c r="O1260" s="4"/>
      <c r="P1260" s="4"/>
      <c r="Q1260" s="4"/>
      <c r="R1260" s="4"/>
      <c r="X1260" s="4"/>
      <c r="Y1260" s="4"/>
      <c r="Z1260" s="4"/>
      <c r="AA1260" s="4"/>
      <c r="AB1260" s="4"/>
      <c r="AE1260" s="4"/>
      <c r="AF1260" s="4"/>
      <c r="AI1260" s="4"/>
      <c r="AQ1260" s="4"/>
    </row>
    <row r="1261" spans="6:43">
      <c r="F1261" s="4"/>
      <c r="H1261" s="11"/>
      <c r="I1261" s="4"/>
      <c r="K1261" s="4"/>
      <c r="M1261" s="4"/>
      <c r="O1261" s="4"/>
      <c r="P1261" s="4"/>
      <c r="Q1261" s="4"/>
      <c r="R1261" s="4"/>
      <c r="X1261" s="4"/>
      <c r="Y1261" s="4"/>
      <c r="Z1261" s="4"/>
      <c r="AA1261" s="4"/>
      <c r="AB1261" s="4"/>
      <c r="AE1261" s="4"/>
      <c r="AF1261" s="4"/>
      <c r="AI1261" s="4"/>
      <c r="AQ1261" s="4"/>
    </row>
    <row r="1262" spans="6:43">
      <c r="F1262" s="4"/>
      <c r="H1262" s="11"/>
      <c r="I1262" s="4"/>
      <c r="K1262" s="4"/>
      <c r="M1262" s="4"/>
      <c r="O1262" s="4"/>
      <c r="P1262" s="4"/>
      <c r="Q1262" s="4"/>
      <c r="R1262" s="4"/>
      <c r="X1262" s="4"/>
      <c r="Y1262" s="4"/>
      <c r="Z1262" s="4"/>
      <c r="AA1262" s="4"/>
      <c r="AB1262" s="4"/>
      <c r="AE1262" s="4"/>
      <c r="AF1262" s="4"/>
      <c r="AI1262" s="4"/>
      <c r="AQ1262" s="4"/>
    </row>
    <row r="1263" spans="6:43">
      <c r="F1263" s="4"/>
      <c r="H1263" s="11"/>
      <c r="I1263" s="4"/>
      <c r="K1263" s="4"/>
      <c r="M1263" s="4"/>
      <c r="O1263" s="4"/>
      <c r="P1263" s="4"/>
      <c r="Q1263" s="4"/>
      <c r="R1263" s="4"/>
      <c r="X1263" s="4"/>
      <c r="Y1263" s="4"/>
      <c r="Z1263" s="4"/>
      <c r="AA1263" s="4"/>
      <c r="AB1263" s="4"/>
      <c r="AE1263" s="4"/>
      <c r="AF1263" s="4"/>
      <c r="AI1263" s="4"/>
      <c r="AQ1263" s="4"/>
    </row>
    <row r="1264" spans="6:43">
      <c r="F1264" s="4"/>
      <c r="H1264" s="11"/>
      <c r="I1264" s="4"/>
      <c r="K1264" s="4"/>
      <c r="M1264" s="4"/>
      <c r="O1264" s="4"/>
      <c r="P1264" s="4"/>
      <c r="Q1264" s="4"/>
      <c r="R1264" s="4"/>
      <c r="X1264" s="4"/>
      <c r="Y1264" s="4"/>
      <c r="Z1264" s="4"/>
      <c r="AA1264" s="4"/>
      <c r="AB1264" s="4"/>
      <c r="AE1264" s="4"/>
      <c r="AF1264" s="4"/>
      <c r="AI1264" s="4"/>
      <c r="AQ1264" s="4"/>
    </row>
    <row r="1265" spans="6:43">
      <c r="F1265" s="4"/>
      <c r="H1265" s="11"/>
      <c r="I1265" s="4"/>
      <c r="K1265" s="4"/>
      <c r="M1265" s="4"/>
      <c r="O1265" s="4"/>
      <c r="P1265" s="4"/>
      <c r="Q1265" s="4"/>
      <c r="R1265" s="4"/>
      <c r="X1265" s="4"/>
      <c r="Y1265" s="4"/>
      <c r="Z1265" s="4"/>
      <c r="AA1265" s="4"/>
      <c r="AB1265" s="4"/>
      <c r="AE1265" s="4"/>
      <c r="AF1265" s="4"/>
      <c r="AI1265" s="4"/>
      <c r="AQ1265" s="4"/>
    </row>
    <row r="1266" spans="6:43">
      <c r="F1266" s="4"/>
      <c r="H1266" s="11"/>
      <c r="I1266" s="4"/>
      <c r="K1266" s="4"/>
      <c r="M1266" s="4"/>
      <c r="O1266" s="4"/>
      <c r="P1266" s="4"/>
      <c r="Q1266" s="4"/>
      <c r="R1266" s="4"/>
      <c r="X1266" s="4"/>
      <c r="Y1266" s="4"/>
      <c r="Z1266" s="4"/>
      <c r="AA1266" s="4"/>
      <c r="AB1266" s="4"/>
      <c r="AE1266" s="4"/>
      <c r="AF1266" s="4"/>
      <c r="AI1266" s="4"/>
      <c r="AQ1266" s="4"/>
    </row>
    <row r="1267" spans="6:43">
      <c r="F1267" s="4"/>
      <c r="H1267" s="11"/>
      <c r="I1267" s="4"/>
      <c r="K1267" s="4"/>
      <c r="M1267" s="4"/>
      <c r="O1267" s="4"/>
      <c r="P1267" s="4"/>
      <c r="Q1267" s="4"/>
      <c r="R1267" s="4"/>
      <c r="X1267" s="4"/>
      <c r="Y1267" s="4"/>
      <c r="Z1267" s="4"/>
      <c r="AA1267" s="4"/>
      <c r="AB1267" s="4"/>
      <c r="AE1267" s="4"/>
      <c r="AF1267" s="4"/>
      <c r="AI1267" s="4"/>
      <c r="AQ1267" s="4"/>
    </row>
    <row r="1268" spans="6:43">
      <c r="F1268" s="4"/>
      <c r="H1268" s="11"/>
      <c r="I1268" s="4"/>
      <c r="K1268" s="4"/>
      <c r="M1268" s="4"/>
      <c r="O1268" s="4"/>
      <c r="P1268" s="4"/>
      <c r="Q1268" s="4"/>
      <c r="R1268" s="4"/>
      <c r="X1268" s="4"/>
      <c r="Y1268" s="4"/>
      <c r="Z1268" s="4"/>
      <c r="AA1268" s="4"/>
      <c r="AB1268" s="4"/>
      <c r="AE1268" s="4"/>
      <c r="AF1268" s="4"/>
      <c r="AI1268" s="4"/>
      <c r="AQ1268" s="4"/>
    </row>
    <row r="1269" spans="6:43">
      <c r="F1269" s="4"/>
      <c r="H1269" s="11"/>
      <c r="I1269" s="4"/>
      <c r="K1269" s="4"/>
      <c r="M1269" s="4"/>
      <c r="O1269" s="4"/>
      <c r="P1269" s="4"/>
      <c r="Q1269" s="4"/>
      <c r="R1269" s="4"/>
      <c r="X1269" s="4"/>
      <c r="Y1269" s="4"/>
      <c r="Z1269" s="4"/>
      <c r="AA1269" s="4"/>
      <c r="AB1269" s="4"/>
      <c r="AE1269" s="4"/>
      <c r="AF1269" s="4"/>
      <c r="AI1269" s="4"/>
      <c r="AQ1269" s="4"/>
    </row>
    <row r="1270" spans="6:43">
      <c r="F1270" s="4"/>
      <c r="H1270" s="11"/>
      <c r="I1270" s="4"/>
      <c r="K1270" s="4"/>
      <c r="M1270" s="4"/>
      <c r="O1270" s="4"/>
      <c r="P1270" s="4"/>
      <c r="Q1270" s="4"/>
      <c r="R1270" s="4"/>
      <c r="X1270" s="4"/>
      <c r="Y1270" s="4"/>
      <c r="Z1270" s="4"/>
      <c r="AA1270" s="4"/>
      <c r="AB1270" s="4"/>
      <c r="AE1270" s="4"/>
      <c r="AF1270" s="4"/>
      <c r="AI1270" s="4"/>
      <c r="AQ1270" s="4"/>
    </row>
    <row r="1271" spans="6:43">
      <c r="F1271" s="4"/>
      <c r="H1271" s="11"/>
      <c r="I1271" s="4"/>
      <c r="K1271" s="4"/>
      <c r="M1271" s="4"/>
      <c r="O1271" s="4"/>
      <c r="P1271" s="4"/>
      <c r="Q1271" s="4"/>
      <c r="R1271" s="4"/>
      <c r="X1271" s="4"/>
      <c r="Y1271" s="4"/>
      <c r="Z1271" s="4"/>
      <c r="AA1271" s="4"/>
      <c r="AB1271" s="4"/>
      <c r="AE1271" s="4"/>
      <c r="AF1271" s="4"/>
      <c r="AI1271" s="4"/>
      <c r="AQ1271" s="4"/>
    </row>
    <row r="1272" spans="6:43">
      <c r="F1272" s="4"/>
      <c r="H1272" s="11"/>
      <c r="I1272" s="4"/>
      <c r="K1272" s="4"/>
      <c r="M1272" s="4"/>
      <c r="O1272" s="4"/>
      <c r="P1272" s="4"/>
      <c r="Q1272" s="4"/>
      <c r="R1272" s="4"/>
      <c r="X1272" s="4"/>
      <c r="Y1272" s="4"/>
      <c r="Z1272" s="4"/>
      <c r="AA1272" s="4"/>
      <c r="AB1272" s="4"/>
      <c r="AE1272" s="4"/>
      <c r="AF1272" s="4"/>
      <c r="AI1272" s="4"/>
      <c r="AQ1272" s="4"/>
    </row>
    <row r="1273" spans="6:43">
      <c r="F1273" s="4"/>
      <c r="H1273" s="11"/>
      <c r="I1273" s="4"/>
      <c r="K1273" s="4"/>
      <c r="M1273" s="4"/>
      <c r="O1273" s="4"/>
      <c r="P1273" s="4"/>
      <c r="Q1273" s="4"/>
      <c r="R1273" s="4"/>
      <c r="X1273" s="4"/>
      <c r="Y1273" s="4"/>
      <c r="Z1273" s="4"/>
      <c r="AA1273" s="4"/>
      <c r="AB1273" s="4"/>
      <c r="AE1273" s="4"/>
      <c r="AF1273" s="4"/>
      <c r="AI1273" s="4"/>
      <c r="AQ1273" s="4"/>
    </row>
    <row r="1274" spans="6:43">
      <c r="F1274" s="4"/>
      <c r="H1274" s="11"/>
      <c r="I1274" s="4"/>
      <c r="K1274" s="4"/>
      <c r="M1274" s="4"/>
      <c r="O1274" s="4"/>
      <c r="P1274" s="4"/>
      <c r="Q1274" s="4"/>
      <c r="R1274" s="4"/>
      <c r="X1274" s="4"/>
      <c r="Y1274" s="4"/>
      <c r="Z1274" s="4"/>
      <c r="AA1274" s="4"/>
      <c r="AB1274" s="4"/>
      <c r="AE1274" s="4"/>
      <c r="AF1274" s="4"/>
      <c r="AI1274" s="4"/>
      <c r="AQ1274" s="4"/>
    </row>
    <row r="1275" spans="6:43">
      <c r="F1275" s="4"/>
      <c r="H1275" s="11"/>
      <c r="I1275" s="4"/>
      <c r="K1275" s="4"/>
      <c r="M1275" s="4"/>
      <c r="O1275" s="4"/>
      <c r="P1275" s="4"/>
      <c r="Q1275" s="4"/>
      <c r="R1275" s="4"/>
      <c r="X1275" s="4"/>
      <c r="Y1275" s="4"/>
      <c r="Z1275" s="4"/>
      <c r="AA1275" s="4"/>
      <c r="AB1275" s="4"/>
      <c r="AE1275" s="4"/>
      <c r="AF1275" s="4"/>
      <c r="AI1275" s="4"/>
      <c r="AQ1275" s="4"/>
    </row>
    <row r="1276" spans="6:43">
      <c r="F1276" s="4"/>
      <c r="H1276" s="11"/>
      <c r="I1276" s="4"/>
      <c r="K1276" s="4"/>
      <c r="M1276" s="4"/>
      <c r="O1276" s="4"/>
      <c r="P1276" s="4"/>
      <c r="Q1276" s="4"/>
      <c r="R1276" s="4"/>
      <c r="X1276" s="4"/>
      <c r="Y1276" s="4"/>
      <c r="Z1276" s="4"/>
      <c r="AA1276" s="4"/>
      <c r="AB1276" s="4"/>
      <c r="AE1276" s="4"/>
      <c r="AF1276" s="4"/>
      <c r="AI1276" s="4"/>
      <c r="AQ1276" s="4"/>
    </row>
    <row r="1277" spans="6:43">
      <c r="F1277" s="4"/>
      <c r="H1277" s="11"/>
      <c r="I1277" s="4"/>
      <c r="K1277" s="4"/>
      <c r="M1277" s="4"/>
      <c r="O1277" s="4"/>
      <c r="P1277" s="4"/>
      <c r="Q1277" s="4"/>
      <c r="R1277" s="4"/>
      <c r="X1277" s="4"/>
      <c r="Y1277" s="4"/>
      <c r="Z1277" s="4"/>
      <c r="AA1277" s="4"/>
      <c r="AB1277" s="4"/>
      <c r="AE1277" s="4"/>
      <c r="AF1277" s="4"/>
      <c r="AI1277" s="4"/>
      <c r="AQ1277" s="4"/>
    </row>
    <row r="1278" spans="6:43">
      <c r="F1278" s="4"/>
      <c r="H1278" s="11"/>
      <c r="I1278" s="4"/>
      <c r="K1278" s="4"/>
      <c r="M1278" s="4"/>
      <c r="O1278" s="4"/>
      <c r="P1278" s="4"/>
      <c r="Q1278" s="4"/>
      <c r="R1278" s="4"/>
      <c r="X1278" s="4"/>
      <c r="Y1278" s="4"/>
      <c r="Z1278" s="4"/>
      <c r="AA1278" s="4"/>
      <c r="AB1278" s="4"/>
      <c r="AE1278" s="4"/>
      <c r="AF1278" s="4"/>
      <c r="AI1278" s="4"/>
      <c r="AQ1278" s="4"/>
    </row>
    <row r="1279" spans="6:43">
      <c r="F1279" s="4"/>
      <c r="H1279" s="11"/>
      <c r="I1279" s="4"/>
      <c r="K1279" s="4"/>
      <c r="M1279" s="4"/>
      <c r="O1279" s="4"/>
      <c r="P1279" s="4"/>
      <c r="Q1279" s="4"/>
      <c r="R1279" s="4"/>
      <c r="X1279" s="4"/>
      <c r="Y1279" s="4"/>
      <c r="Z1279" s="4"/>
      <c r="AA1279" s="4"/>
      <c r="AB1279" s="4"/>
      <c r="AE1279" s="4"/>
      <c r="AF1279" s="4"/>
      <c r="AI1279" s="4"/>
      <c r="AQ1279" s="4"/>
    </row>
    <row r="1280" spans="6:43">
      <c r="F1280" s="4"/>
      <c r="H1280" s="11"/>
      <c r="I1280" s="4"/>
      <c r="K1280" s="4"/>
      <c r="M1280" s="4"/>
      <c r="O1280" s="4"/>
      <c r="P1280" s="4"/>
      <c r="Q1280" s="4"/>
      <c r="R1280" s="4"/>
      <c r="X1280" s="4"/>
      <c r="Y1280" s="4"/>
      <c r="Z1280" s="4"/>
      <c r="AA1280" s="4"/>
      <c r="AB1280" s="4"/>
      <c r="AE1280" s="4"/>
      <c r="AF1280" s="4"/>
      <c r="AI1280" s="4"/>
      <c r="AQ1280" s="4"/>
    </row>
    <row r="1281" spans="6:43">
      <c r="F1281" s="4"/>
      <c r="H1281" s="11"/>
      <c r="I1281" s="4"/>
      <c r="K1281" s="4"/>
      <c r="M1281" s="4"/>
      <c r="O1281" s="4"/>
      <c r="P1281" s="4"/>
      <c r="Q1281" s="4"/>
      <c r="R1281" s="4"/>
      <c r="X1281" s="4"/>
      <c r="Y1281" s="4"/>
      <c r="Z1281" s="4"/>
      <c r="AA1281" s="4"/>
      <c r="AB1281" s="4"/>
      <c r="AE1281" s="4"/>
      <c r="AF1281" s="4"/>
      <c r="AI1281" s="4"/>
      <c r="AQ1281" s="4"/>
    </row>
    <row r="1282" spans="6:43">
      <c r="F1282" s="4"/>
      <c r="H1282" s="11"/>
      <c r="I1282" s="4"/>
      <c r="K1282" s="4"/>
      <c r="M1282" s="4"/>
      <c r="O1282" s="4"/>
      <c r="P1282" s="4"/>
      <c r="Q1282" s="4"/>
      <c r="R1282" s="4"/>
      <c r="X1282" s="4"/>
      <c r="Y1282" s="4"/>
      <c r="Z1282" s="4"/>
      <c r="AA1282" s="4"/>
      <c r="AB1282" s="4"/>
      <c r="AE1282" s="4"/>
      <c r="AF1282" s="4"/>
      <c r="AI1282" s="4"/>
      <c r="AQ1282" s="4"/>
    </row>
    <row r="1283" spans="6:43">
      <c r="F1283" s="4"/>
      <c r="H1283" s="11"/>
      <c r="I1283" s="4"/>
      <c r="K1283" s="4"/>
      <c r="M1283" s="4"/>
      <c r="O1283" s="4"/>
      <c r="P1283" s="4"/>
      <c r="Q1283" s="4"/>
      <c r="R1283" s="4"/>
      <c r="X1283" s="4"/>
      <c r="Y1283" s="4"/>
      <c r="Z1283" s="4"/>
      <c r="AA1283" s="4"/>
      <c r="AB1283" s="4"/>
      <c r="AE1283" s="4"/>
      <c r="AF1283" s="4"/>
      <c r="AI1283" s="4"/>
      <c r="AQ1283" s="4"/>
    </row>
    <row r="1284" spans="6:43">
      <c r="F1284" s="4"/>
      <c r="H1284" s="11"/>
      <c r="I1284" s="4"/>
      <c r="K1284" s="4"/>
      <c r="M1284" s="4"/>
      <c r="O1284" s="4"/>
      <c r="P1284" s="4"/>
      <c r="Q1284" s="4"/>
      <c r="R1284" s="4"/>
      <c r="X1284" s="4"/>
      <c r="Y1284" s="4"/>
      <c r="Z1284" s="4"/>
      <c r="AA1284" s="4"/>
      <c r="AB1284" s="4"/>
      <c r="AE1284" s="4"/>
      <c r="AF1284" s="4"/>
      <c r="AI1284" s="4"/>
      <c r="AQ1284" s="4"/>
    </row>
    <row r="1285" spans="6:43">
      <c r="F1285" s="4"/>
      <c r="H1285" s="11"/>
      <c r="I1285" s="4"/>
      <c r="K1285" s="4"/>
      <c r="M1285" s="4"/>
      <c r="O1285" s="4"/>
      <c r="P1285" s="4"/>
      <c r="Q1285" s="4"/>
      <c r="R1285" s="4"/>
      <c r="X1285" s="4"/>
      <c r="Y1285" s="4"/>
      <c r="Z1285" s="4"/>
      <c r="AA1285" s="4"/>
      <c r="AB1285" s="4"/>
      <c r="AE1285" s="4"/>
      <c r="AF1285" s="4"/>
      <c r="AI1285" s="4"/>
      <c r="AQ1285" s="4"/>
    </row>
    <row r="1286" spans="6:43">
      <c r="F1286" s="4"/>
      <c r="H1286" s="11"/>
      <c r="I1286" s="4"/>
      <c r="K1286" s="4"/>
      <c r="M1286" s="4"/>
      <c r="O1286" s="4"/>
      <c r="P1286" s="4"/>
      <c r="Q1286" s="4"/>
      <c r="R1286" s="4"/>
      <c r="X1286" s="4"/>
      <c r="Y1286" s="4"/>
      <c r="Z1286" s="4"/>
      <c r="AA1286" s="4"/>
      <c r="AB1286" s="4"/>
      <c r="AE1286" s="4"/>
      <c r="AF1286" s="4"/>
      <c r="AI1286" s="4"/>
      <c r="AQ1286" s="4"/>
    </row>
    <row r="1287" spans="6:43">
      <c r="F1287" s="4"/>
      <c r="H1287" s="11"/>
      <c r="I1287" s="4"/>
      <c r="K1287" s="4"/>
      <c r="M1287" s="4"/>
      <c r="O1287" s="4"/>
      <c r="P1287" s="4"/>
      <c r="Q1287" s="4"/>
      <c r="R1287" s="4"/>
      <c r="X1287" s="4"/>
      <c r="Y1287" s="4"/>
      <c r="Z1287" s="4"/>
      <c r="AA1287" s="4"/>
      <c r="AB1287" s="4"/>
      <c r="AE1287" s="4"/>
      <c r="AF1287" s="4"/>
      <c r="AI1287" s="4"/>
      <c r="AQ1287" s="4"/>
    </row>
    <row r="1288" spans="6:43">
      <c r="F1288" s="4"/>
      <c r="H1288" s="11"/>
      <c r="I1288" s="4"/>
      <c r="K1288" s="4"/>
      <c r="M1288" s="4"/>
      <c r="O1288" s="4"/>
      <c r="P1288" s="4"/>
      <c r="Q1288" s="4"/>
      <c r="R1288" s="4"/>
      <c r="X1288" s="4"/>
      <c r="Y1288" s="4"/>
      <c r="Z1288" s="4"/>
      <c r="AA1288" s="4"/>
      <c r="AB1288" s="4"/>
      <c r="AE1288" s="4"/>
      <c r="AF1288" s="4"/>
      <c r="AI1288" s="4"/>
      <c r="AQ1288" s="4"/>
    </row>
    <row r="1289" spans="6:43">
      <c r="F1289" s="4"/>
      <c r="H1289" s="11"/>
      <c r="I1289" s="4"/>
      <c r="K1289" s="4"/>
      <c r="M1289" s="4"/>
      <c r="O1289" s="4"/>
      <c r="P1289" s="4"/>
      <c r="Q1289" s="4"/>
      <c r="R1289" s="4"/>
      <c r="X1289" s="4"/>
      <c r="Y1289" s="4"/>
      <c r="Z1289" s="4"/>
      <c r="AA1289" s="4"/>
      <c r="AB1289" s="4"/>
      <c r="AE1289" s="4"/>
      <c r="AF1289" s="4"/>
      <c r="AI1289" s="4"/>
      <c r="AQ1289" s="4"/>
    </row>
    <row r="1290" spans="6:43">
      <c r="F1290" s="4"/>
      <c r="H1290" s="11"/>
      <c r="I1290" s="4"/>
      <c r="K1290" s="4"/>
      <c r="M1290" s="4"/>
      <c r="O1290" s="4"/>
      <c r="P1290" s="4"/>
      <c r="Q1290" s="4"/>
      <c r="R1290" s="4"/>
      <c r="X1290" s="4"/>
      <c r="Y1290" s="4"/>
      <c r="Z1290" s="4"/>
      <c r="AA1290" s="4"/>
      <c r="AB1290" s="4"/>
      <c r="AE1290" s="4"/>
      <c r="AF1290" s="4"/>
      <c r="AI1290" s="4"/>
      <c r="AQ1290" s="4"/>
    </row>
    <row r="1291" spans="6:43">
      <c r="F1291" s="4"/>
      <c r="H1291" s="11"/>
      <c r="I1291" s="4"/>
      <c r="K1291" s="4"/>
      <c r="M1291" s="4"/>
      <c r="O1291" s="4"/>
      <c r="P1291" s="4"/>
      <c r="Q1291" s="4"/>
      <c r="R1291" s="4"/>
      <c r="X1291" s="4"/>
      <c r="Y1291" s="4"/>
      <c r="Z1291" s="4"/>
      <c r="AA1291" s="4"/>
      <c r="AB1291" s="4"/>
      <c r="AE1291" s="4"/>
      <c r="AF1291" s="4"/>
      <c r="AI1291" s="4"/>
      <c r="AQ1291" s="4"/>
    </row>
    <row r="1292" spans="6:43">
      <c r="F1292" s="4"/>
      <c r="H1292" s="11"/>
      <c r="I1292" s="4"/>
      <c r="K1292" s="4"/>
      <c r="M1292" s="4"/>
      <c r="O1292" s="4"/>
      <c r="P1292" s="4"/>
      <c r="Q1292" s="4"/>
      <c r="R1292" s="4"/>
      <c r="X1292" s="4"/>
      <c r="Y1292" s="4"/>
      <c r="Z1292" s="4"/>
      <c r="AA1292" s="4"/>
      <c r="AB1292" s="4"/>
      <c r="AE1292" s="4"/>
      <c r="AF1292" s="4"/>
      <c r="AI1292" s="4"/>
      <c r="AQ1292" s="4"/>
    </row>
    <row r="1293" spans="6:43">
      <c r="F1293" s="4"/>
      <c r="H1293" s="11"/>
      <c r="I1293" s="4"/>
      <c r="K1293" s="4"/>
      <c r="M1293" s="4"/>
      <c r="O1293" s="4"/>
      <c r="P1293" s="4"/>
      <c r="Q1293" s="4"/>
      <c r="R1293" s="4"/>
      <c r="X1293" s="4"/>
      <c r="Y1293" s="4"/>
      <c r="Z1293" s="4"/>
      <c r="AA1293" s="4"/>
      <c r="AB1293" s="4"/>
      <c r="AE1293" s="4"/>
      <c r="AF1293" s="4"/>
      <c r="AI1293" s="4"/>
      <c r="AQ1293" s="4"/>
    </row>
    <row r="1294" spans="6:43">
      <c r="F1294" s="4"/>
      <c r="H1294" s="11"/>
      <c r="I1294" s="4"/>
      <c r="K1294" s="4"/>
      <c r="M1294" s="4"/>
      <c r="O1294" s="4"/>
      <c r="P1294" s="4"/>
      <c r="Q1294" s="4"/>
      <c r="R1294" s="4"/>
      <c r="X1294" s="4"/>
      <c r="Y1294" s="4"/>
      <c r="Z1294" s="4"/>
      <c r="AA1294" s="4"/>
      <c r="AB1294" s="4"/>
      <c r="AE1294" s="4"/>
      <c r="AF1294" s="4"/>
      <c r="AI1294" s="4"/>
      <c r="AQ1294" s="4"/>
    </row>
    <row r="1295" spans="6:43">
      <c r="F1295" s="4"/>
      <c r="H1295" s="11"/>
      <c r="I1295" s="4"/>
      <c r="K1295" s="4"/>
      <c r="M1295" s="4"/>
      <c r="O1295" s="4"/>
      <c r="P1295" s="4"/>
      <c r="Q1295" s="4"/>
      <c r="R1295" s="4"/>
      <c r="X1295" s="4"/>
      <c r="Y1295" s="4"/>
      <c r="Z1295" s="4"/>
      <c r="AA1295" s="4"/>
      <c r="AB1295" s="4"/>
      <c r="AE1295" s="4"/>
      <c r="AF1295" s="4"/>
      <c r="AI1295" s="4"/>
      <c r="AQ1295" s="4"/>
    </row>
    <row r="1296" spans="6:43">
      <c r="F1296" s="4"/>
      <c r="H1296" s="11"/>
      <c r="I1296" s="4"/>
      <c r="K1296" s="4"/>
      <c r="M1296" s="4"/>
      <c r="O1296" s="4"/>
      <c r="P1296" s="4"/>
      <c r="Q1296" s="4"/>
      <c r="R1296" s="4"/>
      <c r="X1296" s="4"/>
      <c r="Y1296" s="4"/>
      <c r="Z1296" s="4"/>
      <c r="AA1296" s="4"/>
      <c r="AB1296" s="4"/>
      <c r="AE1296" s="4"/>
      <c r="AF1296" s="4"/>
      <c r="AI1296" s="4"/>
      <c r="AQ1296" s="4"/>
    </row>
    <row r="1297" spans="6:43">
      <c r="F1297" s="4"/>
      <c r="H1297" s="11"/>
      <c r="I1297" s="4"/>
      <c r="K1297" s="4"/>
      <c r="M1297" s="4"/>
      <c r="O1297" s="4"/>
      <c r="P1297" s="4"/>
      <c r="Q1297" s="4"/>
      <c r="R1297" s="4"/>
      <c r="X1297" s="4"/>
      <c r="Y1297" s="4"/>
      <c r="Z1297" s="4"/>
      <c r="AA1297" s="4"/>
      <c r="AB1297" s="4"/>
      <c r="AE1297" s="4"/>
      <c r="AF1297" s="4"/>
      <c r="AI1297" s="4"/>
      <c r="AQ1297" s="4"/>
    </row>
    <row r="1298" spans="6:43">
      <c r="F1298" s="4"/>
      <c r="H1298" s="11"/>
      <c r="I1298" s="4"/>
      <c r="K1298" s="4"/>
      <c r="M1298" s="4"/>
      <c r="O1298" s="4"/>
      <c r="P1298" s="4"/>
      <c r="Q1298" s="4"/>
      <c r="R1298" s="4"/>
      <c r="X1298" s="4"/>
      <c r="Y1298" s="4"/>
      <c r="Z1298" s="4"/>
      <c r="AA1298" s="4"/>
      <c r="AB1298" s="4"/>
      <c r="AE1298" s="4"/>
      <c r="AF1298" s="4"/>
      <c r="AI1298" s="4"/>
      <c r="AQ1298" s="4"/>
    </row>
    <row r="1299" spans="6:43">
      <c r="F1299" s="4"/>
      <c r="H1299" s="11"/>
      <c r="I1299" s="4"/>
      <c r="K1299" s="4"/>
      <c r="M1299" s="4"/>
      <c r="O1299" s="4"/>
      <c r="P1299" s="4"/>
      <c r="Q1299" s="4"/>
      <c r="R1299" s="4"/>
      <c r="X1299" s="4"/>
      <c r="Y1299" s="4"/>
      <c r="Z1299" s="4"/>
      <c r="AA1299" s="4"/>
      <c r="AB1299" s="4"/>
      <c r="AE1299" s="4"/>
      <c r="AF1299" s="4"/>
      <c r="AI1299" s="4"/>
      <c r="AQ1299" s="4"/>
    </row>
    <row r="1300" spans="6:43">
      <c r="F1300" s="4"/>
      <c r="H1300" s="11"/>
      <c r="I1300" s="4"/>
      <c r="K1300" s="4"/>
      <c r="M1300" s="4"/>
      <c r="O1300" s="4"/>
      <c r="P1300" s="4"/>
      <c r="Q1300" s="4"/>
      <c r="R1300" s="4"/>
      <c r="X1300" s="4"/>
      <c r="Y1300" s="4"/>
      <c r="Z1300" s="4"/>
      <c r="AA1300" s="4"/>
      <c r="AB1300" s="4"/>
      <c r="AE1300" s="4"/>
      <c r="AF1300" s="4"/>
      <c r="AI1300" s="4"/>
      <c r="AQ1300" s="4"/>
    </row>
    <row r="1301" spans="6:43">
      <c r="F1301" s="4"/>
      <c r="H1301" s="11"/>
      <c r="I1301" s="4"/>
      <c r="K1301" s="4"/>
      <c r="M1301" s="4"/>
      <c r="O1301" s="4"/>
      <c r="P1301" s="4"/>
      <c r="Q1301" s="4"/>
      <c r="R1301" s="4"/>
      <c r="X1301" s="4"/>
      <c r="Y1301" s="4"/>
      <c r="Z1301" s="4"/>
      <c r="AA1301" s="4"/>
      <c r="AB1301" s="4"/>
      <c r="AE1301" s="4"/>
      <c r="AF1301" s="4"/>
      <c r="AI1301" s="4"/>
      <c r="AQ1301" s="4"/>
    </row>
    <row r="1302" spans="6:43">
      <c r="F1302" s="4"/>
      <c r="H1302" s="11"/>
      <c r="I1302" s="4"/>
      <c r="K1302" s="4"/>
      <c r="M1302" s="4"/>
      <c r="O1302" s="4"/>
      <c r="P1302" s="4"/>
      <c r="Q1302" s="4"/>
      <c r="R1302" s="4"/>
      <c r="X1302" s="4"/>
      <c r="Y1302" s="4"/>
      <c r="Z1302" s="4"/>
      <c r="AA1302" s="4"/>
      <c r="AB1302" s="4"/>
      <c r="AE1302" s="4"/>
      <c r="AF1302" s="4"/>
      <c r="AI1302" s="4"/>
      <c r="AQ1302" s="4"/>
    </row>
    <row r="1303" spans="6:43">
      <c r="F1303" s="4"/>
      <c r="H1303" s="11"/>
      <c r="I1303" s="4"/>
      <c r="K1303" s="4"/>
      <c r="M1303" s="4"/>
      <c r="O1303" s="4"/>
      <c r="P1303" s="4"/>
      <c r="Q1303" s="4"/>
      <c r="R1303" s="4"/>
      <c r="X1303" s="4"/>
      <c r="Y1303" s="4"/>
      <c r="Z1303" s="4"/>
      <c r="AA1303" s="4"/>
      <c r="AB1303" s="4"/>
      <c r="AE1303" s="4"/>
      <c r="AF1303" s="4"/>
      <c r="AI1303" s="4"/>
      <c r="AQ1303" s="4"/>
    </row>
    <row r="1304" spans="6:43">
      <c r="F1304" s="4"/>
      <c r="H1304" s="11"/>
      <c r="I1304" s="4"/>
      <c r="K1304" s="4"/>
      <c r="M1304" s="4"/>
      <c r="O1304" s="4"/>
      <c r="P1304" s="4"/>
      <c r="Q1304" s="4"/>
      <c r="R1304" s="4"/>
      <c r="X1304" s="4"/>
      <c r="Y1304" s="4"/>
      <c r="Z1304" s="4"/>
      <c r="AA1304" s="4"/>
      <c r="AB1304" s="4"/>
      <c r="AE1304" s="4"/>
      <c r="AF1304" s="4"/>
      <c r="AI1304" s="4"/>
      <c r="AQ1304" s="4"/>
    </row>
    <row r="1305" spans="6:43">
      <c r="F1305" s="4"/>
      <c r="H1305" s="11"/>
      <c r="I1305" s="4"/>
      <c r="K1305" s="4"/>
      <c r="M1305" s="4"/>
      <c r="O1305" s="4"/>
      <c r="P1305" s="4"/>
      <c r="Q1305" s="4"/>
      <c r="R1305" s="4"/>
      <c r="X1305" s="4"/>
      <c r="Y1305" s="4"/>
      <c r="Z1305" s="4"/>
      <c r="AA1305" s="4"/>
      <c r="AB1305" s="4"/>
      <c r="AE1305" s="4"/>
      <c r="AF1305" s="4"/>
      <c r="AI1305" s="4"/>
      <c r="AQ1305" s="4"/>
    </row>
    <row r="1306" spans="6:43">
      <c r="F1306" s="4"/>
      <c r="H1306" s="11"/>
      <c r="I1306" s="4"/>
      <c r="K1306" s="4"/>
      <c r="M1306" s="4"/>
      <c r="O1306" s="4"/>
      <c r="P1306" s="4"/>
      <c r="Q1306" s="4"/>
      <c r="R1306" s="4"/>
      <c r="X1306" s="4"/>
      <c r="Y1306" s="4"/>
      <c r="Z1306" s="4"/>
      <c r="AA1306" s="4"/>
      <c r="AB1306" s="4"/>
      <c r="AE1306" s="4"/>
      <c r="AF1306" s="4"/>
      <c r="AI1306" s="4"/>
      <c r="AQ1306" s="4"/>
    </row>
    <row r="1307" spans="6:43">
      <c r="F1307" s="4"/>
      <c r="H1307" s="11"/>
      <c r="I1307" s="4"/>
      <c r="K1307" s="4"/>
      <c r="M1307" s="4"/>
      <c r="O1307" s="4"/>
      <c r="P1307" s="4"/>
      <c r="Q1307" s="4"/>
      <c r="R1307" s="4"/>
      <c r="X1307" s="4"/>
      <c r="Y1307" s="4"/>
      <c r="Z1307" s="4"/>
      <c r="AA1307" s="4"/>
      <c r="AB1307" s="4"/>
      <c r="AE1307" s="4"/>
      <c r="AF1307" s="4"/>
      <c r="AI1307" s="4"/>
      <c r="AQ1307" s="4"/>
    </row>
    <row r="1308" spans="6:43">
      <c r="F1308" s="4"/>
      <c r="H1308" s="11"/>
      <c r="I1308" s="4"/>
      <c r="K1308" s="4"/>
      <c r="M1308" s="4"/>
      <c r="O1308" s="4"/>
      <c r="P1308" s="4"/>
      <c r="Q1308" s="4"/>
      <c r="R1308" s="4"/>
      <c r="X1308" s="4"/>
      <c r="Y1308" s="4"/>
      <c r="Z1308" s="4"/>
      <c r="AA1308" s="4"/>
      <c r="AB1308" s="4"/>
      <c r="AE1308" s="4"/>
      <c r="AF1308" s="4"/>
      <c r="AI1308" s="4"/>
      <c r="AQ1308" s="4"/>
    </row>
    <row r="1309" spans="6:43">
      <c r="F1309" s="4"/>
      <c r="H1309" s="11"/>
      <c r="I1309" s="4"/>
      <c r="K1309" s="4"/>
      <c r="M1309" s="4"/>
      <c r="O1309" s="4"/>
      <c r="P1309" s="4"/>
      <c r="Q1309" s="4"/>
      <c r="R1309" s="4"/>
      <c r="X1309" s="4"/>
      <c r="Y1309" s="4"/>
      <c r="Z1309" s="4"/>
      <c r="AA1309" s="4"/>
      <c r="AB1309" s="4"/>
      <c r="AE1309" s="4"/>
      <c r="AF1309" s="4"/>
      <c r="AI1309" s="4"/>
      <c r="AQ1309" s="4"/>
    </row>
    <row r="1310" spans="6:43">
      <c r="F1310" s="4"/>
      <c r="H1310" s="11"/>
      <c r="I1310" s="4"/>
      <c r="K1310" s="4"/>
      <c r="M1310" s="4"/>
      <c r="O1310" s="4"/>
      <c r="P1310" s="4"/>
      <c r="Q1310" s="4"/>
      <c r="R1310" s="4"/>
      <c r="X1310" s="4"/>
      <c r="Y1310" s="4"/>
      <c r="Z1310" s="4"/>
      <c r="AA1310" s="4"/>
      <c r="AB1310" s="4"/>
      <c r="AE1310" s="4"/>
      <c r="AF1310" s="4"/>
      <c r="AI1310" s="4"/>
      <c r="AQ1310" s="4"/>
    </row>
    <row r="1311" spans="6:43">
      <c r="F1311" s="4"/>
      <c r="H1311" s="11"/>
      <c r="I1311" s="4"/>
      <c r="K1311" s="4"/>
      <c r="M1311" s="4"/>
      <c r="O1311" s="4"/>
      <c r="P1311" s="4"/>
      <c r="Q1311" s="4"/>
      <c r="R1311" s="4"/>
      <c r="X1311" s="4"/>
      <c r="Y1311" s="4"/>
      <c r="Z1311" s="4"/>
      <c r="AA1311" s="4"/>
      <c r="AB1311" s="4"/>
      <c r="AE1311" s="4"/>
      <c r="AF1311" s="4"/>
      <c r="AI1311" s="4"/>
      <c r="AQ1311" s="4"/>
    </row>
    <row r="1312" spans="6:43">
      <c r="F1312" s="4"/>
      <c r="H1312" s="11"/>
      <c r="I1312" s="4"/>
      <c r="K1312" s="4"/>
      <c r="M1312" s="4"/>
      <c r="O1312" s="4"/>
      <c r="P1312" s="4"/>
      <c r="Q1312" s="4"/>
      <c r="R1312" s="4"/>
      <c r="X1312" s="4"/>
      <c r="Y1312" s="4"/>
      <c r="Z1312" s="4"/>
      <c r="AA1312" s="4"/>
      <c r="AB1312" s="4"/>
      <c r="AE1312" s="4"/>
      <c r="AF1312" s="4"/>
      <c r="AI1312" s="4"/>
      <c r="AQ1312" s="4"/>
    </row>
    <row r="1313" spans="6:43">
      <c r="F1313" s="4"/>
      <c r="H1313" s="11"/>
      <c r="I1313" s="4"/>
      <c r="K1313" s="4"/>
      <c r="M1313" s="4"/>
      <c r="O1313" s="4"/>
      <c r="P1313" s="4"/>
      <c r="Q1313" s="4"/>
      <c r="R1313" s="4"/>
      <c r="X1313" s="4"/>
      <c r="Y1313" s="4"/>
      <c r="Z1313" s="4"/>
      <c r="AA1313" s="4"/>
      <c r="AB1313" s="4"/>
      <c r="AE1313" s="4"/>
      <c r="AF1313" s="4"/>
      <c r="AI1313" s="4"/>
      <c r="AQ1313" s="4"/>
    </row>
    <row r="1314" spans="6:43">
      <c r="F1314" s="4"/>
      <c r="H1314" s="11"/>
      <c r="I1314" s="4"/>
      <c r="K1314" s="4"/>
      <c r="M1314" s="4"/>
      <c r="O1314" s="4"/>
      <c r="P1314" s="4"/>
      <c r="Q1314" s="4"/>
      <c r="R1314" s="4"/>
      <c r="X1314" s="4"/>
      <c r="Y1314" s="4"/>
      <c r="Z1314" s="4"/>
      <c r="AA1314" s="4"/>
      <c r="AB1314" s="4"/>
      <c r="AE1314" s="4"/>
      <c r="AF1314" s="4"/>
      <c r="AI1314" s="4"/>
      <c r="AQ1314" s="4"/>
    </row>
    <row r="1315" spans="6:43">
      <c r="F1315" s="4"/>
      <c r="H1315" s="11"/>
      <c r="I1315" s="4"/>
      <c r="K1315" s="4"/>
      <c r="M1315" s="4"/>
      <c r="O1315" s="4"/>
      <c r="P1315" s="4"/>
      <c r="Q1315" s="4"/>
      <c r="R1315" s="4"/>
      <c r="X1315" s="4"/>
      <c r="Y1315" s="4"/>
      <c r="Z1315" s="4"/>
      <c r="AA1315" s="4"/>
      <c r="AB1315" s="4"/>
      <c r="AE1315" s="4"/>
      <c r="AF1315" s="4"/>
      <c r="AI1315" s="4"/>
      <c r="AQ1315" s="4"/>
    </row>
    <row r="1316" spans="6:43">
      <c r="F1316" s="4"/>
      <c r="H1316" s="11"/>
      <c r="I1316" s="4"/>
      <c r="K1316" s="4"/>
      <c r="M1316" s="4"/>
      <c r="O1316" s="4"/>
      <c r="P1316" s="4"/>
      <c r="Q1316" s="4"/>
      <c r="R1316" s="4"/>
      <c r="X1316" s="4"/>
      <c r="Y1316" s="4"/>
      <c r="Z1316" s="4"/>
      <c r="AA1316" s="4"/>
      <c r="AB1316" s="4"/>
      <c r="AE1316" s="4"/>
      <c r="AF1316" s="4"/>
      <c r="AI1316" s="4"/>
      <c r="AQ1316" s="4"/>
    </row>
    <row r="1317" spans="6:43">
      <c r="F1317" s="4"/>
      <c r="H1317" s="11"/>
      <c r="I1317" s="4"/>
      <c r="K1317" s="4"/>
      <c r="M1317" s="4"/>
      <c r="O1317" s="4"/>
      <c r="P1317" s="4"/>
      <c r="Q1317" s="4"/>
      <c r="R1317" s="4"/>
      <c r="X1317" s="4"/>
      <c r="Y1317" s="4"/>
      <c r="Z1317" s="4"/>
      <c r="AA1317" s="4"/>
      <c r="AB1317" s="4"/>
      <c r="AE1317" s="4"/>
      <c r="AF1317" s="4"/>
      <c r="AI1317" s="4"/>
      <c r="AQ1317" s="4"/>
    </row>
    <row r="1318" spans="6:43">
      <c r="F1318" s="4"/>
      <c r="H1318" s="11"/>
      <c r="I1318" s="4"/>
      <c r="K1318" s="4"/>
      <c r="M1318" s="4"/>
      <c r="O1318" s="4"/>
      <c r="P1318" s="4"/>
      <c r="Q1318" s="4"/>
      <c r="R1318" s="4"/>
      <c r="X1318" s="4"/>
      <c r="Y1318" s="4"/>
      <c r="Z1318" s="4"/>
      <c r="AA1318" s="4"/>
      <c r="AB1318" s="4"/>
      <c r="AE1318" s="4"/>
      <c r="AF1318" s="4"/>
      <c r="AI1318" s="4"/>
      <c r="AQ1318" s="4"/>
    </row>
    <row r="1319" spans="6:43">
      <c r="F1319" s="4"/>
      <c r="H1319" s="11"/>
      <c r="I1319" s="4"/>
      <c r="K1319" s="4"/>
      <c r="M1319" s="4"/>
      <c r="O1319" s="4"/>
      <c r="P1319" s="4"/>
      <c r="Q1319" s="4"/>
      <c r="R1319" s="4"/>
      <c r="X1319" s="4"/>
      <c r="Y1319" s="4"/>
      <c r="Z1319" s="4"/>
      <c r="AA1319" s="4"/>
      <c r="AB1319" s="4"/>
      <c r="AE1319" s="4"/>
      <c r="AF1319" s="4"/>
      <c r="AI1319" s="4"/>
      <c r="AQ1319" s="4"/>
    </row>
    <row r="1320" spans="6:43">
      <c r="F1320" s="4"/>
      <c r="H1320" s="11"/>
      <c r="I1320" s="4"/>
      <c r="K1320" s="4"/>
      <c r="M1320" s="4"/>
      <c r="O1320" s="4"/>
      <c r="P1320" s="4"/>
      <c r="Q1320" s="4"/>
      <c r="R1320" s="4"/>
      <c r="X1320" s="4"/>
      <c r="Y1320" s="4"/>
      <c r="Z1320" s="4"/>
      <c r="AA1320" s="4"/>
      <c r="AB1320" s="4"/>
      <c r="AE1320" s="4"/>
      <c r="AF1320" s="4"/>
      <c r="AI1320" s="4"/>
      <c r="AQ1320" s="4"/>
    </row>
    <row r="1321" spans="6:43">
      <c r="F1321" s="4"/>
      <c r="H1321" s="11"/>
      <c r="I1321" s="4"/>
      <c r="K1321" s="4"/>
      <c r="M1321" s="4"/>
      <c r="O1321" s="4"/>
      <c r="P1321" s="4"/>
      <c r="Q1321" s="4"/>
      <c r="R1321" s="4"/>
      <c r="X1321" s="4"/>
      <c r="Y1321" s="4"/>
      <c r="Z1321" s="4"/>
      <c r="AA1321" s="4"/>
      <c r="AB1321" s="4"/>
      <c r="AE1321" s="4"/>
      <c r="AF1321" s="4"/>
      <c r="AI1321" s="4"/>
      <c r="AQ1321" s="4"/>
    </row>
    <row r="1322" spans="6:43">
      <c r="F1322" s="4"/>
      <c r="H1322" s="11"/>
      <c r="I1322" s="4"/>
      <c r="K1322" s="4"/>
      <c r="M1322" s="4"/>
      <c r="O1322" s="4"/>
      <c r="P1322" s="4"/>
      <c r="Q1322" s="4"/>
      <c r="R1322" s="4"/>
      <c r="X1322" s="4"/>
      <c r="Y1322" s="4"/>
      <c r="Z1322" s="4"/>
      <c r="AA1322" s="4"/>
      <c r="AB1322" s="4"/>
      <c r="AE1322" s="4"/>
      <c r="AF1322" s="4"/>
      <c r="AI1322" s="4"/>
      <c r="AQ1322" s="4"/>
    </row>
    <row r="1323" spans="6:43">
      <c r="F1323" s="4"/>
      <c r="H1323" s="11"/>
      <c r="I1323" s="4"/>
      <c r="K1323" s="4"/>
      <c r="M1323" s="4"/>
      <c r="O1323" s="4"/>
      <c r="P1323" s="4"/>
      <c r="Q1323" s="4"/>
      <c r="R1323" s="4"/>
      <c r="X1323" s="4"/>
      <c r="Y1323" s="4"/>
      <c r="Z1323" s="4"/>
      <c r="AA1323" s="4"/>
      <c r="AB1323" s="4"/>
      <c r="AE1323" s="4"/>
      <c r="AF1323" s="4"/>
      <c r="AI1323" s="4"/>
      <c r="AQ1323" s="4"/>
    </row>
    <row r="1324" spans="6:43">
      <c r="F1324" s="4"/>
      <c r="H1324" s="11"/>
      <c r="I1324" s="4"/>
      <c r="K1324" s="4"/>
      <c r="M1324" s="4"/>
      <c r="O1324" s="4"/>
      <c r="P1324" s="4"/>
      <c r="Q1324" s="4"/>
      <c r="R1324" s="4"/>
      <c r="X1324" s="4"/>
      <c r="Y1324" s="4"/>
      <c r="Z1324" s="4"/>
      <c r="AA1324" s="4"/>
      <c r="AB1324" s="4"/>
      <c r="AE1324" s="4"/>
      <c r="AF1324" s="4"/>
      <c r="AI1324" s="4"/>
      <c r="AQ1324" s="4"/>
    </row>
    <row r="1325" spans="6:43">
      <c r="F1325" s="4"/>
      <c r="H1325" s="11"/>
      <c r="I1325" s="4"/>
      <c r="K1325" s="4"/>
      <c r="M1325" s="4"/>
      <c r="O1325" s="4"/>
      <c r="P1325" s="4"/>
      <c r="Q1325" s="4"/>
      <c r="R1325" s="4"/>
      <c r="X1325" s="4"/>
      <c r="Y1325" s="4"/>
      <c r="Z1325" s="4"/>
      <c r="AA1325" s="4"/>
      <c r="AB1325" s="4"/>
      <c r="AE1325" s="4"/>
      <c r="AF1325" s="4"/>
      <c r="AI1325" s="4"/>
      <c r="AQ1325" s="4"/>
    </row>
    <row r="1326" spans="6:43">
      <c r="F1326" s="4"/>
      <c r="H1326" s="11"/>
      <c r="I1326" s="4"/>
      <c r="K1326" s="4"/>
      <c r="M1326" s="4"/>
      <c r="O1326" s="4"/>
      <c r="P1326" s="4"/>
      <c r="Q1326" s="4"/>
      <c r="R1326" s="4"/>
      <c r="X1326" s="4"/>
      <c r="Y1326" s="4"/>
      <c r="Z1326" s="4"/>
      <c r="AA1326" s="4"/>
      <c r="AB1326" s="4"/>
      <c r="AE1326" s="4"/>
      <c r="AF1326" s="4"/>
      <c r="AI1326" s="4"/>
      <c r="AQ1326" s="4"/>
    </row>
    <row r="1327" spans="6:43">
      <c r="F1327" s="4"/>
      <c r="H1327" s="11"/>
      <c r="I1327" s="4"/>
      <c r="K1327" s="4"/>
      <c r="M1327" s="4"/>
      <c r="O1327" s="4"/>
      <c r="P1327" s="4"/>
      <c r="Q1327" s="4"/>
      <c r="R1327" s="4"/>
      <c r="X1327" s="4"/>
      <c r="Y1327" s="4"/>
      <c r="Z1327" s="4"/>
      <c r="AA1327" s="4"/>
      <c r="AB1327" s="4"/>
      <c r="AE1327" s="4"/>
      <c r="AF1327" s="4"/>
      <c r="AI1327" s="4"/>
      <c r="AQ1327" s="4"/>
    </row>
    <row r="1328" spans="6:43">
      <c r="F1328" s="4"/>
      <c r="H1328" s="11"/>
      <c r="I1328" s="4"/>
      <c r="K1328" s="4"/>
      <c r="M1328" s="4"/>
      <c r="O1328" s="4"/>
      <c r="P1328" s="4"/>
      <c r="Q1328" s="4"/>
      <c r="R1328" s="4"/>
      <c r="X1328" s="4"/>
      <c r="Y1328" s="4"/>
      <c r="Z1328" s="4"/>
      <c r="AA1328" s="4"/>
      <c r="AB1328" s="4"/>
      <c r="AE1328" s="4"/>
      <c r="AF1328" s="4"/>
      <c r="AI1328" s="4"/>
      <c r="AQ1328" s="4"/>
    </row>
    <row r="1329" spans="6:43">
      <c r="F1329" s="4"/>
      <c r="H1329" s="11"/>
      <c r="I1329" s="4"/>
      <c r="K1329" s="4"/>
      <c r="M1329" s="4"/>
      <c r="O1329" s="4"/>
      <c r="P1329" s="4"/>
      <c r="Q1329" s="4"/>
      <c r="R1329" s="4"/>
      <c r="X1329" s="4"/>
      <c r="Y1329" s="4"/>
      <c r="Z1329" s="4"/>
      <c r="AA1329" s="4"/>
      <c r="AB1329" s="4"/>
      <c r="AE1329" s="4"/>
      <c r="AF1329" s="4"/>
      <c r="AI1329" s="4"/>
      <c r="AQ1329" s="4"/>
    </row>
    <row r="1330" spans="6:43">
      <c r="F1330" s="4"/>
      <c r="H1330" s="11"/>
      <c r="I1330" s="4"/>
      <c r="K1330" s="4"/>
      <c r="M1330" s="4"/>
      <c r="O1330" s="4"/>
      <c r="P1330" s="4"/>
      <c r="Q1330" s="4"/>
      <c r="R1330" s="4"/>
      <c r="X1330" s="4"/>
      <c r="Y1330" s="4"/>
      <c r="Z1330" s="4"/>
      <c r="AA1330" s="4"/>
      <c r="AB1330" s="4"/>
      <c r="AE1330" s="4"/>
      <c r="AF1330" s="4"/>
      <c r="AI1330" s="4"/>
      <c r="AQ1330" s="4"/>
    </row>
    <row r="1331" spans="6:43">
      <c r="F1331" s="4"/>
      <c r="H1331" s="11"/>
      <c r="I1331" s="4"/>
      <c r="K1331" s="4"/>
      <c r="M1331" s="4"/>
      <c r="O1331" s="4"/>
      <c r="P1331" s="4"/>
      <c r="Q1331" s="4"/>
      <c r="R1331" s="4"/>
      <c r="X1331" s="4"/>
      <c r="Y1331" s="4"/>
      <c r="Z1331" s="4"/>
      <c r="AA1331" s="4"/>
      <c r="AB1331" s="4"/>
      <c r="AE1331" s="4"/>
      <c r="AF1331" s="4"/>
      <c r="AI1331" s="4"/>
      <c r="AQ1331" s="4"/>
    </row>
    <row r="1332" spans="6:43">
      <c r="F1332" s="4"/>
      <c r="H1332" s="11"/>
      <c r="I1332" s="4"/>
      <c r="K1332" s="4"/>
      <c r="M1332" s="4"/>
      <c r="O1332" s="4"/>
      <c r="P1332" s="4"/>
      <c r="Q1332" s="4"/>
      <c r="R1332" s="4"/>
      <c r="X1332" s="4"/>
      <c r="Y1332" s="4"/>
      <c r="Z1332" s="4"/>
      <c r="AA1332" s="4"/>
      <c r="AB1332" s="4"/>
      <c r="AE1332" s="4"/>
      <c r="AF1332" s="4"/>
      <c r="AI1332" s="4"/>
      <c r="AQ1332" s="4"/>
    </row>
    <row r="1333" spans="6:43">
      <c r="F1333" s="4"/>
      <c r="H1333" s="11"/>
      <c r="I1333" s="4"/>
      <c r="K1333" s="4"/>
      <c r="M1333" s="4"/>
      <c r="O1333" s="4"/>
      <c r="P1333" s="4"/>
      <c r="Q1333" s="4"/>
      <c r="R1333" s="4"/>
      <c r="X1333" s="4"/>
      <c r="Y1333" s="4"/>
      <c r="Z1333" s="4"/>
      <c r="AA1333" s="4"/>
      <c r="AB1333" s="4"/>
      <c r="AE1333" s="4"/>
      <c r="AF1333" s="4"/>
      <c r="AI1333" s="4"/>
      <c r="AQ1333" s="4"/>
    </row>
    <row r="1334" spans="6:43">
      <c r="F1334" s="4"/>
      <c r="H1334" s="11"/>
      <c r="I1334" s="4"/>
      <c r="K1334" s="4"/>
      <c r="M1334" s="4"/>
      <c r="O1334" s="4"/>
      <c r="P1334" s="4"/>
      <c r="Q1334" s="4"/>
      <c r="R1334" s="4"/>
      <c r="X1334" s="4"/>
      <c r="Y1334" s="4"/>
      <c r="Z1334" s="4"/>
      <c r="AA1334" s="4"/>
      <c r="AB1334" s="4"/>
      <c r="AE1334" s="4"/>
      <c r="AF1334" s="4"/>
      <c r="AI1334" s="4"/>
      <c r="AQ1334" s="4"/>
    </row>
    <row r="1335" spans="6:43">
      <c r="F1335" s="4"/>
      <c r="H1335" s="11"/>
      <c r="I1335" s="4"/>
      <c r="K1335" s="4"/>
      <c r="M1335" s="4"/>
      <c r="O1335" s="4"/>
      <c r="P1335" s="4"/>
      <c r="Q1335" s="4"/>
      <c r="R1335" s="4"/>
      <c r="X1335" s="4"/>
      <c r="Y1335" s="4"/>
      <c r="Z1335" s="4"/>
      <c r="AA1335" s="4"/>
      <c r="AB1335" s="4"/>
      <c r="AE1335" s="4"/>
      <c r="AF1335" s="4"/>
      <c r="AI1335" s="4"/>
      <c r="AQ1335" s="4"/>
    </row>
    <row r="1336" spans="6:43">
      <c r="F1336" s="4"/>
      <c r="H1336" s="11"/>
      <c r="I1336" s="4"/>
      <c r="K1336" s="4"/>
      <c r="M1336" s="4"/>
      <c r="O1336" s="4"/>
      <c r="P1336" s="4"/>
      <c r="Q1336" s="4"/>
      <c r="R1336" s="4"/>
      <c r="X1336" s="4"/>
      <c r="Y1336" s="4"/>
      <c r="Z1336" s="4"/>
      <c r="AA1336" s="4"/>
      <c r="AB1336" s="4"/>
      <c r="AE1336" s="4"/>
      <c r="AF1336" s="4"/>
      <c r="AI1336" s="4"/>
      <c r="AQ1336" s="4"/>
    </row>
    <row r="1337" spans="6:43">
      <c r="F1337" s="4"/>
      <c r="H1337" s="11"/>
      <c r="I1337" s="4"/>
      <c r="K1337" s="4"/>
      <c r="M1337" s="4"/>
      <c r="O1337" s="4"/>
      <c r="P1337" s="4"/>
      <c r="Q1337" s="4"/>
      <c r="R1337" s="4"/>
      <c r="X1337" s="4"/>
      <c r="Y1337" s="4"/>
      <c r="Z1337" s="4"/>
      <c r="AA1337" s="4"/>
      <c r="AB1337" s="4"/>
      <c r="AE1337" s="4"/>
      <c r="AF1337" s="4"/>
      <c r="AI1337" s="4"/>
      <c r="AQ1337" s="4"/>
    </row>
    <row r="1338" spans="6:43">
      <c r="F1338" s="4"/>
      <c r="H1338" s="11"/>
      <c r="I1338" s="4"/>
      <c r="K1338" s="4"/>
      <c r="M1338" s="4"/>
      <c r="O1338" s="4"/>
      <c r="P1338" s="4"/>
      <c r="Q1338" s="4"/>
      <c r="R1338" s="4"/>
      <c r="X1338" s="4"/>
      <c r="Y1338" s="4"/>
      <c r="Z1338" s="4"/>
      <c r="AA1338" s="4"/>
      <c r="AB1338" s="4"/>
      <c r="AE1338" s="4"/>
      <c r="AF1338" s="4"/>
      <c r="AI1338" s="4"/>
      <c r="AQ1338" s="4"/>
    </row>
    <row r="1339" spans="6:43">
      <c r="F1339" s="4"/>
      <c r="H1339" s="11"/>
      <c r="I1339" s="4"/>
      <c r="K1339" s="4"/>
      <c r="M1339" s="4"/>
      <c r="O1339" s="4"/>
      <c r="P1339" s="4"/>
      <c r="Q1339" s="4"/>
      <c r="R1339" s="4"/>
      <c r="X1339" s="4"/>
      <c r="Y1339" s="4"/>
      <c r="Z1339" s="4"/>
      <c r="AA1339" s="4"/>
      <c r="AB1339" s="4"/>
      <c r="AE1339" s="4"/>
      <c r="AF1339" s="4"/>
      <c r="AI1339" s="4"/>
      <c r="AQ1339" s="4"/>
    </row>
    <row r="1340" spans="6:43">
      <c r="F1340" s="4"/>
      <c r="H1340" s="11"/>
      <c r="I1340" s="4"/>
      <c r="K1340" s="4"/>
      <c r="M1340" s="4"/>
      <c r="O1340" s="4"/>
      <c r="P1340" s="4"/>
      <c r="Q1340" s="4"/>
      <c r="R1340" s="4"/>
      <c r="X1340" s="4"/>
      <c r="Y1340" s="4"/>
      <c r="Z1340" s="4"/>
      <c r="AA1340" s="4"/>
      <c r="AB1340" s="4"/>
      <c r="AE1340" s="4"/>
      <c r="AF1340" s="4"/>
      <c r="AI1340" s="4"/>
      <c r="AQ1340" s="4"/>
    </row>
    <row r="1341" spans="6:43">
      <c r="F1341" s="4"/>
      <c r="H1341" s="11"/>
      <c r="I1341" s="4"/>
      <c r="K1341" s="4"/>
      <c r="M1341" s="4"/>
      <c r="O1341" s="4"/>
      <c r="P1341" s="4"/>
      <c r="Q1341" s="4"/>
      <c r="R1341" s="4"/>
      <c r="X1341" s="4"/>
      <c r="Y1341" s="4"/>
      <c r="Z1341" s="4"/>
      <c r="AA1341" s="4"/>
      <c r="AB1341" s="4"/>
      <c r="AE1341" s="4"/>
      <c r="AF1341" s="4"/>
      <c r="AI1341" s="4"/>
      <c r="AQ1341" s="4"/>
    </row>
    <row r="1342" spans="6:43">
      <c r="F1342" s="4"/>
      <c r="H1342" s="11"/>
      <c r="I1342" s="4"/>
      <c r="K1342" s="4"/>
      <c r="M1342" s="4"/>
      <c r="O1342" s="4"/>
      <c r="P1342" s="4"/>
      <c r="Q1342" s="4"/>
      <c r="R1342" s="4"/>
      <c r="X1342" s="4"/>
      <c r="Y1342" s="4"/>
      <c r="Z1342" s="4"/>
      <c r="AA1342" s="4"/>
      <c r="AB1342" s="4"/>
      <c r="AE1342" s="4"/>
      <c r="AF1342" s="4"/>
      <c r="AI1342" s="4"/>
      <c r="AQ1342" s="4"/>
    </row>
    <row r="1343" spans="6:43">
      <c r="F1343" s="4"/>
      <c r="H1343" s="11"/>
      <c r="I1343" s="4"/>
      <c r="K1343" s="4"/>
      <c r="M1343" s="4"/>
      <c r="O1343" s="4"/>
      <c r="P1343" s="4"/>
      <c r="Q1343" s="4"/>
      <c r="R1343" s="4"/>
      <c r="X1343" s="4"/>
      <c r="Y1343" s="4"/>
      <c r="Z1343" s="4"/>
      <c r="AA1343" s="4"/>
      <c r="AB1343" s="4"/>
      <c r="AE1343" s="4"/>
      <c r="AF1343" s="4"/>
      <c r="AI1343" s="4"/>
      <c r="AQ1343" s="4"/>
    </row>
    <row r="1344" spans="6:43">
      <c r="F1344" s="4"/>
      <c r="H1344" s="11"/>
      <c r="I1344" s="4"/>
      <c r="K1344" s="4"/>
      <c r="M1344" s="4"/>
      <c r="O1344" s="4"/>
      <c r="P1344" s="4"/>
      <c r="Q1344" s="4"/>
      <c r="R1344" s="4"/>
      <c r="X1344" s="4"/>
      <c r="Y1344" s="4"/>
      <c r="Z1344" s="4"/>
      <c r="AA1344" s="4"/>
      <c r="AB1344" s="4"/>
      <c r="AE1344" s="4"/>
      <c r="AF1344" s="4"/>
      <c r="AI1344" s="4"/>
      <c r="AQ1344" s="4"/>
    </row>
    <row r="1345" spans="6:43">
      <c r="F1345" s="4"/>
      <c r="H1345" s="11"/>
      <c r="I1345" s="4"/>
      <c r="K1345" s="4"/>
      <c r="M1345" s="4"/>
      <c r="O1345" s="4"/>
      <c r="P1345" s="4"/>
      <c r="Q1345" s="4"/>
      <c r="R1345" s="4"/>
      <c r="X1345" s="4"/>
      <c r="Y1345" s="4"/>
      <c r="Z1345" s="4"/>
      <c r="AA1345" s="4"/>
      <c r="AB1345" s="4"/>
      <c r="AE1345" s="4"/>
      <c r="AF1345" s="4"/>
      <c r="AI1345" s="4"/>
      <c r="AQ1345" s="4"/>
    </row>
    <row r="1346" spans="6:43">
      <c r="F1346" s="4"/>
      <c r="H1346" s="11"/>
      <c r="I1346" s="4"/>
      <c r="K1346" s="4"/>
      <c r="M1346" s="4"/>
      <c r="O1346" s="4"/>
      <c r="P1346" s="4"/>
      <c r="Q1346" s="4"/>
      <c r="R1346" s="4"/>
      <c r="X1346" s="4"/>
      <c r="Y1346" s="4"/>
      <c r="Z1346" s="4"/>
      <c r="AA1346" s="4"/>
      <c r="AB1346" s="4"/>
      <c r="AE1346" s="4"/>
      <c r="AF1346" s="4"/>
      <c r="AI1346" s="4"/>
      <c r="AQ1346" s="4"/>
    </row>
    <row r="1347" spans="6:43">
      <c r="F1347" s="4"/>
      <c r="H1347" s="11"/>
      <c r="I1347" s="4"/>
      <c r="K1347" s="4"/>
      <c r="M1347" s="4"/>
      <c r="O1347" s="4"/>
      <c r="P1347" s="4"/>
      <c r="Q1347" s="4"/>
      <c r="R1347" s="4"/>
      <c r="X1347" s="4"/>
      <c r="Y1347" s="4"/>
      <c r="Z1347" s="4"/>
      <c r="AA1347" s="4"/>
      <c r="AB1347" s="4"/>
      <c r="AE1347" s="4"/>
      <c r="AF1347" s="4"/>
      <c r="AI1347" s="4"/>
      <c r="AQ1347" s="4"/>
    </row>
    <row r="1348" spans="6:43">
      <c r="F1348" s="4"/>
      <c r="H1348" s="11"/>
      <c r="I1348" s="4"/>
      <c r="K1348" s="4"/>
      <c r="M1348" s="4"/>
      <c r="O1348" s="4"/>
      <c r="P1348" s="4"/>
      <c r="Q1348" s="4"/>
      <c r="R1348" s="4"/>
      <c r="X1348" s="4"/>
      <c r="Y1348" s="4"/>
      <c r="Z1348" s="4"/>
      <c r="AA1348" s="4"/>
      <c r="AB1348" s="4"/>
      <c r="AE1348" s="4"/>
      <c r="AF1348" s="4"/>
      <c r="AI1348" s="4"/>
      <c r="AQ1348" s="4"/>
    </row>
    <row r="1349" spans="6:43">
      <c r="F1349" s="4"/>
      <c r="H1349" s="11"/>
      <c r="I1349" s="4"/>
      <c r="K1349" s="4"/>
      <c r="M1349" s="4"/>
      <c r="O1349" s="4"/>
      <c r="P1349" s="4"/>
      <c r="Q1349" s="4"/>
      <c r="R1349" s="4"/>
      <c r="X1349" s="4"/>
      <c r="Y1349" s="4"/>
      <c r="Z1349" s="4"/>
      <c r="AA1349" s="4"/>
      <c r="AB1349" s="4"/>
      <c r="AE1349" s="4"/>
      <c r="AF1349" s="4"/>
      <c r="AI1349" s="4"/>
      <c r="AQ1349" s="4"/>
    </row>
    <row r="1350" spans="6:43">
      <c r="F1350" s="4"/>
      <c r="H1350" s="11"/>
      <c r="I1350" s="4"/>
      <c r="K1350" s="4"/>
      <c r="M1350" s="4"/>
      <c r="O1350" s="4"/>
      <c r="P1350" s="4"/>
      <c r="Q1350" s="4"/>
      <c r="R1350" s="4"/>
      <c r="X1350" s="4"/>
      <c r="Y1350" s="4"/>
      <c r="Z1350" s="4"/>
      <c r="AA1350" s="4"/>
      <c r="AB1350" s="4"/>
      <c r="AE1350" s="4"/>
      <c r="AF1350" s="4"/>
      <c r="AI1350" s="4"/>
      <c r="AQ1350" s="4"/>
    </row>
    <row r="1351" spans="6:43">
      <c r="F1351" s="4"/>
      <c r="H1351" s="11"/>
      <c r="I1351" s="4"/>
      <c r="K1351" s="4"/>
      <c r="M1351" s="4"/>
      <c r="O1351" s="4"/>
      <c r="P1351" s="4"/>
      <c r="Q1351" s="4"/>
      <c r="R1351" s="4"/>
      <c r="X1351" s="4"/>
      <c r="Y1351" s="4"/>
      <c r="Z1351" s="4"/>
      <c r="AA1351" s="4"/>
      <c r="AB1351" s="4"/>
      <c r="AE1351" s="4"/>
      <c r="AF1351" s="4"/>
      <c r="AI1351" s="4"/>
      <c r="AQ1351" s="4"/>
    </row>
    <row r="1352" spans="6:43">
      <c r="F1352" s="4"/>
      <c r="H1352" s="11"/>
      <c r="I1352" s="4"/>
      <c r="K1352" s="4"/>
      <c r="M1352" s="4"/>
      <c r="O1352" s="4"/>
      <c r="P1352" s="4"/>
      <c r="Q1352" s="4"/>
      <c r="R1352" s="4"/>
      <c r="X1352" s="4"/>
      <c r="Y1352" s="4"/>
      <c r="Z1352" s="4"/>
      <c r="AA1352" s="4"/>
      <c r="AB1352" s="4"/>
      <c r="AE1352" s="4"/>
      <c r="AF1352" s="4"/>
      <c r="AI1352" s="4"/>
      <c r="AQ1352" s="4"/>
    </row>
    <row r="1353" spans="6:43">
      <c r="F1353" s="4"/>
      <c r="H1353" s="11"/>
      <c r="I1353" s="4"/>
      <c r="K1353" s="4"/>
      <c r="M1353" s="4"/>
      <c r="O1353" s="4"/>
      <c r="P1353" s="4"/>
      <c r="Q1353" s="4"/>
      <c r="R1353" s="4"/>
      <c r="X1353" s="4"/>
      <c r="Y1353" s="4"/>
      <c r="Z1353" s="4"/>
      <c r="AA1353" s="4"/>
      <c r="AB1353" s="4"/>
      <c r="AE1353" s="4"/>
      <c r="AF1353" s="4"/>
      <c r="AI1353" s="4"/>
      <c r="AQ1353" s="4"/>
    </row>
    <row r="1354" spans="6:43">
      <c r="F1354" s="4"/>
      <c r="H1354" s="11"/>
      <c r="I1354" s="4"/>
      <c r="K1354" s="4"/>
      <c r="M1354" s="4"/>
      <c r="O1354" s="4"/>
      <c r="P1354" s="4"/>
      <c r="Q1354" s="4"/>
      <c r="R1354" s="4"/>
      <c r="X1354" s="4"/>
      <c r="Y1354" s="4"/>
      <c r="Z1354" s="4"/>
      <c r="AA1354" s="4"/>
      <c r="AB1354" s="4"/>
      <c r="AE1354" s="4"/>
      <c r="AF1354" s="4"/>
      <c r="AI1354" s="4"/>
      <c r="AQ1354" s="4"/>
    </row>
    <row r="1355" spans="6:43">
      <c r="F1355" s="4"/>
      <c r="H1355" s="11"/>
      <c r="I1355" s="4"/>
      <c r="K1355" s="4"/>
      <c r="M1355" s="4"/>
      <c r="O1355" s="4"/>
      <c r="P1355" s="4"/>
      <c r="Q1355" s="4"/>
      <c r="R1355" s="4"/>
      <c r="X1355" s="4"/>
      <c r="Y1355" s="4"/>
      <c r="Z1355" s="4"/>
      <c r="AA1355" s="4"/>
      <c r="AB1355" s="4"/>
      <c r="AE1355" s="4"/>
      <c r="AF1355" s="4"/>
      <c r="AI1355" s="4"/>
      <c r="AQ1355" s="4"/>
    </row>
    <row r="1356" spans="6:43">
      <c r="F1356" s="4"/>
      <c r="H1356" s="11"/>
      <c r="I1356" s="4"/>
      <c r="K1356" s="4"/>
      <c r="M1356" s="4"/>
      <c r="O1356" s="4"/>
      <c r="P1356" s="4"/>
      <c r="Q1356" s="4"/>
      <c r="R1356" s="4"/>
      <c r="X1356" s="4"/>
      <c r="Y1356" s="4"/>
      <c r="Z1356" s="4"/>
      <c r="AA1356" s="4"/>
      <c r="AB1356" s="4"/>
      <c r="AE1356" s="4"/>
      <c r="AF1356" s="4"/>
      <c r="AI1356" s="4"/>
      <c r="AQ1356" s="4"/>
    </row>
    <row r="1357" spans="6:43">
      <c r="F1357" s="4"/>
      <c r="H1357" s="11"/>
      <c r="I1357" s="4"/>
      <c r="K1357" s="4"/>
      <c r="M1357" s="4"/>
      <c r="O1357" s="4"/>
      <c r="P1357" s="4"/>
      <c r="Q1357" s="4"/>
      <c r="R1357" s="4"/>
      <c r="X1357" s="4"/>
      <c r="Y1357" s="4"/>
      <c r="Z1357" s="4"/>
      <c r="AA1357" s="4"/>
      <c r="AB1357" s="4"/>
      <c r="AE1357" s="4"/>
      <c r="AF1357" s="4"/>
      <c r="AI1357" s="4"/>
      <c r="AQ1357" s="4"/>
    </row>
    <row r="1358" spans="6:43">
      <c r="F1358" s="4"/>
      <c r="H1358" s="11"/>
      <c r="I1358" s="4"/>
      <c r="K1358" s="4"/>
      <c r="M1358" s="4"/>
      <c r="O1358" s="4"/>
      <c r="P1358" s="4"/>
      <c r="Q1358" s="4"/>
      <c r="R1358" s="4"/>
      <c r="X1358" s="4"/>
      <c r="Y1358" s="4"/>
      <c r="Z1358" s="4"/>
      <c r="AA1358" s="4"/>
      <c r="AB1358" s="4"/>
      <c r="AE1358" s="4"/>
      <c r="AF1358" s="4"/>
      <c r="AI1358" s="4"/>
      <c r="AQ1358" s="4"/>
    </row>
    <row r="1359" spans="6:43">
      <c r="F1359" s="4"/>
      <c r="H1359" s="11"/>
      <c r="I1359" s="4"/>
      <c r="K1359" s="4"/>
      <c r="M1359" s="4"/>
      <c r="O1359" s="4"/>
      <c r="P1359" s="4"/>
      <c r="Q1359" s="4"/>
      <c r="R1359" s="4"/>
      <c r="X1359" s="4"/>
      <c r="Y1359" s="4"/>
      <c r="Z1359" s="4"/>
      <c r="AA1359" s="4"/>
      <c r="AB1359" s="4"/>
      <c r="AE1359" s="4"/>
      <c r="AF1359" s="4"/>
      <c r="AI1359" s="4"/>
      <c r="AQ1359" s="4"/>
    </row>
    <row r="1360" spans="6:43">
      <c r="F1360" s="4"/>
      <c r="H1360" s="11"/>
      <c r="I1360" s="4"/>
      <c r="K1360" s="4"/>
      <c r="M1360" s="4"/>
      <c r="O1360" s="4"/>
      <c r="P1360" s="4"/>
      <c r="Q1360" s="4"/>
      <c r="R1360" s="4"/>
      <c r="X1360" s="4"/>
      <c r="Y1360" s="4"/>
      <c r="Z1360" s="4"/>
      <c r="AA1360" s="4"/>
      <c r="AB1360" s="4"/>
      <c r="AE1360" s="4"/>
      <c r="AF1360" s="4"/>
      <c r="AI1360" s="4"/>
      <c r="AQ1360" s="4"/>
    </row>
    <row r="1361" spans="6:43">
      <c r="F1361" s="4"/>
      <c r="H1361" s="11"/>
      <c r="I1361" s="4"/>
      <c r="K1361" s="4"/>
      <c r="M1361" s="4"/>
      <c r="O1361" s="4"/>
      <c r="P1361" s="4"/>
      <c r="Q1361" s="4"/>
      <c r="R1361" s="4"/>
      <c r="X1361" s="4"/>
      <c r="Y1361" s="4"/>
      <c r="Z1361" s="4"/>
      <c r="AA1361" s="4"/>
      <c r="AB1361" s="4"/>
      <c r="AE1361" s="4"/>
      <c r="AF1361" s="4"/>
      <c r="AI1361" s="4"/>
      <c r="AQ1361" s="4"/>
    </row>
    <row r="1362" spans="6:43">
      <c r="F1362" s="4"/>
      <c r="H1362" s="11"/>
      <c r="I1362" s="4"/>
      <c r="K1362" s="4"/>
      <c r="M1362" s="4"/>
      <c r="O1362" s="4"/>
      <c r="P1362" s="4"/>
      <c r="Q1362" s="4"/>
      <c r="R1362" s="4"/>
      <c r="X1362" s="4"/>
      <c r="Y1362" s="4"/>
      <c r="Z1362" s="4"/>
      <c r="AA1362" s="4"/>
      <c r="AB1362" s="4"/>
      <c r="AE1362" s="4"/>
      <c r="AF1362" s="4"/>
      <c r="AI1362" s="4"/>
      <c r="AQ1362" s="4"/>
    </row>
    <row r="1363" spans="6:43">
      <c r="F1363" s="4"/>
      <c r="H1363" s="11"/>
      <c r="I1363" s="4"/>
      <c r="K1363" s="4"/>
      <c r="M1363" s="4"/>
      <c r="O1363" s="4"/>
      <c r="P1363" s="4"/>
      <c r="Q1363" s="4"/>
      <c r="R1363" s="4"/>
      <c r="X1363" s="4"/>
      <c r="Y1363" s="4"/>
      <c r="Z1363" s="4"/>
      <c r="AA1363" s="4"/>
      <c r="AB1363" s="4"/>
      <c r="AE1363" s="4"/>
      <c r="AF1363" s="4"/>
      <c r="AI1363" s="4"/>
      <c r="AQ1363" s="4"/>
    </row>
    <row r="1364" spans="6:43">
      <c r="F1364" s="4"/>
      <c r="H1364" s="11"/>
      <c r="I1364" s="4"/>
      <c r="K1364" s="4"/>
      <c r="M1364" s="4"/>
      <c r="O1364" s="4"/>
      <c r="P1364" s="4"/>
      <c r="Q1364" s="4"/>
      <c r="R1364" s="4"/>
      <c r="X1364" s="4"/>
      <c r="Y1364" s="4"/>
      <c r="Z1364" s="4"/>
      <c r="AA1364" s="4"/>
      <c r="AB1364" s="4"/>
      <c r="AE1364" s="4"/>
      <c r="AF1364" s="4"/>
      <c r="AI1364" s="4"/>
      <c r="AQ1364" s="4"/>
    </row>
    <row r="1365" spans="6:43">
      <c r="F1365" s="4"/>
      <c r="H1365" s="11"/>
      <c r="I1365" s="4"/>
      <c r="K1365" s="4"/>
      <c r="M1365" s="4"/>
      <c r="O1365" s="4"/>
      <c r="P1365" s="4"/>
      <c r="Q1365" s="4"/>
      <c r="R1365" s="4"/>
      <c r="X1365" s="4"/>
      <c r="Y1365" s="4"/>
      <c r="Z1365" s="4"/>
      <c r="AA1365" s="4"/>
      <c r="AB1365" s="4"/>
      <c r="AE1365" s="4"/>
      <c r="AF1365" s="4"/>
      <c r="AI1365" s="4"/>
      <c r="AQ1365" s="4"/>
    </row>
    <row r="1366" spans="6:43">
      <c r="F1366" s="4"/>
      <c r="H1366" s="11"/>
      <c r="I1366" s="4"/>
      <c r="K1366" s="4"/>
      <c r="M1366" s="4"/>
      <c r="O1366" s="4"/>
      <c r="P1366" s="4"/>
      <c r="Q1366" s="4"/>
      <c r="R1366" s="4"/>
      <c r="X1366" s="4"/>
      <c r="Y1366" s="4"/>
      <c r="Z1366" s="4"/>
      <c r="AA1366" s="4"/>
      <c r="AB1366" s="4"/>
      <c r="AE1366" s="4"/>
      <c r="AF1366" s="4"/>
      <c r="AI1366" s="4"/>
      <c r="AQ1366" s="4"/>
    </row>
    <row r="1367" spans="6:43">
      <c r="F1367" s="4"/>
      <c r="H1367" s="11"/>
      <c r="I1367" s="4"/>
      <c r="K1367" s="4"/>
      <c r="M1367" s="4"/>
      <c r="O1367" s="4"/>
      <c r="P1367" s="4"/>
      <c r="Q1367" s="4"/>
      <c r="R1367" s="4"/>
      <c r="X1367" s="4"/>
      <c r="Y1367" s="4"/>
      <c r="Z1367" s="4"/>
      <c r="AA1367" s="4"/>
      <c r="AB1367" s="4"/>
      <c r="AE1367" s="4"/>
      <c r="AF1367" s="4"/>
      <c r="AI1367" s="4"/>
      <c r="AQ1367" s="4"/>
    </row>
    <row r="1368" spans="6:43">
      <c r="F1368" s="4"/>
      <c r="H1368" s="11"/>
      <c r="I1368" s="4"/>
      <c r="K1368" s="4"/>
      <c r="M1368" s="4"/>
      <c r="O1368" s="4"/>
      <c r="P1368" s="4"/>
      <c r="Q1368" s="4"/>
      <c r="R1368" s="4"/>
      <c r="X1368" s="4"/>
      <c r="Y1368" s="4"/>
      <c r="Z1368" s="4"/>
      <c r="AA1368" s="4"/>
      <c r="AB1368" s="4"/>
      <c r="AE1368" s="4"/>
      <c r="AF1368" s="4"/>
      <c r="AI1368" s="4"/>
      <c r="AQ1368" s="4"/>
    </row>
    <row r="1369" spans="6:43">
      <c r="F1369" s="4"/>
      <c r="H1369" s="11"/>
      <c r="I1369" s="4"/>
      <c r="K1369" s="4"/>
      <c r="M1369" s="4"/>
      <c r="O1369" s="4"/>
      <c r="P1369" s="4"/>
      <c r="Q1369" s="4"/>
      <c r="R1369" s="4"/>
      <c r="X1369" s="4"/>
      <c r="Y1369" s="4"/>
      <c r="Z1369" s="4"/>
      <c r="AA1369" s="4"/>
      <c r="AB1369" s="4"/>
      <c r="AE1369" s="4"/>
      <c r="AF1369" s="4"/>
      <c r="AI1369" s="4"/>
      <c r="AQ1369" s="4"/>
    </row>
    <row r="1370" spans="6:43">
      <c r="F1370" s="4"/>
      <c r="H1370" s="11"/>
      <c r="I1370" s="4"/>
      <c r="K1370" s="4"/>
      <c r="M1370" s="4"/>
      <c r="O1370" s="4"/>
      <c r="P1370" s="4"/>
      <c r="Q1370" s="4"/>
      <c r="R1370" s="4"/>
      <c r="X1370" s="4"/>
      <c r="Y1370" s="4"/>
      <c r="Z1370" s="4"/>
      <c r="AA1370" s="4"/>
      <c r="AB1370" s="4"/>
      <c r="AE1370" s="4"/>
      <c r="AF1370" s="4"/>
      <c r="AI1370" s="4"/>
      <c r="AQ1370" s="4"/>
    </row>
    <row r="1371" spans="6:43">
      <c r="F1371" s="4"/>
      <c r="H1371" s="11"/>
      <c r="I1371" s="4"/>
      <c r="K1371" s="4"/>
      <c r="M1371" s="4"/>
      <c r="O1371" s="4"/>
      <c r="P1371" s="4"/>
      <c r="Q1371" s="4"/>
      <c r="R1371" s="4"/>
      <c r="X1371" s="4"/>
      <c r="Y1371" s="4"/>
      <c r="Z1371" s="4"/>
      <c r="AA1371" s="4"/>
      <c r="AB1371" s="4"/>
      <c r="AE1371" s="4"/>
      <c r="AF1371" s="4"/>
      <c r="AI1371" s="4"/>
      <c r="AQ1371" s="4"/>
    </row>
    <row r="1372" spans="6:43">
      <c r="F1372" s="4"/>
      <c r="H1372" s="11"/>
      <c r="I1372" s="4"/>
      <c r="K1372" s="4"/>
      <c r="M1372" s="4"/>
      <c r="O1372" s="4"/>
      <c r="P1372" s="4"/>
      <c r="Q1372" s="4"/>
      <c r="R1372" s="4"/>
      <c r="X1372" s="4"/>
      <c r="Y1372" s="4"/>
      <c r="Z1372" s="4"/>
      <c r="AA1372" s="4"/>
      <c r="AB1372" s="4"/>
      <c r="AE1372" s="4"/>
      <c r="AF1372" s="4"/>
      <c r="AI1372" s="4"/>
      <c r="AQ1372" s="4"/>
    </row>
    <row r="1373" spans="6:43">
      <c r="F1373" s="4"/>
      <c r="H1373" s="11"/>
      <c r="I1373" s="4"/>
      <c r="K1373" s="4"/>
      <c r="M1373" s="4"/>
      <c r="O1373" s="4"/>
      <c r="P1373" s="4"/>
      <c r="Q1373" s="4"/>
      <c r="R1373" s="4"/>
      <c r="X1373" s="4"/>
      <c r="Y1373" s="4"/>
      <c r="Z1373" s="4"/>
      <c r="AA1373" s="4"/>
      <c r="AB1373" s="4"/>
      <c r="AE1373" s="4"/>
      <c r="AF1373" s="4"/>
      <c r="AI1373" s="4"/>
      <c r="AQ1373" s="4"/>
    </row>
    <row r="1374" spans="6:43">
      <c r="F1374" s="4"/>
      <c r="H1374" s="11"/>
      <c r="I1374" s="4"/>
      <c r="K1374" s="4"/>
      <c r="M1374" s="4"/>
      <c r="O1374" s="4"/>
      <c r="P1374" s="4"/>
      <c r="Q1374" s="4"/>
      <c r="R1374" s="4"/>
      <c r="X1374" s="4"/>
      <c r="Y1374" s="4"/>
      <c r="Z1374" s="4"/>
      <c r="AA1374" s="4"/>
      <c r="AB1374" s="4"/>
      <c r="AE1374" s="4"/>
      <c r="AF1374" s="4"/>
      <c r="AI1374" s="4"/>
      <c r="AQ1374" s="4"/>
    </row>
    <row r="1375" spans="6:43">
      <c r="F1375" s="4"/>
      <c r="H1375" s="11"/>
      <c r="I1375" s="4"/>
      <c r="K1375" s="4"/>
      <c r="M1375" s="4"/>
      <c r="O1375" s="4"/>
      <c r="P1375" s="4"/>
      <c r="Q1375" s="4"/>
      <c r="R1375" s="4"/>
      <c r="X1375" s="4"/>
      <c r="Y1375" s="4"/>
      <c r="Z1375" s="4"/>
      <c r="AA1375" s="4"/>
      <c r="AB1375" s="4"/>
      <c r="AE1375" s="4"/>
      <c r="AF1375" s="4"/>
      <c r="AI1375" s="4"/>
      <c r="AQ1375" s="4"/>
    </row>
    <row r="1376" spans="6:43">
      <c r="F1376" s="4"/>
      <c r="H1376" s="11"/>
      <c r="I1376" s="4"/>
      <c r="K1376" s="4"/>
      <c r="M1376" s="4"/>
      <c r="O1376" s="4"/>
      <c r="P1376" s="4"/>
      <c r="Q1376" s="4"/>
      <c r="R1376" s="4"/>
      <c r="X1376" s="4"/>
      <c r="Y1376" s="4"/>
      <c r="Z1376" s="4"/>
      <c r="AA1376" s="4"/>
      <c r="AB1376" s="4"/>
      <c r="AE1376" s="4"/>
      <c r="AF1376" s="4"/>
      <c r="AI1376" s="4"/>
      <c r="AQ1376" s="4"/>
    </row>
    <row r="1377" spans="6:43">
      <c r="F1377" s="4"/>
      <c r="H1377" s="11"/>
      <c r="I1377" s="4"/>
      <c r="K1377" s="4"/>
      <c r="M1377" s="4"/>
      <c r="O1377" s="4"/>
      <c r="P1377" s="4"/>
      <c r="Q1377" s="4"/>
      <c r="R1377" s="4"/>
      <c r="X1377" s="4"/>
      <c r="Y1377" s="4"/>
      <c r="Z1377" s="4"/>
      <c r="AA1377" s="4"/>
      <c r="AB1377" s="4"/>
      <c r="AE1377" s="4"/>
      <c r="AF1377" s="4"/>
      <c r="AI1377" s="4"/>
      <c r="AQ1377" s="4"/>
    </row>
    <row r="1378" spans="6:43">
      <c r="F1378" s="4"/>
      <c r="H1378" s="11"/>
      <c r="I1378" s="4"/>
      <c r="K1378" s="4"/>
      <c r="M1378" s="4"/>
      <c r="O1378" s="4"/>
      <c r="P1378" s="4"/>
      <c r="Q1378" s="4"/>
      <c r="R1378" s="4"/>
      <c r="X1378" s="4"/>
      <c r="Y1378" s="4"/>
      <c r="Z1378" s="4"/>
      <c r="AA1378" s="4"/>
      <c r="AB1378" s="4"/>
      <c r="AE1378" s="4"/>
      <c r="AF1378" s="4"/>
      <c r="AI1378" s="4"/>
      <c r="AQ1378" s="4"/>
    </row>
    <row r="1379" spans="6:43">
      <c r="F1379" s="4"/>
      <c r="H1379" s="11"/>
      <c r="I1379" s="4"/>
      <c r="K1379" s="4"/>
      <c r="M1379" s="4"/>
      <c r="O1379" s="4"/>
      <c r="P1379" s="4"/>
      <c r="Q1379" s="4"/>
      <c r="R1379" s="4"/>
      <c r="X1379" s="4"/>
      <c r="Y1379" s="4"/>
      <c r="Z1379" s="4"/>
      <c r="AA1379" s="4"/>
      <c r="AB1379" s="4"/>
      <c r="AE1379" s="4"/>
      <c r="AF1379" s="4"/>
      <c r="AI1379" s="4"/>
      <c r="AQ1379" s="4"/>
    </row>
    <row r="1380" spans="6:43">
      <c r="F1380" s="4"/>
      <c r="H1380" s="11"/>
      <c r="I1380" s="4"/>
      <c r="K1380" s="4"/>
      <c r="M1380" s="4"/>
      <c r="O1380" s="4"/>
      <c r="P1380" s="4"/>
      <c r="Q1380" s="4"/>
      <c r="R1380" s="4"/>
      <c r="X1380" s="4"/>
      <c r="Y1380" s="4"/>
      <c r="Z1380" s="4"/>
      <c r="AA1380" s="4"/>
      <c r="AB1380" s="4"/>
      <c r="AE1380" s="4"/>
      <c r="AF1380" s="4"/>
      <c r="AI1380" s="4"/>
      <c r="AQ1380" s="4"/>
    </row>
    <row r="1381" spans="6:43">
      <c r="F1381" s="4"/>
      <c r="H1381" s="11"/>
      <c r="I1381" s="4"/>
      <c r="K1381" s="4"/>
      <c r="M1381" s="4"/>
      <c r="O1381" s="4"/>
      <c r="P1381" s="4"/>
      <c r="Q1381" s="4"/>
      <c r="R1381" s="4"/>
      <c r="X1381" s="4"/>
      <c r="Y1381" s="4"/>
      <c r="Z1381" s="4"/>
      <c r="AA1381" s="4"/>
      <c r="AB1381" s="4"/>
      <c r="AE1381" s="4"/>
      <c r="AF1381" s="4"/>
      <c r="AI1381" s="4"/>
      <c r="AQ1381" s="4"/>
    </row>
    <row r="1382" spans="6:43">
      <c r="F1382" s="4"/>
      <c r="H1382" s="11"/>
      <c r="I1382" s="4"/>
      <c r="K1382" s="4"/>
      <c r="M1382" s="4"/>
      <c r="O1382" s="4"/>
      <c r="P1382" s="4"/>
      <c r="Q1382" s="4"/>
      <c r="R1382" s="4"/>
      <c r="X1382" s="4"/>
      <c r="Y1382" s="4"/>
      <c r="Z1382" s="4"/>
      <c r="AA1382" s="4"/>
      <c r="AB1382" s="4"/>
      <c r="AE1382" s="4"/>
      <c r="AF1382" s="4"/>
      <c r="AI1382" s="4"/>
      <c r="AQ1382" s="4"/>
    </row>
    <row r="1383" spans="6:43">
      <c r="F1383" s="4"/>
      <c r="H1383" s="11"/>
      <c r="I1383" s="4"/>
      <c r="K1383" s="4"/>
      <c r="M1383" s="4"/>
      <c r="O1383" s="4"/>
      <c r="P1383" s="4"/>
      <c r="Q1383" s="4"/>
      <c r="R1383" s="4"/>
      <c r="X1383" s="4"/>
      <c r="Y1383" s="4"/>
      <c r="Z1383" s="4"/>
      <c r="AA1383" s="4"/>
      <c r="AB1383" s="4"/>
      <c r="AE1383" s="4"/>
      <c r="AF1383" s="4"/>
      <c r="AI1383" s="4"/>
      <c r="AQ1383" s="4"/>
    </row>
    <row r="1384" spans="6:43">
      <c r="F1384" s="4"/>
      <c r="H1384" s="11"/>
      <c r="I1384" s="4"/>
      <c r="K1384" s="4"/>
      <c r="M1384" s="4"/>
      <c r="O1384" s="4"/>
      <c r="P1384" s="4"/>
      <c r="Q1384" s="4"/>
      <c r="R1384" s="4"/>
      <c r="X1384" s="4"/>
      <c r="Y1384" s="4"/>
      <c r="Z1384" s="4"/>
      <c r="AA1384" s="4"/>
      <c r="AB1384" s="4"/>
      <c r="AE1384" s="4"/>
      <c r="AF1384" s="4"/>
      <c r="AI1384" s="4"/>
      <c r="AQ1384" s="4"/>
    </row>
    <row r="1385" spans="6:43">
      <c r="F1385" s="4"/>
      <c r="H1385" s="11"/>
      <c r="I1385" s="4"/>
      <c r="K1385" s="4"/>
      <c r="M1385" s="4"/>
      <c r="O1385" s="4"/>
      <c r="P1385" s="4"/>
      <c r="Q1385" s="4"/>
      <c r="R1385" s="4"/>
      <c r="X1385" s="4"/>
      <c r="Y1385" s="4"/>
      <c r="Z1385" s="4"/>
      <c r="AA1385" s="4"/>
      <c r="AB1385" s="4"/>
      <c r="AE1385" s="4"/>
      <c r="AF1385" s="4"/>
      <c r="AI1385" s="4"/>
      <c r="AQ1385" s="4"/>
    </row>
    <row r="1386" spans="6:43">
      <c r="F1386" s="4"/>
      <c r="H1386" s="11"/>
      <c r="I1386" s="4"/>
      <c r="K1386" s="4"/>
      <c r="M1386" s="4"/>
      <c r="O1386" s="4"/>
      <c r="P1386" s="4"/>
      <c r="Q1386" s="4"/>
      <c r="R1386" s="4"/>
      <c r="X1386" s="4"/>
      <c r="Y1386" s="4"/>
      <c r="Z1386" s="4"/>
      <c r="AA1386" s="4"/>
      <c r="AB1386" s="4"/>
      <c r="AE1386" s="4"/>
      <c r="AF1386" s="4"/>
      <c r="AI1386" s="4"/>
      <c r="AQ1386" s="4"/>
    </row>
    <row r="1387" spans="6:43">
      <c r="F1387" s="4"/>
      <c r="H1387" s="11"/>
      <c r="I1387" s="4"/>
      <c r="K1387" s="4"/>
      <c r="M1387" s="4"/>
      <c r="O1387" s="4"/>
      <c r="P1387" s="4"/>
      <c r="Q1387" s="4"/>
      <c r="R1387" s="4"/>
      <c r="X1387" s="4"/>
      <c r="Y1387" s="4"/>
      <c r="Z1387" s="4"/>
      <c r="AA1387" s="4"/>
      <c r="AB1387" s="4"/>
      <c r="AE1387" s="4"/>
      <c r="AF1387" s="4"/>
      <c r="AI1387" s="4"/>
      <c r="AQ1387" s="4"/>
    </row>
    <row r="1388" spans="6:43">
      <c r="F1388" s="4"/>
      <c r="H1388" s="11"/>
      <c r="I1388" s="4"/>
      <c r="K1388" s="4"/>
      <c r="M1388" s="4"/>
      <c r="O1388" s="4"/>
      <c r="P1388" s="4"/>
      <c r="Q1388" s="4"/>
      <c r="R1388" s="4"/>
      <c r="X1388" s="4"/>
      <c r="Y1388" s="4"/>
      <c r="Z1388" s="4"/>
      <c r="AA1388" s="4"/>
      <c r="AB1388" s="4"/>
      <c r="AE1388" s="4"/>
      <c r="AF1388" s="4"/>
      <c r="AI1388" s="4"/>
      <c r="AQ1388" s="4"/>
    </row>
    <row r="1389" spans="6:43">
      <c r="F1389" s="4"/>
      <c r="H1389" s="11"/>
      <c r="I1389" s="4"/>
      <c r="K1389" s="4"/>
      <c r="M1389" s="4"/>
      <c r="O1389" s="4"/>
      <c r="P1389" s="4"/>
      <c r="Q1389" s="4"/>
      <c r="R1389" s="4"/>
      <c r="X1389" s="4"/>
      <c r="Y1389" s="4"/>
      <c r="Z1389" s="4"/>
      <c r="AA1389" s="4"/>
      <c r="AB1389" s="4"/>
      <c r="AE1389" s="4"/>
      <c r="AF1389" s="4"/>
      <c r="AI1389" s="4"/>
      <c r="AQ1389" s="4"/>
    </row>
    <row r="1390" spans="6:43">
      <c r="F1390" s="4"/>
      <c r="H1390" s="11"/>
      <c r="I1390" s="4"/>
      <c r="K1390" s="4"/>
      <c r="M1390" s="4"/>
      <c r="O1390" s="4"/>
      <c r="P1390" s="4"/>
      <c r="Q1390" s="4"/>
      <c r="R1390" s="4"/>
      <c r="X1390" s="4"/>
      <c r="Y1390" s="4"/>
      <c r="Z1390" s="4"/>
      <c r="AA1390" s="4"/>
      <c r="AB1390" s="4"/>
      <c r="AE1390" s="4"/>
      <c r="AF1390" s="4"/>
      <c r="AI1390" s="4"/>
      <c r="AQ1390" s="4"/>
    </row>
    <row r="1391" spans="6:43">
      <c r="F1391" s="4"/>
      <c r="H1391" s="11"/>
      <c r="I1391" s="4"/>
      <c r="K1391" s="4"/>
      <c r="M1391" s="4"/>
      <c r="O1391" s="4"/>
      <c r="P1391" s="4"/>
      <c r="Q1391" s="4"/>
      <c r="R1391" s="4"/>
      <c r="X1391" s="4"/>
      <c r="Y1391" s="4"/>
      <c r="Z1391" s="4"/>
      <c r="AA1391" s="4"/>
      <c r="AB1391" s="4"/>
      <c r="AE1391" s="4"/>
      <c r="AF1391" s="4"/>
      <c r="AI1391" s="4"/>
      <c r="AQ1391" s="4"/>
    </row>
    <row r="1392" spans="6:43">
      <c r="F1392" s="4"/>
      <c r="H1392" s="11"/>
      <c r="I1392" s="4"/>
      <c r="K1392" s="4"/>
      <c r="M1392" s="4"/>
      <c r="O1392" s="4"/>
      <c r="P1392" s="4"/>
      <c r="Q1392" s="4"/>
      <c r="R1392" s="4"/>
      <c r="X1392" s="4"/>
      <c r="Y1392" s="4"/>
      <c r="Z1392" s="4"/>
      <c r="AA1392" s="4"/>
      <c r="AB1392" s="4"/>
      <c r="AE1392" s="4"/>
      <c r="AF1392" s="4"/>
      <c r="AI1392" s="4"/>
      <c r="AQ1392" s="4"/>
    </row>
    <row r="1393" spans="6:43">
      <c r="F1393" s="4"/>
      <c r="H1393" s="11"/>
      <c r="I1393" s="4"/>
      <c r="K1393" s="4"/>
      <c r="M1393" s="4"/>
      <c r="O1393" s="4"/>
      <c r="P1393" s="4"/>
      <c r="Q1393" s="4"/>
      <c r="R1393" s="4"/>
      <c r="X1393" s="4"/>
      <c r="Y1393" s="4"/>
      <c r="Z1393" s="4"/>
      <c r="AA1393" s="4"/>
      <c r="AB1393" s="4"/>
      <c r="AE1393" s="4"/>
      <c r="AF1393" s="4"/>
      <c r="AI1393" s="4"/>
      <c r="AQ1393" s="4"/>
    </row>
    <row r="1394" spans="6:43">
      <c r="F1394" s="4"/>
      <c r="H1394" s="11"/>
      <c r="I1394" s="4"/>
      <c r="K1394" s="4"/>
      <c r="M1394" s="4"/>
      <c r="O1394" s="4"/>
      <c r="P1394" s="4"/>
      <c r="Q1394" s="4"/>
      <c r="R1394" s="4"/>
      <c r="X1394" s="4"/>
      <c r="Y1394" s="4"/>
      <c r="Z1394" s="4"/>
      <c r="AA1394" s="4"/>
      <c r="AB1394" s="4"/>
      <c r="AE1394" s="4"/>
      <c r="AF1394" s="4"/>
      <c r="AI1394" s="4"/>
      <c r="AQ1394" s="4"/>
    </row>
    <row r="1395" spans="6:43">
      <c r="F1395" s="4"/>
      <c r="H1395" s="11"/>
      <c r="I1395" s="4"/>
      <c r="K1395" s="4"/>
      <c r="M1395" s="4"/>
      <c r="O1395" s="4"/>
      <c r="P1395" s="4"/>
      <c r="Q1395" s="4"/>
      <c r="R1395" s="4"/>
      <c r="X1395" s="4"/>
      <c r="Y1395" s="4"/>
      <c r="Z1395" s="4"/>
      <c r="AA1395" s="4"/>
      <c r="AB1395" s="4"/>
      <c r="AE1395" s="4"/>
      <c r="AF1395" s="4"/>
      <c r="AI1395" s="4"/>
      <c r="AQ1395" s="4"/>
    </row>
    <row r="1396" spans="6:43">
      <c r="F1396" s="4"/>
      <c r="H1396" s="11"/>
      <c r="I1396" s="4"/>
      <c r="K1396" s="4"/>
      <c r="M1396" s="4"/>
      <c r="O1396" s="4"/>
      <c r="P1396" s="4"/>
      <c r="Q1396" s="4"/>
      <c r="R1396" s="4"/>
      <c r="X1396" s="4"/>
      <c r="Y1396" s="4"/>
      <c r="Z1396" s="4"/>
      <c r="AA1396" s="4"/>
      <c r="AB1396" s="4"/>
      <c r="AE1396" s="4"/>
      <c r="AF1396" s="4"/>
      <c r="AI1396" s="4"/>
      <c r="AQ1396" s="4"/>
    </row>
    <row r="1397" spans="6:43">
      <c r="F1397" s="4"/>
      <c r="H1397" s="11"/>
      <c r="I1397" s="4"/>
      <c r="K1397" s="4"/>
      <c r="M1397" s="4"/>
      <c r="O1397" s="4"/>
      <c r="P1397" s="4"/>
      <c r="Q1397" s="4"/>
      <c r="R1397" s="4"/>
      <c r="X1397" s="4"/>
      <c r="Y1397" s="4"/>
      <c r="Z1397" s="4"/>
      <c r="AA1397" s="4"/>
      <c r="AB1397" s="4"/>
      <c r="AE1397" s="4"/>
      <c r="AF1397" s="4"/>
      <c r="AI1397" s="4"/>
      <c r="AQ1397" s="4"/>
    </row>
    <row r="1398" spans="6:43">
      <c r="F1398" s="4"/>
      <c r="H1398" s="11"/>
      <c r="I1398" s="4"/>
      <c r="K1398" s="4"/>
      <c r="M1398" s="4"/>
      <c r="O1398" s="4"/>
      <c r="P1398" s="4"/>
      <c r="Q1398" s="4"/>
      <c r="R1398" s="4"/>
      <c r="X1398" s="4"/>
      <c r="Y1398" s="4"/>
      <c r="Z1398" s="4"/>
      <c r="AA1398" s="4"/>
      <c r="AB1398" s="4"/>
      <c r="AE1398" s="4"/>
      <c r="AF1398" s="4"/>
      <c r="AI1398" s="4"/>
      <c r="AQ1398" s="4"/>
    </row>
    <row r="1399" spans="6:43">
      <c r="F1399" s="4"/>
      <c r="H1399" s="11"/>
      <c r="I1399" s="4"/>
      <c r="K1399" s="4"/>
      <c r="M1399" s="4"/>
      <c r="O1399" s="4"/>
      <c r="P1399" s="4"/>
      <c r="Q1399" s="4"/>
      <c r="R1399" s="4"/>
      <c r="X1399" s="4"/>
      <c r="Y1399" s="4"/>
      <c r="Z1399" s="4"/>
      <c r="AA1399" s="4"/>
      <c r="AB1399" s="4"/>
      <c r="AE1399" s="4"/>
      <c r="AF1399" s="4"/>
      <c r="AI1399" s="4"/>
      <c r="AQ1399" s="4"/>
    </row>
    <row r="1400" spans="6:43">
      <c r="F1400" s="4"/>
      <c r="H1400" s="11"/>
      <c r="I1400" s="4"/>
      <c r="K1400" s="4"/>
      <c r="M1400" s="4"/>
      <c r="O1400" s="4"/>
      <c r="P1400" s="4"/>
      <c r="Q1400" s="4"/>
      <c r="R1400" s="4"/>
      <c r="X1400" s="4"/>
      <c r="Y1400" s="4"/>
      <c r="Z1400" s="4"/>
      <c r="AA1400" s="4"/>
      <c r="AB1400" s="4"/>
      <c r="AE1400" s="4"/>
      <c r="AF1400" s="4"/>
      <c r="AI1400" s="4"/>
      <c r="AQ1400" s="4"/>
    </row>
    <row r="1401" spans="6:43">
      <c r="F1401" s="4"/>
      <c r="H1401" s="11"/>
      <c r="I1401" s="4"/>
      <c r="K1401" s="4"/>
      <c r="M1401" s="4"/>
      <c r="O1401" s="4"/>
      <c r="P1401" s="4"/>
      <c r="Q1401" s="4"/>
      <c r="R1401" s="4"/>
      <c r="X1401" s="4"/>
      <c r="Y1401" s="4"/>
      <c r="Z1401" s="4"/>
      <c r="AA1401" s="4"/>
      <c r="AB1401" s="4"/>
      <c r="AE1401" s="4"/>
      <c r="AF1401" s="4"/>
      <c r="AI1401" s="4"/>
      <c r="AQ1401" s="4"/>
    </row>
    <row r="1402" spans="6:43">
      <c r="F1402" s="4"/>
      <c r="H1402" s="11"/>
      <c r="I1402" s="4"/>
      <c r="K1402" s="4"/>
      <c r="M1402" s="4"/>
      <c r="O1402" s="4"/>
      <c r="P1402" s="4"/>
      <c r="Q1402" s="4"/>
      <c r="R1402" s="4"/>
      <c r="X1402" s="4"/>
      <c r="Y1402" s="4"/>
      <c r="Z1402" s="4"/>
      <c r="AA1402" s="4"/>
      <c r="AB1402" s="4"/>
      <c r="AE1402" s="4"/>
      <c r="AF1402" s="4"/>
      <c r="AI1402" s="4"/>
      <c r="AQ1402" s="4"/>
    </row>
    <row r="1403" spans="6:43">
      <c r="F1403" s="4"/>
      <c r="H1403" s="11"/>
      <c r="I1403" s="4"/>
      <c r="K1403" s="4"/>
      <c r="M1403" s="4"/>
      <c r="O1403" s="4"/>
      <c r="P1403" s="4"/>
      <c r="Q1403" s="4"/>
      <c r="R1403" s="4"/>
      <c r="X1403" s="4"/>
      <c r="Y1403" s="4"/>
      <c r="Z1403" s="4"/>
      <c r="AA1403" s="4"/>
      <c r="AB1403" s="4"/>
      <c r="AE1403" s="4"/>
      <c r="AF1403" s="4"/>
      <c r="AI1403" s="4"/>
      <c r="AQ1403" s="4"/>
    </row>
    <row r="1404" spans="6:43">
      <c r="F1404" s="4"/>
      <c r="H1404" s="11"/>
      <c r="I1404" s="4"/>
      <c r="K1404" s="4"/>
      <c r="M1404" s="4"/>
      <c r="O1404" s="4"/>
      <c r="P1404" s="4"/>
      <c r="Q1404" s="4"/>
      <c r="R1404" s="4"/>
      <c r="X1404" s="4"/>
      <c r="Y1404" s="4"/>
      <c r="Z1404" s="4"/>
      <c r="AA1404" s="4"/>
      <c r="AB1404" s="4"/>
      <c r="AE1404" s="4"/>
      <c r="AF1404" s="4"/>
      <c r="AI1404" s="4"/>
      <c r="AQ1404" s="4"/>
    </row>
    <row r="1405" spans="6:43">
      <c r="F1405" s="4"/>
      <c r="H1405" s="11"/>
      <c r="I1405" s="4"/>
      <c r="K1405" s="4"/>
      <c r="M1405" s="4"/>
      <c r="O1405" s="4"/>
      <c r="P1405" s="4"/>
      <c r="Q1405" s="4"/>
      <c r="R1405" s="4"/>
      <c r="X1405" s="4"/>
      <c r="Y1405" s="4"/>
      <c r="Z1405" s="4"/>
      <c r="AA1405" s="4"/>
      <c r="AB1405" s="4"/>
      <c r="AE1405" s="4"/>
      <c r="AF1405" s="4"/>
      <c r="AI1405" s="4"/>
      <c r="AQ1405" s="4"/>
    </row>
    <row r="1406" spans="6:43">
      <c r="F1406" s="4"/>
      <c r="H1406" s="11"/>
      <c r="I1406" s="4"/>
      <c r="K1406" s="4"/>
      <c r="M1406" s="4"/>
      <c r="O1406" s="4"/>
      <c r="P1406" s="4"/>
      <c r="Q1406" s="4"/>
      <c r="R1406" s="4"/>
      <c r="X1406" s="4"/>
      <c r="Y1406" s="4"/>
      <c r="Z1406" s="4"/>
      <c r="AA1406" s="4"/>
      <c r="AB1406" s="4"/>
      <c r="AE1406" s="4"/>
      <c r="AF1406" s="4"/>
      <c r="AI1406" s="4"/>
      <c r="AQ1406" s="4"/>
    </row>
    <row r="1407" spans="6:43">
      <c r="F1407" s="4"/>
      <c r="H1407" s="11"/>
      <c r="I1407" s="4"/>
      <c r="K1407" s="4"/>
      <c r="M1407" s="4"/>
      <c r="O1407" s="4"/>
      <c r="P1407" s="4"/>
      <c r="Q1407" s="4"/>
      <c r="R1407" s="4"/>
      <c r="X1407" s="4"/>
      <c r="Y1407" s="4"/>
      <c r="Z1407" s="4"/>
      <c r="AA1407" s="4"/>
      <c r="AB1407" s="4"/>
      <c r="AE1407" s="4"/>
      <c r="AF1407" s="4"/>
      <c r="AI1407" s="4"/>
      <c r="AQ1407" s="4"/>
    </row>
    <row r="1408" spans="6:43">
      <c r="F1408" s="4"/>
      <c r="H1408" s="11"/>
      <c r="I1408" s="4"/>
      <c r="K1408" s="4"/>
      <c r="M1408" s="4"/>
      <c r="O1408" s="4"/>
      <c r="P1408" s="4"/>
      <c r="Q1408" s="4"/>
      <c r="R1408" s="4"/>
      <c r="X1408" s="4"/>
      <c r="Y1408" s="4"/>
      <c r="Z1408" s="4"/>
      <c r="AA1408" s="4"/>
      <c r="AB1408" s="4"/>
      <c r="AE1408" s="4"/>
      <c r="AF1408" s="4"/>
      <c r="AI1408" s="4"/>
      <c r="AQ1408" s="4"/>
    </row>
    <row r="1409" spans="6:43">
      <c r="F1409" s="4"/>
      <c r="H1409" s="11"/>
      <c r="I1409" s="4"/>
      <c r="K1409" s="4"/>
      <c r="M1409" s="4"/>
      <c r="O1409" s="4"/>
      <c r="P1409" s="4"/>
      <c r="Q1409" s="4"/>
      <c r="R1409" s="4"/>
      <c r="X1409" s="4"/>
      <c r="Y1409" s="4"/>
      <c r="Z1409" s="4"/>
      <c r="AA1409" s="4"/>
      <c r="AB1409" s="4"/>
      <c r="AE1409" s="4"/>
      <c r="AF1409" s="4"/>
      <c r="AI1409" s="4"/>
      <c r="AQ1409" s="4"/>
    </row>
    <row r="1410" spans="6:43">
      <c r="F1410" s="4"/>
      <c r="H1410" s="11"/>
      <c r="I1410" s="4"/>
      <c r="K1410" s="4"/>
      <c r="M1410" s="4"/>
      <c r="O1410" s="4"/>
      <c r="P1410" s="4"/>
      <c r="Q1410" s="4"/>
      <c r="R1410" s="4"/>
      <c r="X1410" s="4"/>
      <c r="Y1410" s="4"/>
      <c r="Z1410" s="4"/>
      <c r="AA1410" s="4"/>
      <c r="AB1410" s="4"/>
      <c r="AE1410" s="4"/>
      <c r="AF1410" s="4"/>
      <c r="AI1410" s="4"/>
      <c r="AQ1410" s="4"/>
    </row>
    <row r="1411" spans="6:43">
      <c r="F1411" s="4"/>
      <c r="H1411" s="11"/>
      <c r="I1411" s="4"/>
      <c r="K1411" s="4"/>
      <c r="M1411" s="4"/>
      <c r="O1411" s="4"/>
      <c r="P1411" s="4"/>
      <c r="Q1411" s="4"/>
      <c r="R1411" s="4"/>
      <c r="X1411" s="4"/>
      <c r="Y1411" s="4"/>
      <c r="Z1411" s="4"/>
      <c r="AA1411" s="4"/>
      <c r="AB1411" s="4"/>
      <c r="AE1411" s="4"/>
      <c r="AF1411" s="4"/>
      <c r="AI1411" s="4"/>
      <c r="AQ1411" s="4"/>
    </row>
    <row r="1412" spans="6:43">
      <c r="F1412" s="4"/>
      <c r="H1412" s="11"/>
      <c r="I1412" s="4"/>
      <c r="K1412" s="4"/>
      <c r="M1412" s="4"/>
      <c r="O1412" s="4"/>
      <c r="P1412" s="4"/>
      <c r="Q1412" s="4"/>
      <c r="R1412" s="4"/>
      <c r="X1412" s="4"/>
      <c r="Y1412" s="4"/>
      <c r="Z1412" s="4"/>
      <c r="AA1412" s="4"/>
      <c r="AB1412" s="4"/>
      <c r="AE1412" s="4"/>
      <c r="AF1412" s="4"/>
      <c r="AI1412" s="4"/>
      <c r="AQ1412" s="4"/>
    </row>
    <row r="1413" spans="6:43">
      <c r="F1413" s="4"/>
      <c r="H1413" s="11"/>
      <c r="I1413" s="4"/>
      <c r="K1413" s="4"/>
      <c r="M1413" s="4"/>
      <c r="O1413" s="4"/>
      <c r="P1413" s="4"/>
      <c r="Q1413" s="4"/>
      <c r="R1413" s="4"/>
      <c r="X1413" s="4"/>
      <c r="Y1413" s="4"/>
      <c r="Z1413" s="4"/>
      <c r="AA1413" s="4"/>
      <c r="AB1413" s="4"/>
      <c r="AE1413" s="4"/>
      <c r="AF1413" s="4"/>
      <c r="AI1413" s="4"/>
      <c r="AQ1413" s="4"/>
    </row>
    <row r="1414" spans="6:43">
      <c r="F1414" s="4"/>
      <c r="H1414" s="11"/>
      <c r="I1414" s="4"/>
      <c r="K1414" s="4"/>
      <c r="M1414" s="4"/>
      <c r="O1414" s="4"/>
      <c r="P1414" s="4"/>
      <c r="Q1414" s="4"/>
      <c r="R1414" s="4"/>
      <c r="X1414" s="4"/>
      <c r="Y1414" s="4"/>
      <c r="Z1414" s="4"/>
      <c r="AA1414" s="4"/>
      <c r="AB1414" s="4"/>
      <c r="AE1414" s="4"/>
      <c r="AF1414" s="4"/>
      <c r="AI1414" s="4"/>
      <c r="AQ1414" s="4"/>
    </row>
    <row r="1415" spans="6:43">
      <c r="F1415" s="4"/>
      <c r="H1415" s="11"/>
      <c r="I1415" s="4"/>
      <c r="K1415" s="4"/>
      <c r="M1415" s="4"/>
      <c r="O1415" s="4"/>
      <c r="P1415" s="4"/>
      <c r="Q1415" s="4"/>
      <c r="R1415" s="4"/>
      <c r="X1415" s="4"/>
      <c r="Y1415" s="4"/>
      <c r="Z1415" s="4"/>
      <c r="AA1415" s="4"/>
      <c r="AB1415" s="4"/>
      <c r="AE1415" s="4"/>
      <c r="AF1415" s="4"/>
      <c r="AI1415" s="4"/>
      <c r="AQ1415" s="4"/>
    </row>
    <row r="1416" spans="6:43">
      <c r="F1416" s="4"/>
      <c r="H1416" s="11"/>
      <c r="I1416" s="4"/>
      <c r="K1416" s="4"/>
      <c r="M1416" s="4"/>
      <c r="O1416" s="4"/>
      <c r="P1416" s="4"/>
      <c r="Q1416" s="4"/>
      <c r="R1416" s="4"/>
      <c r="X1416" s="4"/>
      <c r="Y1416" s="4"/>
      <c r="Z1416" s="4"/>
      <c r="AA1416" s="4"/>
      <c r="AB1416" s="4"/>
      <c r="AE1416" s="4"/>
      <c r="AF1416" s="4"/>
      <c r="AI1416" s="4"/>
      <c r="AQ1416" s="4"/>
    </row>
    <row r="1417" spans="6:43">
      <c r="F1417" s="4"/>
      <c r="H1417" s="11"/>
      <c r="I1417" s="4"/>
      <c r="K1417" s="4"/>
      <c r="M1417" s="4"/>
      <c r="O1417" s="4"/>
      <c r="P1417" s="4"/>
      <c r="Q1417" s="4"/>
      <c r="R1417" s="4"/>
      <c r="X1417" s="4"/>
      <c r="Y1417" s="4"/>
      <c r="Z1417" s="4"/>
      <c r="AA1417" s="4"/>
      <c r="AB1417" s="4"/>
      <c r="AE1417" s="4"/>
      <c r="AF1417" s="4"/>
      <c r="AI1417" s="4"/>
      <c r="AQ1417" s="4"/>
    </row>
    <row r="1418" spans="6:43">
      <c r="F1418" s="4"/>
      <c r="H1418" s="11"/>
      <c r="I1418" s="4"/>
      <c r="K1418" s="4"/>
      <c r="M1418" s="4"/>
      <c r="O1418" s="4"/>
      <c r="P1418" s="4"/>
      <c r="Q1418" s="4"/>
      <c r="R1418" s="4"/>
      <c r="X1418" s="4"/>
      <c r="Y1418" s="4"/>
      <c r="Z1418" s="4"/>
      <c r="AA1418" s="4"/>
      <c r="AB1418" s="4"/>
      <c r="AE1418" s="4"/>
      <c r="AF1418" s="4"/>
      <c r="AI1418" s="4"/>
      <c r="AQ1418" s="4"/>
    </row>
    <row r="1419" spans="6:43">
      <c r="F1419" s="4"/>
      <c r="H1419" s="11"/>
      <c r="I1419" s="4"/>
      <c r="K1419" s="4"/>
      <c r="M1419" s="4"/>
      <c r="O1419" s="4"/>
      <c r="P1419" s="4"/>
      <c r="Q1419" s="4"/>
      <c r="R1419" s="4"/>
      <c r="X1419" s="4"/>
      <c r="Y1419" s="4"/>
      <c r="Z1419" s="4"/>
      <c r="AA1419" s="4"/>
      <c r="AB1419" s="4"/>
      <c r="AE1419" s="4"/>
      <c r="AF1419" s="4"/>
      <c r="AI1419" s="4"/>
      <c r="AQ1419" s="4"/>
    </row>
    <row r="1420" spans="6:43">
      <c r="F1420" s="4"/>
      <c r="H1420" s="11"/>
      <c r="I1420" s="4"/>
      <c r="K1420" s="4"/>
      <c r="M1420" s="4"/>
      <c r="O1420" s="4"/>
      <c r="P1420" s="4"/>
      <c r="Q1420" s="4"/>
      <c r="R1420" s="4"/>
      <c r="X1420" s="4"/>
      <c r="Y1420" s="4"/>
      <c r="Z1420" s="4"/>
      <c r="AA1420" s="4"/>
      <c r="AB1420" s="4"/>
      <c r="AE1420" s="4"/>
      <c r="AF1420" s="4"/>
      <c r="AI1420" s="4"/>
      <c r="AQ1420" s="4"/>
    </row>
    <row r="1421" spans="6:43">
      <c r="F1421" s="4"/>
      <c r="H1421" s="11"/>
      <c r="I1421" s="4"/>
      <c r="K1421" s="4"/>
      <c r="M1421" s="4"/>
      <c r="O1421" s="4"/>
      <c r="P1421" s="4"/>
      <c r="Q1421" s="4"/>
      <c r="R1421" s="4"/>
      <c r="X1421" s="4"/>
      <c r="Y1421" s="4"/>
      <c r="Z1421" s="4"/>
      <c r="AA1421" s="4"/>
      <c r="AB1421" s="4"/>
      <c r="AE1421" s="4"/>
      <c r="AF1421" s="4"/>
      <c r="AI1421" s="4"/>
      <c r="AQ1421" s="4"/>
    </row>
    <row r="1422" spans="6:43">
      <c r="F1422" s="4"/>
      <c r="H1422" s="11"/>
      <c r="I1422" s="4"/>
      <c r="K1422" s="4"/>
      <c r="M1422" s="4"/>
      <c r="O1422" s="4"/>
      <c r="P1422" s="4"/>
      <c r="Q1422" s="4"/>
      <c r="R1422" s="4"/>
      <c r="X1422" s="4"/>
      <c r="Y1422" s="4"/>
      <c r="Z1422" s="4"/>
      <c r="AA1422" s="4"/>
      <c r="AB1422" s="4"/>
      <c r="AE1422" s="4"/>
      <c r="AF1422" s="4"/>
      <c r="AI1422" s="4"/>
      <c r="AQ1422" s="4"/>
    </row>
    <row r="1423" spans="6:43">
      <c r="F1423" s="4"/>
      <c r="H1423" s="11"/>
      <c r="I1423" s="4"/>
      <c r="K1423" s="4"/>
      <c r="M1423" s="4"/>
      <c r="O1423" s="4"/>
      <c r="P1423" s="4"/>
      <c r="Q1423" s="4"/>
      <c r="R1423" s="4"/>
      <c r="X1423" s="4"/>
      <c r="Y1423" s="4"/>
      <c r="Z1423" s="4"/>
      <c r="AA1423" s="4"/>
      <c r="AB1423" s="4"/>
      <c r="AE1423" s="4"/>
      <c r="AF1423" s="4"/>
      <c r="AI1423" s="4"/>
      <c r="AQ1423" s="4"/>
    </row>
    <row r="1424" spans="6:43">
      <c r="F1424" s="4"/>
      <c r="H1424" s="11"/>
      <c r="I1424" s="4"/>
      <c r="K1424" s="4"/>
      <c r="M1424" s="4"/>
      <c r="O1424" s="4"/>
      <c r="P1424" s="4"/>
      <c r="Q1424" s="4"/>
      <c r="R1424" s="4"/>
      <c r="X1424" s="4"/>
      <c r="Y1424" s="4"/>
      <c r="Z1424" s="4"/>
      <c r="AA1424" s="4"/>
      <c r="AB1424" s="4"/>
      <c r="AE1424" s="4"/>
      <c r="AF1424" s="4"/>
      <c r="AI1424" s="4"/>
      <c r="AQ1424" s="4"/>
    </row>
    <row r="1425" spans="4:43">
      <c r="D1425" s="4"/>
      <c r="F1425" s="4"/>
      <c r="H1425" s="11"/>
      <c r="I1425" s="4"/>
      <c r="K1425" s="4"/>
      <c r="M1425" s="4"/>
      <c r="O1425" s="4"/>
      <c r="P1425" s="4"/>
      <c r="Q1425" s="4"/>
      <c r="R1425" s="4"/>
      <c r="V1425" s="4"/>
      <c r="X1425" s="4"/>
      <c r="Y1425" s="4"/>
      <c r="Z1425" s="4"/>
      <c r="AA1425" s="4"/>
      <c r="AB1425" s="4"/>
      <c r="AE1425" s="4"/>
      <c r="AF1425" s="4"/>
      <c r="AI1425" s="4"/>
      <c r="AQ1425" s="4"/>
    </row>
    <row r="1426" spans="4:43">
      <c r="F1426" s="4"/>
      <c r="H1426" s="11"/>
      <c r="I1426" s="4"/>
      <c r="K1426" s="4"/>
      <c r="M1426" s="4"/>
      <c r="O1426" s="4"/>
      <c r="P1426" s="4"/>
      <c r="Q1426" s="4"/>
      <c r="R1426" s="4"/>
      <c r="X1426" s="4"/>
      <c r="Y1426" s="4"/>
      <c r="Z1426" s="4"/>
      <c r="AA1426" s="4"/>
      <c r="AB1426" s="4"/>
      <c r="AE1426" s="4"/>
      <c r="AF1426" s="4"/>
      <c r="AI1426" s="4"/>
      <c r="AQ1426" s="4"/>
    </row>
    <row r="1427" spans="4:43">
      <c r="F1427" s="4"/>
      <c r="H1427" s="11"/>
      <c r="I1427" s="4"/>
      <c r="K1427" s="4"/>
      <c r="M1427" s="4"/>
      <c r="O1427" s="4"/>
      <c r="P1427" s="4"/>
      <c r="Q1427" s="4"/>
      <c r="R1427" s="4"/>
      <c r="X1427" s="4"/>
      <c r="Y1427" s="4"/>
      <c r="Z1427" s="4"/>
      <c r="AA1427" s="4"/>
      <c r="AB1427" s="4"/>
      <c r="AE1427" s="4"/>
      <c r="AF1427" s="4"/>
      <c r="AI1427" s="4"/>
      <c r="AQ1427" s="4"/>
    </row>
    <row r="1428" spans="4:43">
      <c r="F1428" s="4"/>
      <c r="H1428" s="11"/>
      <c r="I1428" s="4"/>
      <c r="K1428" s="4"/>
      <c r="M1428" s="4"/>
      <c r="O1428" s="4"/>
      <c r="P1428" s="4"/>
      <c r="Q1428" s="4"/>
      <c r="R1428" s="4"/>
      <c r="X1428" s="4"/>
      <c r="Y1428" s="4"/>
      <c r="Z1428" s="4"/>
      <c r="AA1428" s="4"/>
      <c r="AB1428" s="4"/>
      <c r="AE1428" s="4"/>
      <c r="AF1428" s="4"/>
      <c r="AI1428" s="4"/>
      <c r="AQ1428" s="4"/>
    </row>
    <row r="1429" spans="4:43">
      <c r="F1429" s="4"/>
      <c r="H1429" s="11"/>
      <c r="I1429" s="4"/>
      <c r="K1429" s="4"/>
      <c r="M1429" s="4"/>
      <c r="O1429" s="4"/>
      <c r="P1429" s="4"/>
      <c r="Q1429" s="4"/>
      <c r="R1429" s="4"/>
      <c r="X1429" s="4"/>
      <c r="Y1429" s="4"/>
      <c r="Z1429" s="4"/>
      <c r="AA1429" s="4"/>
      <c r="AB1429" s="4"/>
      <c r="AE1429" s="4"/>
      <c r="AF1429" s="4"/>
      <c r="AI1429" s="4"/>
      <c r="AQ1429" s="4"/>
    </row>
    <row r="1430" spans="4:43">
      <c r="F1430" s="4"/>
      <c r="H1430" s="11"/>
      <c r="I1430" s="4"/>
      <c r="K1430" s="4"/>
      <c r="M1430" s="4"/>
      <c r="O1430" s="4"/>
      <c r="P1430" s="4"/>
      <c r="Q1430" s="4"/>
      <c r="R1430" s="4"/>
      <c r="X1430" s="4"/>
      <c r="Y1430" s="4"/>
      <c r="Z1430" s="4"/>
      <c r="AA1430" s="4"/>
      <c r="AB1430" s="4"/>
      <c r="AE1430" s="4"/>
      <c r="AF1430" s="4"/>
      <c r="AI1430" s="4"/>
      <c r="AQ1430" s="4"/>
    </row>
    <row r="1431" spans="4:43">
      <c r="F1431" s="4"/>
      <c r="H1431" s="11"/>
      <c r="I1431" s="4"/>
      <c r="K1431" s="4"/>
      <c r="M1431" s="4"/>
      <c r="O1431" s="4"/>
      <c r="P1431" s="4"/>
      <c r="Q1431" s="4"/>
      <c r="R1431" s="4"/>
      <c r="X1431" s="4"/>
      <c r="Y1431" s="4"/>
      <c r="Z1431" s="4"/>
      <c r="AA1431" s="4"/>
      <c r="AB1431" s="4"/>
      <c r="AE1431" s="4"/>
      <c r="AF1431" s="4"/>
      <c r="AI1431" s="4"/>
      <c r="AQ1431" s="4"/>
    </row>
    <row r="1432" spans="4:43">
      <c r="F1432" s="4"/>
      <c r="H1432" s="11"/>
      <c r="I1432" s="4"/>
      <c r="K1432" s="4"/>
      <c r="M1432" s="4"/>
      <c r="O1432" s="4"/>
      <c r="P1432" s="4"/>
      <c r="Q1432" s="4"/>
      <c r="R1432" s="4"/>
      <c r="X1432" s="4"/>
      <c r="Y1432" s="4"/>
      <c r="Z1432" s="4"/>
      <c r="AA1432" s="4"/>
      <c r="AB1432" s="4"/>
      <c r="AE1432" s="4"/>
      <c r="AF1432" s="4"/>
      <c r="AI1432" s="4"/>
      <c r="AQ1432" s="4"/>
    </row>
    <row r="1433" spans="4:43">
      <c r="F1433" s="4"/>
      <c r="H1433" s="11"/>
      <c r="I1433" s="4"/>
      <c r="K1433" s="4"/>
      <c r="M1433" s="4"/>
      <c r="O1433" s="4"/>
      <c r="P1433" s="4"/>
      <c r="Q1433" s="4"/>
      <c r="R1433" s="4"/>
      <c r="X1433" s="4"/>
      <c r="Y1433" s="4"/>
      <c r="Z1433" s="4"/>
      <c r="AA1433" s="4"/>
      <c r="AB1433" s="4"/>
      <c r="AE1433" s="4"/>
      <c r="AF1433" s="4"/>
      <c r="AI1433" s="4"/>
      <c r="AQ1433" s="4"/>
    </row>
    <row r="1434" spans="4:43">
      <c r="F1434" s="4"/>
      <c r="H1434" s="11"/>
      <c r="I1434" s="4"/>
      <c r="K1434" s="4"/>
      <c r="M1434" s="4"/>
      <c r="O1434" s="4"/>
      <c r="P1434" s="4"/>
      <c r="Q1434" s="4"/>
      <c r="R1434" s="4"/>
      <c r="X1434" s="4"/>
      <c r="Y1434" s="4"/>
      <c r="Z1434" s="4"/>
      <c r="AA1434" s="4"/>
      <c r="AB1434" s="4"/>
      <c r="AE1434" s="4"/>
      <c r="AF1434" s="4"/>
      <c r="AI1434" s="4"/>
      <c r="AQ1434" s="4"/>
    </row>
    <row r="1435" spans="4:43">
      <c r="F1435" s="4"/>
      <c r="H1435" s="11"/>
      <c r="I1435" s="4"/>
      <c r="K1435" s="4"/>
      <c r="M1435" s="4"/>
      <c r="O1435" s="4"/>
      <c r="P1435" s="4"/>
      <c r="Q1435" s="4"/>
      <c r="R1435" s="4"/>
      <c r="X1435" s="4"/>
      <c r="Y1435" s="4"/>
      <c r="Z1435" s="4"/>
      <c r="AA1435" s="4"/>
      <c r="AB1435" s="4"/>
      <c r="AE1435" s="4"/>
      <c r="AF1435" s="4"/>
      <c r="AI1435" s="4"/>
      <c r="AQ1435" s="4"/>
    </row>
    <row r="1436" spans="4:43">
      <c r="F1436" s="4"/>
      <c r="H1436" s="11"/>
      <c r="I1436" s="4"/>
      <c r="K1436" s="4"/>
      <c r="M1436" s="4"/>
      <c r="O1436" s="4"/>
      <c r="P1436" s="4"/>
      <c r="Q1436" s="4"/>
      <c r="R1436" s="4"/>
      <c r="X1436" s="4"/>
      <c r="Y1436" s="4"/>
      <c r="Z1436" s="4"/>
      <c r="AA1436" s="4"/>
      <c r="AB1436" s="4"/>
      <c r="AE1436" s="4"/>
      <c r="AF1436" s="4"/>
      <c r="AI1436" s="4"/>
      <c r="AQ1436" s="4"/>
    </row>
    <row r="1437" spans="4:43">
      <c r="F1437" s="4"/>
      <c r="H1437" s="11"/>
      <c r="I1437" s="4"/>
      <c r="K1437" s="4"/>
      <c r="M1437" s="4"/>
      <c r="O1437" s="4"/>
      <c r="P1437" s="4"/>
      <c r="Q1437" s="4"/>
      <c r="R1437" s="4"/>
      <c r="X1437" s="4"/>
      <c r="Y1437" s="4"/>
      <c r="Z1437" s="4"/>
      <c r="AA1437" s="4"/>
      <c r="AB1437" s="4"/>
      <c r="AE1437" s="4"/>
      <c r="AF1437" s="4"/>
      <c r="AI1437" s="4"/>
      <c r="AQ1437" s="4"/>
    </row>
    <row r="1438" spans="4:43">
      <c r="F1438" s="4"/>
      <c r="H1438" s="11"/>
      <c r="I1438" s="4"/>
      <c r="K1438" s="4"/>
      <c r="M1438" s="4"/>
      <c r="O1438" s="4"/>
      <c r="P1438" s="4"/>
      <c r="Q1438" s="4"/>
      <c r="R1438" s="4"/>
      <c r="X1438" s="4"/>
      <c r="Y1438" s="4"/>
      <c r="Z1438" s="4"/>
      <c r="AA1438" s="4"/>
      <c r="AB1438" s="4"/>
      <c r="AE1438" s="4"/>
      <c r="AF1438" s="4"/>
      <c r="AI1438" s="4"/>
      <c r="AQ1438" s="4"/>
    </row>
    <row r="1439" spans="4:43">
      <c r="F1439" s="4"/>
      <c r="H1439" s="11"/>
      <c r="I1439" s="4"/>
      <c r="K1439" s="4"/>
      <c r="M1439" s="4"/>
      <c r="O1439" s="4"/>
      <c r="P1439" s="4"/>
      <c r="Q1439" s="4"/>
      <c r="R1439" s="4"/>
      <c r="X1439" s="4"/>
      <c r="Y1439" s="4"/>
      <c r="Z1439" s="4"/>
      <c r="AA1439" s="4"/>
      <c r="AB1439" s="4"/>
      <c r="AE1439" s="4"/>
      <c r="AF1439" s="4"/>
      <c r="AI1439" s="4"/>
      <c r="AQ1439" s="4"/>
    </row>
    <row r="1440" spans="4:43">
      <c r="F1440" s="4"/>
      <c r="H1440" s="11"/>
      <c r="I1440" s="4"/>
      <c r="K1440" s="4"/>
      <c r="M1440" s="4"/>
      <c r="O1440" s="4"/>
      <c r="P1440" s="4"/>
      <c r="Q1440" s="4"/>
      <c r="R1440" s="4"/>
      <c r="X1440" s="4"/>
      <c r="Y1440" s="4"/>
      <c r="Z1440" s="4"/>
      <c r="AA1440" s="4"/>
      <c r="AB1440" s="4"/>
      <c r="AE1440" s="4"/>
      <c r="AF1440" s="4"/>
      <c r="AI1440" s="4"/>
      <c r="AQ1440" s="4"/>
    </row>
    <row r="1441" spans="6:43">
      <c r="F1441" s="4"/>
      <c r="H1441" s="11"/>
      <c r="I1441" s="4"/>
      <c r="K1441" s="4"/>
      <c r="M1441" s="4"/>
      <c r="O1441" s="4"/>
      <c r="P1441" s="4"/>
      <c r="Q1441" s="4"/>
      <c r="R1441" s="4"/>
      <c r="X1441" s="4"/>
      <c r="Y1441" s="4"/>
      <c r="Z1441" s="4"/>
      <c r="AA1441" s="4"/>
      <c r="AB1441" s="4"/>
      <c r="AE1441" s="4"/>
      <c r="AF1441" s="4"/>
      <c r="AI1441" s="4"/>
      <c r="AQ1441" s="4"/>
    </row>
    <row r="1442" spans="6:43">
      <c r="F1442" s="4"/>
      <c r="H1442" s="11"/>
      <c r="I1442" s="4"/>
      <c r="K1442" s="4"/>
      <c r="M1442" s="4"/>
      <c r="O1442" s="4"/>
      <c r="P1442" s="4"/>
      <c r="Q1442" s="4"/>
      <c r="R1442" s="4"/>
      <c r="X1442" s="4"/>
      <c r="Y1442" s="4"/>
      <c r="Z1442" s="4"/>
      <c r="AA1442" s="4"/>
      <c r="AB1442" s="4"/>
      <c r="AE1442" s="4"/>
      <c r="AF1442" s="4"/>
      <c r="AI1442" s="4"/>
      <c r="AQ1442" s="4"/>
    </row>
    <row r="1443" spans="6:43">
      <c r="F1443" s="4"/>
      <c r="H1443" s="11"/>
      <c r="I1443" s="4"/>
      <c r="K1443" s="4"/>
      <c r="M1443" s="4"/>
      <c r="O1443" s="4"/>
      <c r="P1443" s="4"/>
      <c r="Q1443" s="4"/>
      <c r="R1443" s="4"/>
      <c r="X1443" s="4"/>
      <c r="Y1443" s="4"/>
      <c r="Z1443" s="4"/>
      <c r="AA1443" s="4"/>
      <c r="AB1443" s="4"/>
      <c r="AE1443" s="4"/>
      <c r="AF1443" s="4"/>
      <c r="AI1443" s="4"/>
      <c r="AQ1443" s="4"/>
    </row>
    <row r="1444" spans="6:43">
      <c r="F1444" s="4"/>
      <c r="H1444" s="11"/>
      <c r="I1444" s="4"/>
      <c r="K1444" s="4"/>
      <c r="M1444" s="4"/>
      <c r="O1444" s="4"/>
      <c r="P1444" s="4"/>
      <c r="Q1444" s="4"/>
      <c r="R1444" s="4"/>
      <c r="X1444" s="4"/>
      <c r="Y1444" s="4"/>
      <c r="Z1444" s="4"/>
      <c r="AA1444" s="4"/>
      <c r="AB1444" s="4"/>
      <c r="AE1444" s="4"/>
      <c r="AF1444" s="4"/>
      <c r="AI1444" s="4"/>
      <c r="AQ1444" s="4"/>
    </row>
    <row r="1445" spans="6:43">
      <c r="F1445" s="4"/>
      <c r="H1445" s="11"/>
      <c r="I1445" s="4"/>
      <c r="K1445" s="4"/>
      <c r="M1445" s="4"/>
      <c r="O1445" s="4"/>
      <c r="P1445" s="4"/>
      <c r="Q1445" s="4"/>
      <c r="R1445" s="4"/>
      <c r="X1445" s="4"/>
      <c r="Y1445" s="4"/>
      <c r="Z1445" s="4"/>
      <c r="AA1445" s="4"/>
      <c r="AB1445" s="4"/>
      <c r="AE1445" s="4"/>
      <c r="AF1445" s="4"/>
      <c r="AI1445" s="4"/>
      <c r="AQ1445" s="4"/>
    </row>
    <row r="1446" spans="6:43">
      <c r="F1446" s="4"/>
      <c r="H1446" s="11"/>
      <c r="I1446" s="4"/>
      <c r="K1446" s="4"/>
      <c r="M1446" s="4"/>
      <c r="O1446" s="4"/>
      <c r="P1446" s="4"/>
      <c r="Q1446" s="4"/>
      <c r="R1446" s="4"/>
      <c r="X1446" s="4"/>
      <c r="Y1446" s="4"/>
      <c r="Z1446" s="4"/>
      <c r="AA1446" s="4"/>
      <c r="AB1446" s="4"/>
      <c r="AE1446" s="4"/>
      <c r="AF1446" s="4"/>
      <c r="AI1446" s="4"/>
      <c r="AQ1446" s="4"/>
    </row>
    <row r="1447" spans="6:43">
      <c r="F1447" s="4"/>
      <c r="H1447" s="11"/>
      <c r="I1447" s="4"/>
      <c r="K1447" s="4"/>
      <c r="M1447" s="4"/>
      <c r="O1447" s="4"/>
      <c r="P1447" s="4"/>
      <c r="Q1447" s="4"/>
      <c r="R1447" s="4"/>
      <c r="X1447" s="4"/>
      <c r="Y1447" s="4"/>
      <c r="Z1447" s="4"/>
      <c r="AA1447" s="4"/>
      <c r="AB1447" s="4"/>
      <c r="AE1447" s="4"/>
      <c r="AF1447" s="4"/>
      <c r="AI1447" s="4"/>
      <c r="AQ1447" s="4"/>
    </row>
    <row r="1448" spans="6:43">
      <c r="F1448" s="4"/>
      <c r="H1448" s="11"/>
      <c r="I1448" s="4"/>
      <c r="K1448" s="4"/>
      <c r="M1448" s="4"/>
      <c r="O1448" s="4"/>
      <c r="P1448" s="4"/>
      <c r="Q1448" s="4"/>
      <c r="R1448" s="4"/>
      <c r="X1448" s="4"/>
      <c r="Y1448" s="4"/>
      <c r="Z1448" s="4"/>
      <c r="AA1448" s="4"/>
      <c r="AB1448" s="4"/>
      <c r="AE1448" s="4"/>
      <c r="AF1448" s="4"/>
      <c r="AI1448" s="4"/>
      <c r="AQ1448" s="4"/>
    </row>
    <row r="1449" spans="6:43">
      <c r="F1449" s="4"/>
      <c r="H1449" s="11"/>
      <c r="I1449" s="4"/>
      <c r="K1449" s="4"/>
      <c r="M1449" s="4"/>
      <c r="O1449" s="4"/>
      <c r="P1449" s="4"/>
      <c r="Q1449" s="4"/>
      <c r="R1449" s="4"/>
      <c r="X1449" s="4"/>
      <c r="Y1449" s="4"/>
      <c r="Z1449" s="4"/>
      <c r="AA1449" s="4"/>
      <c r="AB1449" s="4"/>
      <c r="AE1449" s="4"/>
      <c r="AF1449" s="4"/>
      <c r="AI1449" s="4"/>
      <c r="AQ1449" s="4"/>
    </row>
    <row r="1450" spans="6:43">
      <c r="F1450" s="4"/>
      <c r="H1450" s="11"/>
      <c r="I1450" s="4"/>
      <c r="K1450" s="4"/>
      <c r="M1450" s="4"/>
      <c r="O1450" s="4"/>
      <c r="P1450" s="4"/>
      <c r="Q1450" s="4"/>
      <c r="R1450" s="4"/>
      <c r="X1450" s="4"/>
      <c r="Y1450" s="4"/>
      <c r="Z1450" s="4"/>
      <c r="AA1450" s="4"/>
      <c r="AB1450" s="4"/>
      <c r="AE1450" s="4"/>
      <c r="AF1450" s="4"/>
      <c r="AI1450" s="4"/>
      <c r="AQ1450" s="4"/>
    </row>
    <row r="1451" spans="6:43">
      <c r="F1451" s="4"/>
      <c r="H1451" s="11"/>
      <c r="I1451" s="4"/>
      <c r="K1451" s="4"/>
      <c r="M1451" s="4"/>
      <c r="O1451" s="4"/>
      <c r="P1451" s="4"/>
      <c r="Q1451" s="4"/>
      <c r="R1451" s="4"/>
      <c r="X1451" s="4"/>
      <c r="Y1451" s="4"/>
      <c r="Z1451" s="4"/>
      <c r="AA1451" s="4"/>
      <c r="AB1451" s="4"/>
      <c r="AE1451" s="4"/>
      <c r="AF1451" s="4"/>
      <c r="AI1451" s="4"/>
      <c r="AQ1451" s="4"/>
    </row>
  </sheetData>
  <autoFilter ref="E1:E1451" xr:uid="{00000000-0009-0000-0000-000000000000}"/>
  <phoneticPr fontId="7"/>
  <pageMargins left="0.75" right="0.75" top="1" bottom="1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91"/>
  <sheetViews>
    <sheetView topLeftCell="A289" workbookViewId="0">
      <selection activeCell="A294" sqref="A294"/>
    </sheetView>
  </sheetViews>
  <sheetFormatPr baseColWidth="10" defaultRowHeight="16"/>
  <sheetData>
    <row r="1" spans="1:4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5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6" t="s">
        <v>38</v>
      </c>
      <c r="AO1" s="6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 s="1">
        <v>10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2" t="s">
        <v>50</v>
      </c>
      <c r="I2" s="1">
        <v>8</v>
      </c>
      <c r="J2" s="1">
        <v>0.2</v>
      </c>
      <c r="K2" s="1" t="s">
        <v>51</v>
      </c>
      <c r="L2" s="1" t="s">
        <v>52</v>
      </c>
      <c r="M2" s="1">
        <v>3.31</v>
      </c>
      <c r="N2" s="1">
        <v>39.5</v>
      </c>
      <c r="O2" s="1">
        <v>63.296239999999997</v>
      </c>
      <c r="P2" s="1">
        <v>-168.44944000000001</v>
      </c>
      <c r="Q2" s="1">
        <v>3.8214999999999999</v>
      </c>
      <c r="R2" s="1">
        <v>32.063000000000002</v>
      </c>
      <c r="S2" s="1">
        <v>355.36399999999998</v>
      </c>
      <c r="T2" s="1">
        <v>51.52</v>
      </c>
      <c r="U2" s="1">
        <v>44.84</v>
      </c>
      <c r="V2" s="1">
        <v>3620</v>
      </c>
      <c r="W2" s="3">
        <v>3.3151000000000002</v>
      </c>
      <c r="X2" s="1" t="s">
        <v>53</v>
      </c>
      <c r="Y2" s="1">
        <v>6.73</v>
      </c>
      <c r="Z2" s="1">
        <v>1.31</v>
      </c>
      <c r="AA2" s="1">
        <v>0.38100000000000001</v>
      </c>
      <c r="AB2" s="1">
        <v>1.1000000000000001</v>
      </c>
      <c r="AC2" s="1">
        <v>0.2</v>
      </c>
      <c r="AD2" s="1">
        <v>0.02</v>
      </c>
      <c r="AE2" s="1">
        <v>7.0000000000000007E-2</v>
      </c>
      <c r="AF2" s="1">
        <v>0.22</v>
      </c>
      <c r="AG2" s="1"/>
      <c r="AH2" s="1" t="s">
        <v>54</v>
      </c>
      <c r="AI2" s="1">
        <v>19</v>
      </c>
      <c r="AJ2" s="1" t="s">
        <v>53</v>
      </c>
      <c r="AK2" s="1">
        <v>7.5</v>
      </c>
      <c r="AL2" s="1">
        <v>82.887900000000002</v>
      </c>
      <c r="AM2" s="1" t="s">
        <v>53</v>
      </c>
      <c r="AN2" s="1">
        <v>1.14897413024086</v>
      </c>
      <c r="AO2" s="1">
        <v>0.17343005739484599</v>
      </c>
      <c r="AP2" s="1"/>
      <c r="AQ2" s="1"/>
      <c r="AR2" s="1"/>
      <c r="AS2" s="1"/>
      <c r="AT2" s="1"/>
    </row>
    <row r="3" spans="1:46">
      <c r="A3" s="1" t="s">
        <v>55</v>
      </c>
      <c r="B3" s="1">
        <v>13</v>
      </c>
      <c r="C3" s="1" t="s">
        <v>55</v>
      </c>
      <c r="D3" s="1" t="s">
        <v>56</v>
      </c>
      <c r="E3" s="1" t="s">
        <v>47</v>
      </c>
      <c r="F3" s="1" t="s">
        <v>48</v>
      </c>
      <c r="G3" s="1" t="s">
        <v>49</v>
      </c>
      <c r="H3" s="2" t="s">
        <v>50</v>
      </c>
      <c r="I3" s="1">
        <v>8</v>
      </c>
      <c r="J3" s="1">
        <v>3</v>
      </c>
      <c r="K3" s="1" t="s">
        <v>51</v>
      </c>
      <c r="L3" s="1" t="s">
        <v>52</v>
      </c>
      <c r="M3" s="1">
        <v>3.31</v>
      </c>
      <c r="N3" s="1">
        <v>39.5</v>
      </c>
      <c r="O3" s="1">
        <v>63.296239999999997</v>
      </c>
      <c r="P3" s="1">
        <v>-168.44944000000001</v>
      </c>
      <c r="Q3" s="1">
        <v>3.8214999999999999</v>
      </c>
      <c r="R3" s="1">
        <v>32.063000000000002</v>
      </c>
      <c r="S3" s="1">
        <v>355.36399999999998</v>
      </c>
      <c r="T3" s="1">
        <v>51.52</v>
      </c>
      <c r="U3" s="1">
        <v>44.84</v>
      </c>
      <c r="V3" s="1">
        <v>3620</v>
      </c>
      <c r="W3" s="3">
        <v>3.3151000000000002</v>
      </c>
      <c r="X3" s="1" t="s">
        <v>53</v>
      </c>
      <c r="Y3" s="1">
        <v>6.73</v>
      </c>
      <c r="Z3" s="1">
        <v>1.31</v>
      </c>
      <c r="AA3" s="1">
        <v>0.38100000000000001</v>
      </c>
      <c r="AB3" s="1">
        <v>1.1000000000000001</v>
      </c>
      <c r="AC3" s="1">
        <v>0.2</v>
      </c>
      <c r="AD3" s="1">
        <v>0.02</v>
      </c>
      <c r="AE3" s="1">
        <v>7.0000000000000007E-2</v>
      </c>
      <c r="AF3" s="1">
        <v>0.22</v>
      </c>
      <c r="AG3" s="1"/>
      <c r="AH3" s="1" t="s">
        <v>57</v>
      </c>
      <c r="AI3" s="1">
        <v>19</v>
      </c>
      <c r="AJ3" s="1" t="s">
        <v>53</v>
      </c>
      <c r="AK3" s="1">
        <v>7.5</v>
      </c>
      <c r="AL3" s="1">
        <v>82.887900000000002</v>
      </c>
      <c r="AM3" s="1" t="s">
        <v>53</v>
      </c>
      <c r="AN3" s="1">
        <v>1.14897413024086</v>
      </c>
      <c r="AO3" s="1">
        <v>0.17343005739484599</v>
      </c>
      <c r="AP3" s="1"/>
      <c r="AQ3" s="1"/>
      <c r="AR3" s="1"/>
      <c r="AS3" s="1" t="s">
        <v>58</v>
      </c>
      <c r="AT3" s="1"/>
    </row>
    <row r="4" spans="1:46">
      <c r="A4" s="1" t="s">
        <v>59</v>
      </c>
      <c r="B4" s="1">
        <v>16</v>
      </c>
      <c r="C4" s="1" t="s">
        <v>59</v>
      </c>
      <c r="D4" s="1" t="s">
        <v>60</v>
      </c>
      <c r="E4" s="1" t="s">
        <v>47</v>
      </c>
      <c r="F4" s="1" t="s">
        <v>48</v>
      </c>
      <c r="G4" s="1" t="s">
        <v>49</v>
      </c>
      <c r="H4" s="2" t="s">
        <v>50</v>
      </c>
      <c r="I4" s="1">
        <v>8</v>
      </c>
      <c r="J4" s="1">
        <v>20</v>
      </c>
      <c r="K4" s="1" t="s">
        <v>51</v>
      </c>
      <c r="L4" s="1" t="s">
        <v>52</v>
      </c>
      <c r="M4" s="1">
        <v>3.31</v>
      </c>
      <c r="N4" s="1">
        <v>39.5</v>
      </c>
      <c r="O4" s="1">
        <v>63.296239999999997</v>
      </c>
      <c r="P4" s="1">
        <v>-168.44944000000001</v>
      </c>
      <c r="Q4" s="1">
        <v>3.8214999999999999</v>
      </c>
      <c r="R4" s="1">
        <v>32.063000000000002</v>
      </c>
      <c r="S4" s="1">
        <v>355.36399999999998</v>
      </c>
      <c r="T4" s="1">
        <v>51.52</v>
      </c>
      <c r="U4" s="1">
        <v>44.84</v>
      </c>
      <c r="V4" s="1">
        <v>3620</v>
      </c>
      <c r="W4" s="3">
        <v>3.3151000000000002</v>
      </c>
      <c r="X4" s="1" t="s">
        <v>53</v>
      </c>
      <c r="Y4" s="1">
        <v>6.73</v>
      </c>
      <c r="Z4" s="1">
        <v>1.31</v>
      </c>
      <c r="AA4" s="1">
        <v>0.38100000000000001</v>
      </c>
      <c r="AB4" s="1">
        <v>1.1000000000000001</v>
      </c>
      <c r="AC4" s="1">
        <v>0.2</v>
      </c>
      <c r="AD4" s="1">
        <v>0.02</v>
      </c>
      <c r="AE4" s="1">
        <v>7.0000000000000007E-2</v>
      </c>
      <c r="AF4" s="1">
        <v>0.22</v>
      </c>
      <c r="AG4" s="1"/>
      <c r="AH4" s="1" t="s">
        <v>61</v>
      </c>
      <c r="AI4" s="1">
        <v>19</v>
      </c>
      <c r="AJ4" s="1" t="s">
        <v>53</v>
      </c>
      <c r="AK4" s="1">
        <v>7.5</v>
      </c>
      <c r="AL4" s="1">
        <v>82.887900000000002</v>
      </c>
      <c r="AM4" s="1" t="s">
        <v>53</v>
      </c>
      <c r="AN4" s="1">
        <v>1.14897413024086</v>
      </c>
      <c r="AO4" s="1">
        <v>0.17343005739484599</v>
      </c>
      <c r="AP4" s="1"/>
      <c r="AQ4" s="1"/>
      <c r="AR4" s="1"/>
      <c r="AS4" s="1"/>
      <c r="AT4" s="1"/>
    </row>
    <row r="5" spans="1:46">
      <c r="A5" s="1" t="s">
        <v>62</v>
      </c>
      <c r="B5" s="1">
        <v>11</v>
      </c>
      <c r="C5" s="1" t="s">
        <v>62</v>
      </c>
      <c r="D5" s="1" t="s">
        <v>63</v>
      </c>
      <c r="E5" s="1" t="s">
        <v>47</v>
      </c>
      <c r="F5" s="1" t="s">
        <v>48</v>
      </c>
      <c r="G5" s="1" t="s">
        <v>49</v>
      </c>
      <c r="H5" s="2" t="s">
        <v>50</v>
      </c>
      <c r="I5" s="1">
        <v>8</v>
      </c>
      <c r="J5" s="1">
        <v>0.2</v>
      </c>
      <c r="K5" s="1" t="s">
        <v>64</v>
      </c>
      <c r="L5" s="1" t="s">
        <v>65</v>
      </c>
      <c r="M5" s="1">
        <v>20.12</v>
      </c>
      <c r="N5" s="1">
        <v>39.5</v>
      </c>
      <c r="O5" s="1">
        <v>63.296239999999997</v>
      </c>
      <c r="P5" s="1">
        <v>-168.44944000000001</v>
      </c>
      <c r="Q5" s="1">
        <v>1.2765</v>
      </c>
      <c r="R5" s="1">
        <v>32.513500000000001</v>
      </c>
      <c r="S5" s="1">
        <v>333.50900000000001</v>
      </c>
      <c r="T5" s="1">
        <v>352.88</v>
      </c>
      <c r="U5" s="1">
        <v>51.94</v>
      </c>
      <c r="V5" s="1">
        <v>4559.99999999999</v>
      </c>
      <c r="W5" s="3">
        <v>3.2966000000000002</v>
      </c>
      <c r="X5" s="1" t="s">
        <v>66</v>
      </c>
      <c r="Y5" s="1">
        <v>2.78</v>
      </c>
      <c r="Z5" s="1">
        <v>0.43</v>
      </c>
      <c r="AA5" s="1">
        <v>1.228</v>
      </c>
      <c r="AB5" s="1">
        <v>8.1</v>
      </c>
      <c r="AC5" s="1">
        <v>6.7</v>
      </c>
      <c r="AD5" s="1">
        <v>0.14000000000000001</v>
      </c>
      <c r="AE5" s="1">
        <v>2.38</v>
      </c>
      <c r="AF5" s="1">
        <v>6.84</v>
      </c>
      <c r="AG5" s="1"/>
      <c r="AH5" s="1" t="s">
        <v>67</v>
      </c>
      <c r="AI5" s="1">
        <v>5</v>
      </c>
      <c r="AJ5" s="1" t="s">
        <v>66</v>
      </c>
      <c r="AK5" s="1">
        <v>9</v>
      </c>
      <c r="AL5" s="1">
        <v>71.179299999999998</v>
      </c>
      <c r="AM5" s="1" t="s">
        <v>66</v>
      </c>
      <c r="AN5" s="1">
        <v>6.7939930689256798</v>
      </c>
      <c r="AO5" s="1">
        <v>1.0255083877623701</v>
      </c>
      <c r="AP5" s="1"/>
      <c r="AQ5" s="1"/>
      <c r="AR5" s="1"/>
      <c r="AS5" s="1" t="s">
        <v>68</v>
      </c>
      <c r="AT5" s="1"/>
    </row>
    <row r="6" spans="1:46">
      <c r="A6" s="1" t="s">
        <v>69</v>
      </c>
      <c r="B6" s="1">
        <v>14</v>
      </c>
      <c r="C6" s="1" t="s">
        <v>69</v>
      </c>
      <c r="D6" s="1" t="s">
        <v>70</v>
      </c>
      <c r="E6" s="1" t="s">
        <v>47</v>
      </c>
      <c r="F6" s="1" t="s">
        <v>48</v>
      </c>
      <c r="G6" s="1" t="s">
        <v>49</v>
      </c>
      <c r="H6" s="2" t="s">
        <v>50</v>
      </c>
      <c r="I6" s="1">
        <v>8</v>
      </c>
      <c r="J6" s="1">
        <v>3</v>
      </c>
      <c r="K6" s="1" t="s">
        <v>64</v>
      </c>
      <c r="L6" s="1" t="s">
        <v>65</v>
      </c>
      <c r="M6" s="1">
        <v>20.12</v>
      </c>
      <c r="N6" s="1">
        <v>39.5</v>
      </c>
      <c r="O6" s="1">
        <v>63.296239999999997</v>
      </c>
      <c r="P6" s="1">
        <v>-168.44944000000001</v>
      </c>
      <c r="Q6" s="1">
        <v>1.2765</v>
      </c>
      <c r="R6" s="1">
        <v>32.513500000000001</v>
      </c>
      <c r="S6" s="1">
        <v>333.50900000000001</v>
      </c>
      <c r="T6" s="1">
        <v>352.88</v>
      </c>
      <c r="U6" s="1">
        <v>51.94</v>
      </c>
      <c r="V6" s="1">
        <v>4559.99999999999</v>
      </c>
      <c r="W6" s="3">
        <v>3.2966000000000002</v>
      </c>
      <c r="X6" s="1" t="s">
        <v>66</v>
      </c>
      <c r="Y6" s="1">
        <v>2.78</v>
      </c>
      <c r="Z6" s="1">
        <v>0.43</v>
      </c>
      <c r="AA6" s="1">
        <v>1.228</v>
      </c>
      <c r="AB6" s="1">
        <v>8.1</v>
      </c>
      <c r="AC6" s="1">
        <v>6.7</v>
      </c>
      <c r="AD6" s="1">
        <v>0.14000000000000001</v>
      </c>
      <c r="AE6" s="1">
        <v>2.38</v>
      </c>
      <c r="AF6" s="1">
        <v>6.84</v>
      </c>
      <c r="AG6" s="1"/>
      <c r="AH6" s="1" t="s">
        <v>71</v>
      </c>
      <c r="AI6" s="1">
        <v>5</v>
      </c>
      <c r="AJ6" s="1" t="s">
        <v>66</v>
      </c>
      <c r="AK6" s="1">
        <v>9</v>
      </c>
      <c r="AL6" s="1">
        <v>71.179299999999998</v>
      </c>
      <c r="AM6" s="1" t="s">
        <v>66</v>
      </c>
      <c r="AN6" s="1">
        <v>6.7939930689256798</v>
      </c>
      <c r="AO6" s="1">
        <v>1.0255083877623701</v>
      </c>
      <c r="AP6" s="1"/>
      <c r="AQ6" s="1"/>
      <c r="AR6" s="1"/>
      <c r="AS6" s="1"/>
      <c r="AT6" s="1"/>
    </row>
    <row r="7" spans="1:46">
      <c r="A7" s="1" t="s">
        <v>72</v>
      </c>
      <c r="B7" s="1">
        <v>17</v>
      </c>
      <c r="C7" s="1" t="s">
        <v>72</v>
      </c>
      <c r="D7" s="1" t="s">
        <v>73</v>
      </c>
      <c r="E7" s="1" t="s">
        <v>47</v>
      </c>
      <c r="F7" s="1" t="s">
        <v>48</v>
      </c>
      <c r="G7" s="1" t="s">
        <v>49</v>
      </c>
      <c r="H7" s="2" t="s">
        <v>50</v>
      </c>
      <c r="I7" s="1">
        <v>8</v>
      </c>
      <c r="J7" s="1">
        <v>20</v>
      </c>
      <c r="K7" s="1" t="s">
        <v>64</v>
      </c>
      <c r="L7" s="1" t="s">
        <v>65</v>
      </c>
      <c r="M7" s="1">
        <v>20.12</v>
      </c>
      <c r="N7" s="1">
        <v>39.5</v>
      </c>
      <c r="O7" s="1">
        <v>63.296239999999997</v>
      </c>
      <c r="P7" s="1">
        <v>-168.44944000000001</v>
      </c>
      <c r="Q7" s="1">
        <v>1.2765</v>
      </c>
      <c r="R7" s="1">
        <v>32.513500000000001</v>
      </c>
      <c r="S7" s="1">
        <v>333.50900000000001</v>
      </c>
      <c r="T7" s="1">
        <v>352.88</v>
      </c>
      <c r="U7" s="1">
        <v>51.94</v>
      </c>
      <c r="V7" s="1">
        <v>4559.99999999999</v>
      </c>
      <c r="W7" s="3">
        <v>3.2966000000000002</v>
      </c>
      <c r="X7" s="1" t="s">
        <v>66</v>
      </c>
      <c r="Y7" s="1">
        <v>2.78</v>
      </c>
      <c r="Z7" s="1">
        <v>0.43</v>
      </c>
      <c r="AA7" s="1">
        <v>1.228</v>
      </c>
      <c r="AB7" s="1">
        <v>8.1</v>
      </c>
      <c r="AC7" s="1">
        <v>6.7</v>
      </c>
      <c r="AD7" s="1">
        <v>0.14000000000000001</v>
      </c>
      <c r="AE7" s="1">
        <v>2.38</v>
      </c>
      <c r="AF7" s="1">
        <v>6.84</v>
      </c>
      <c r="AG7" s="1"/>
      <c r="AH7" s="1" t="s">
        <v>74</v>
      </c>
      <c r="AI7" s="1">
        <v>5</v>
      </c>
      <c r="AJ7" s="1" t="s">
        <v>66</v>
      </c>
      <c r="AK7" s="1">
        <v>9</v>
      </c>
      <c r="AL7" s="1">
        <v>71.179299999999998</v>
      </c>
      <c r="AM7" s="1" t="s">
        <v>66</v>
      </c>
      <c r="AN7" s="1">
        <v>6.7939930689256798</v>
      </c>
      <c r="AO7" s="1">
        <v>1.0255083877623701</v>
      </c>
      <c r="AP7" s="1"/>
      <c r="AQ7" s="1"/>
      <c r="AR7" s="1"/>
      <c r="AS7" s="1"/>
      <c r="AT7" s="1"/>
    </row>
    <row r="8" spans="1:46">
      <c r="A8" s="1" t="s">
        <v>75</v>
      </c>
      <c r="B8" s="1">
        <v>12</v>
      </c>
      <c r="C8" s="1" t="s">
        <v>75</v>
      </c>
      <c r="D8" s="1" t="s">
        <v>76</v>
      </c>
      <c r="E8" s="1" t="s">
        <v>47</v>
      </c>
      <c r="F8" s="1" t="s">
        <v>48</v>
      </c>
      <c r="G8" s="1" t="s">
        <v>49</v>
      </c>
      <c r="H8" s="2" t="s">
        <v>50</v>
      </c>
      <c r="I8" s="1">
        <v>8</v>
      </c>
      <c r="J8" s="1">
        <v>0.2</v>
      </c>
      <c r="K8" s="1" t="s">
        <v>77</v>
      </c>
      <c r="L8" s="1" t="s">
        <v>78</v>
      </c>
      <c r="M8" s="1">
        <v>36.04</v>
      </c>
      <c r="N8" s="1">
        <v>39.5</v>
      </c>
      <c r="O8" s="1">
        <v>63.296239999999997</v>
      </c>
      <c r="P8" s="1">
        <v>-168.44944000000001</v>
      </c>
      <c r="Q8" s="1">
        <v>1.1085</v>
      </c>
      <c r="R8" s="1">
        <v>32.526499999999999</v>
      </c>
      <c r="S8" s="1">
        <v>329.81299999999999</v>
      </c>
      <c r="T8" s="1">
        <v>473.46</v>
      </c>
      <c r="U8" s="1">
        <v>68.58</v>
      </c>
      <c r="V8" s="1">
        <v>8400.0000000000091</v>
      </c>
      <c r="W8" s="3">
        <v>4.4335000000000004</v>
      </c>
      <c r="X8" s="1" t="s">
        <v>79</v>
      </c>
      <c r="Y8" s="1">
        <v>9.93</v>
      </c>
      <c r="Z8" s="1">
        <v>2.12</v>
      </c>
      <c r="AA8" s="1">
        <v>1.3120000000000001</v>
      </c>
      <c r="AB8" s="1">
        <v>7.6</v>
      </c>
      <c r="AC8" s="1">
        <v>7.3</v>
      </c>
      <c r="AD8" s="1">
        <v>0.14000000000000001</v>
      </c>
      <c r="AE8" s="1">
        <v>2.5299999999999998</v>
      </c>
      <c r="AF8" s="1">
        <v>7.44</v>
      </c>
      <c r="AG8" s="1"/>
      <c r="AH8" s="1" t="s">
        <v>80</v>
      </c>
      <c r="AI8" s="1">
        <v>1</v>
      </c>
      <c r="AJ8" s="1" t="s">
        <v>79</v>
      </c>
      <c r="AK8" s="1">
        <v>9</v>
      </c>
      <c r="AL8" s="1">
        <v>57.040900000000001</v>
      </c>
      <c r="AM8" s="1" t="s">
        <v>79</v>
      </c>
      <c r="AN8" s="1">
        <v>6.9037620297462796</v>
      </c>
      <c r="AO8" s="1">
        <v>1.04207728750887</v>
      </c>
      <c r="AP8" s="1"/>
      <c r="AQ8" s="1"/>
      <c r="AR8" s="1"/>
      <c r="AS8" s="1"/>
      <c r="AT8" s="1"/>
    </row>
    <row r="9" spans="1:46">
      <c r="A9" s="1" t="s">
        <v>81</v>
      </c>
      <c r="B9" s="1">
        <v>15</v>
      </c>
      <c r="C9" s="1" t="s">
        <v>81</v>
      </c>
      <c r="D9" s="1" t="s">
        <v>82</v>
      </c>
      <c r="E9" s="1" t="s">
        <v>47</v>
      </c>
      <c r="F9" s="1" t="s">
        <v>48</v>
      </c>
      <c r="G9" s="1" t="s">
        <v>49</v>
      </c>
      <c r="H9" s="2" t="s">
        <v>50</v>
      </c>
      <c r="I9" s="1">
        <v>8</v>
      </c>
      <c r="J9" s="1">
        <v>3</v>
      </c>
      <c r="K9" s="1" t="s">
        <v>77</v>
      </c>
      <c r="L9" s="1" t="s">
        <v>78</v>
      </c>
      <c r="M9" s="1">
        <v>36.04</v>
      </c>
      <c r="N9" s="1">
        <v>39.5</v>
      </c>
      <c r="O9" s="1">
        <v>63.296239999999997</v>
      </c>
      <c r="P9" s="1">
        <v>-168.44944000000001</v>
      </c>
      <c r="Q9" s="1">
        <v>1.1085</v>
      </c>
      <c r="R9" s="1">
        <v>32.526499999999999</v>
      </c>
      <c r="S9" s="1">
        <v>329.81299999999999</v>
      </c>
      <c r="T9" s="1">
        <v>473.46</v>
      </c>
      <c r="U9" s="1">
        <v>68.58</v>
      </c>
      <c r="V9" s="1">
        <v>8400.0000000000091</v>
      </c>
      <c r="W9" s="3">
        <v>4.4335000000000004</v>
      </c>
      <c r="X9" s="1" t="s">
        <v>79</v>
      </c>
      <c r="Y9" s="1">
        <v>9.93</v>
      </c>
      <c r="Z9" s="1">
        <v>2.12</v>
      </c>
      <c r="AA9" s="1">
        <v>1.3120000000000001</v>
      </c>
      <c r="AB9" s="1">
        <v>7.6</v>
      </c>
      <c r="AC9" s="1">
        <v>7.3</v>
      </c>
      <c r="AD9" s="1">
        <v>0.14000000000000001</v>
      </c>
      <c r="AE9" s="1">
        <v>2.5299999999999998</v>
      </c>
      <c r="AF9" s="1">
        <v>7.44</v>
      </c>
      <c r="AG9" s="1"/>
      <c r="AH9" s="1" t="s">
        <v>83</v>
      </c>
      <c r="AI9" s="1">
        <v>1</v>
      </c>
      <c r="AJ9" s="1" t="s">
        <v>79</v>
      </c>
      <c r="AK9" s="1">
        <v>9</v>
      </c>
      <c r="AL9" s="1">
        <v>57.040900000000001</v>
      </c>
      <c r="AM9" s="1" t="s">
        <v>79</v>
      </c>
      <c r="AN9" s="1">
        <v>6.9037620297462796</v>
      </c>
      <c r="AO9" s="1">
        <v>1.04207728750887</v>
      </c>
      <c r="AP9" s="1"/>
      <c r="AQ9" s="1"/>
      <c r="AR9" s="1"/>
      <c r="AS9" s="1" t="s">
        <v>84</v>
      </c>
      <c r="AT9" s="1"/>
    </row>
    <row r="10" spans="1:46">
      <c r="A10" s="1" t="s">
        <v>85</v>
      </c>
      <c r="B10" s="1">
        <v>18</v>
      </c>
      <c r="C10" s="1" t="s">
        <v>85</v>
      </c>
      <c r="D10" s="1" t="s">
        <v>86</v>
      </c>
      <c r="E10" s="1" t="s">
        <v>47</v>
      </c>
      <c r="F10" s="1" t="s">
        <v>48</v>
      </c>
      <c r="G10" s="1" t="s">
        <v>49</v>
      </c>
      <c r="H10" s="2" t="s">
        <v>50</v>
      </c>
      <c r="I10" s="1">
        <v>8</v>
      </c>
      <c r="J10" s="1">
        <v>20</v>
      </c>
      <c r="K10" s="1" t="s">
        <v>77</v>
      </c>
      <c r="L10" s="1" t="s">
        <v>78</v>
      </c>
      <c r="M10" s="1">
        <v>36.04</v>
      </c>
      <c r="N10" s="1">
        <v>39.5</v>
      </c>
      <c r="O10" s="1">
        <v>63.296239999999997</v>
      </c>
      <c r="P10" s="1">
        <v>-168.44944000000001</v>
      </c>
      <c r="Q10" s="1">
        <v>1.1085</v>
      </c>
      <c r="R10" s="1">
        <v>32.526499999999999</v>
      </c>
      <c r="S10" s="1">
        <v>329.81299999999999</v>
      </c>
      <c r="T10" s="1">
        <v>473.46</v>
      </c>
      <c r="U10" s="1">
        <v>68.58</v>
      </c>
      <c r="V10" s="1">
        <v>8400.0000000000091</v>
      </c>
      <c r="W10" s="3">
        <v>4.4335000000000004</v>
      </c>
      <c r="X10" s="1" t="s">
        <v>79</v>
      </c>
      <c r="Y10" s="1">
        <v>9.93</v>
      </c>
      <c r="Z10" s="1">
        <v>2.12</v>
      </c>
      <c r="AA10" s="1">
        <v>1.3120000000000001</v>
      </c>
      <c r="AB10" s="1">
        <v>7.6</v>
      </c>
      <c r="AC10" s="1">
        <v>7.3</v>
      </c>
      <c r="AD10" s="1">
        <v>0.14000000000000001</v>
      </c>
      <c r="AE10" s="1">
        <v>2.5299999999999998</v>
      </c>
      <c r="AF10" s="1">
        <v>7.44</v>
      </c>
      <c r="AG10" s="1"/>
      <c r="AH10" s="1" t="s">
        <v>87</v>
      </c>
      <c r="AI10" s="1">
        <v>1</v>
      </c>
      <c r="AJ10" s="1" t="s">
        <v>79</v>
      </c>
      <c r="AK10" s="1">
        <v>9</v>
      </c>
      <c r="AL10" s="1">
        <v>57.040900000000001</v>
      </c>
      <c r="AM10" s="1" t="s">
        <v>79</v>
      </c>
      <c r="AN10" s="1">
        <v>6.9037620297462796</v>
      </c>
      <c r="AO10" s="1">
        <v>1.04207728750887</v>
      </c>
      <c r="AP10" s="1"/>
      <c r="AQ10" s="1"/>
      <c r="AR10" s="1"/>
      <c r="AS10" s="1"/>
      <c r="AT10" s="1"/>
    </row>
    <row r="11" spans="1:46">
      <c r="A11" s="1" t="s">
        <v>88</v>
      </c>
      <c r="B11" s="1">
        <v>1</v>
      </c>
      <c r="C11" s="1" t="s">
        <v>88</v>
      </c>
      <c r="D11" s="1" t="s">
        <v>89</v>
      </c>
      <c r="E11" s="1" t="s">
        <v>47</v>
      </c>
      <c r="F11" s="1" t="s">
        <v>90</v>
      </c>
      <c r="G11" s="1" t="s">
        <v>49</v>
      </c>
      <c r="H11" s="2" t="s">
        <v>91</v>
      </c>
      <c r="I11" s="1">
        <v>4</v>
      </c>
      <c r="J11" s="1">
        <v>0.2</v>
      </c>
      <c r="K11" s="1" t="s">
        <v>51</v>
      </c>
      <c r="L11" s="1" t="s">
        <v>52</v>
      </c>
      <c r="M11" s="1">
        <v>3.26</v>
      </c>
      <c r="N11" s="1">
        <v>29.5</v>
      </c>
      <c r="O11" s="1">
        <v>64.380719999999997</v>
      </c>
      <c r="P11" s="1">
        <v>-167.07002</v>
      </c>
      <c r="Q11" s="1">
        <v>4.8674999999999997</v>
      </c>
      <c r="R11" s="1">
        <v>31.170500000000001</v>
      </c>
      <c r="S11" s="1">
        <v>336.28800000000001</v>
      </c>
      <c r="T11" s="1">
        <v>142.22</v>
      </c>
      <c r="U11" s="1">
        <v>23.68</v>
      </c>
      <c r="V11" s="1">
        <v>2080</v>
      </c>
      <c r="W11" s="3">
        <v>0.14019999999999999</v>
      </c>
      <c r="X11" s="1" t="s">
        <v>92</v>
      </c>
      <c r="Y11" s="1">
        <v>0.15</v>
      </c>
      <c r="Z11" s="1">
        <v>0.2</v>
      </c>
      <c r="AA11" s="1">
        <v>0.35699999999999998</v>
      </c>
      <c r="AB11" s="1">
        <v>2.6</v>
      </c>
      <c r="AC11" s="1">
        <v>0</v>
      </c>
      <c r="AD11" s="1">
        <v>0.02</v>
      </c>
      <c r="AE11" s="1">
        <v>0.19</v>
      </c>
      <c r="AF11" s="1">
        <v>0.02</v>
      </c>
      <c r="AG11" s="1"/>
      <c r="AH11" s="1" t="s">
        <v>93</v>
      </c>
      <c r="AI11" s="1">
        <v>24</v>
      </c>
      <c r="AJ11" s="1" t="s">
        <v>94</v>
      </c>
      <c r="AK11" s="1">
        <v>9</v>
      </c>
      <c r="AL11" s="1">
        <v>92.720500000000001</v>
      </c>
      <c r="AM11" s="1" t="s">
        <v>94</v>
      </c>
      <c r="AN11" s="1">
        <v>6.0059121621621596</v>
      </c>
      <c r="AO11" s="1">
        <v>0.906552779194289</v>
      </c>
      <c r="AP11" s="1"/>
      <c r="AQ11" s="1"/>
      <c r="AR11" s="1"/>
      <c r="AS11" s="1" t="s">
        <v>95</v>
      </c>
      <c r="AT11" s="1"/>
    </row>
    <row r="12" spans="1:46">
      <c r="A12" s="1" t="s">
        <v>96</v>
      </c>
      <c r="B12" s="1">
        <v>2</v>
      </c>
      <c r="C12" s="1" t="s">
        <v>96</v>
      </c>
      <c r="D12" s="1" t="s">
        <v>97</v>
      </c>
      <c r="E12" s="1" t="s">
        <v>47</v>
      </c>
      <c r="F12" s="1" t="s">
        <v>90</v>
      </c>
      <c r="G12" s="1" t="s">
        <v>49</v>
      </c>
      <c r="H12" s="2" t="s">
        <v>91</v>
      </c>
      <c r="I12" s="1">
        <v>4</v>
      </c>
      <c r="J12" s="1">
        <v>3</v>
      </c>
      <c r="K12" s="1" t="s">
        <v>51</v>
      </c>
      <c r="L12" s="1" t="s">
        <v>52</v>
      </c>
      <c r="M12" s="1">
        <v>3.26</v>
      </c>
      <c r="N12" s="1">
        <v>29.5</v>
      </c>
      <c r="O12" s="1">
        <v>64.380719999999997</v>
      </c>
      <c r="P12" s="1">
        <v>-167.07002</v>
      </c>
      <c r="Q12" s="1">
        <v>4.8674999999999997</v>
      </c>
      <c r="R12" s="1">
        <v>31.170500000000001</v>
      </c>
      <c r="S12" s="1">
        <v>336.28800000000001</v>
      </c>
      <c r="T12" s="1">
        <v>142.22</v>
      </c>
      <c r="U12" s="1">
        <v>23.68</v>
      </c>
      <c r="V12" s="1">
        <v>2080</v>
      </c>
      <c r="W12" s="3">
        <v>0.14019999999999999</v>
      </c>
      <c r="X12" s="1" t="s">
        <v>92</v>
      </c>
      <c r="Y12" s="1">
        <v>0.15</v>
      </c>
      <c r="Z12" s="1">
        <v>0.2</v>
      </c>
      <c r="AA12" s="1">
        <v>0.35699999999999998</v>
      </c>
      <c r="AB12" s="1">
        <v>2.6</v>
      </c>
      <c r="AC12" s="1">
        <v>0</v>
      </c>
      <c r="AD12" s="1">
        <v>0.02</v>
      </c>
      <c r="AE12" s="1">
        <v>0.19</v>
      </c>
      <c r="AF12" s="1">
        <v>0.02</v>
      </c>
      <c r="AG12" s="1"/>
      <c r="AH12" s="1" t="s">
        <v>98</v>
      </c>
      <c r="AI12" s="1">
        <v>24</v>
      </c>
      <c r="AJ12" s="1" t="s">
        <v>94</v>
      </c>
      <c r="AK12" s="1">
        <v>9</v>
      </c>
      <c r="AL12" s="1">
        <v>92.720500000000001</v>
      </c>
      <c r="AM12" s="1" t="s">
        <v>94</v>
      </c>
      <c r="AN12" s="1">
        <v>6.0059121621621596</v>
      </c>
      <c r="AO12" s="1">
        <v>0.906552779194289</v>
      </c>
      <c r="AP12" s="1"/>
      <c r="AQ12" s="1"/>
      <c r="AR12" s="1"/>
      <c r="AS12" s="1"/>
      <c r="AT12" s="1"/>
    </row>
    <row r="13" spans="1:46">
      <c r="A13" s="1" t="s">
        <v>99</v>
      </c>
      <c r="B13" s="1">
        <v>3</v>
      </c>
      <c r="C13" s="1" t="s">
        <v>99</v>
      </c>
      <c r="D13" s="1" t="s">
        <v>100</v>
      </c>
      <c r="E13" s="1" t="s">
        <v>47</v>
      </c>
      <c r="F13" s="1" t="s">
        <v>90</v>
      </c>
      <c r="G13" s="1" t="s">
        <v>49</v>
      </c>
      <c r="H13" s="2" t="s">
        <v>91</v>
      </c>
      <c r="I13" s="1">
        <v>4</v>
      </c>
      <c r="J13" s="1">
        <v>20</v>
      </c>
      <c r="K13" s="1" t="s">
        <v>51</v>
      </c>
      <c r="L13" s="1" t="s">
        <v>52</v>
      </c>
      <c r="M13" s="1">
        <v>3.26</v>
      </c>
      <c r="N13" s="1">
        <v>29.5</v>
      </c>
      <c r="O13" s="1">
        <v>64.380719999999997</v>
      </c>
      <c r="P13" s="1">
        <v>-167.07002</v>
      </c>
      <c r="Q13" s="1">
        <v>4.8674999999999997</v>
      </c>
      <c r="R13" s="1">
        <v>31.170500000000001</v>
      </c>
      <c r="S13" s="1">
        <v>336.28800000000001</v>
      </c>
      <c r="T13" s="1">
        <v>142.22</v>
      </c>
      <c r="U13" s="1">
        <v>23.68</v>
      </c>
      <c r="V13" s="1">
        <v>2080</v>
      </c>
      <c r="W13" s="3">
        <v>0.14019999999999999</v>
      </c>
      <c r="X13" s="1" t="s">
        <v>92</v>
      </c>
      <c r="Y13" s="1">
        <v>0.15</v>
      </c>
      <c r="Z13" s="1">
        <v>0.2</v>
      </c>
      <c r="AA13" s="1">
        <v>0.35699999999999998</v>
      </c>
      <c r="AB13" s="1">
        <v>2.6</v>
      </c>
      <c r="AC13" s="1">
        <v>0</v>
      </c>
      <c r="AD13" s="1">
        <v>0.02</v>
      </c>
      <c r="AE13" s="1">
        <v>0.19</v>
      </c>
      <c r="AF13" s="1">
        <v>0.02</v>
      </c>
      <c r="AG13" s="1"/>
      <c r="AH13" s="1" t="s">
        <v>101</v>
      </c>
      <c r="AI13" s="1">
        <v>24</v>
      </c>
      <c r="AJ13" s="1" t="s">
        <v>94</v>
      </c>
      <c r="AK13" s="1">
        <v>9</v>
      </c>
      <c r="AL13" s="1">
        <v>92.720500000000001</v>
      </c>
      <c r="AM13" s="1" t="s">
        <v>94</v>
      </c>
      <c r="AN13" s="1">
        <v>6.0059121621621596</v>
      </c>
      <c r="AO13" s="1">
        <v>0.906552779194289</v>
      </c>
      <c r="AP13" s="1"/>
      <c r="AQ13" s="1"/>
      <c r="AR13" s="1"/>
      <c r="AS13" s="1"/>
      <c r="AT13" s="1"/>
    </row>
    <row r="14" spans="1:46">
      <c r="A14" s="1" t="s">
        <v>102</v>
      </c>
      <c r="B14" s="1">
        <v>4</v>
      </c>
      <c r="C14" s="1" t="s">
        <v>102</v>
      </c>
      <c r="D14" s="1" t="s">
        <v>103</v>
      </c>
      <c r="E14" s="1" t="s">
        <v>47</v>
      </c>
      <c r="F14" s="1" t="s">
        <v>90</v>
      </c>
      <c r="G14" s="1" t="s">
        <v>49</v>
      </c>
      <c r="H14" s="2" t="s">
        <v>91</v>
      </c>
      <c r="I14" s="1">
        <v>4</v>
      </c>
      <c r="J14" s="1">
        <v>0.2</v>
      </c>
      <c r="K14" s="1" t="s">
        <v>104</v>
      </c>
      <c r="L14" s="1" t="s">
        <v>78</v>
      </c>
      <c r="M14" s="1">
        <v>25.86</v>
      </c>
      <c r="N14" s="1">
        <v>29.5</v>
      </c>
      <c r="O14" s="1">
        <v>64.380719999999997</v>
      </c>
      <c r="P14" s="1">
        <v>-167.07002</v>
      </c>
      <c r="Q14" s="1">
        <v>-0.437</v>
      </c>
      <c r="R14" s="1">
        <v>32.165500000000002</v>
      </c>
      <c r="S14" s="1">
        <v>397.00700000000001</v>
      </c>
      <c r="T14" s="1">
        <v>295.5</v>
      </c>
      <c r="U14" s="1">
        <v>39.020000000000003</v>
      </c>
      <c r="V14" s="1">
        <v>4840</v>
      </c>
      <c r="W14" s="3">
        <v>2.5131999999999999</v>
      </c>
      <c r="X14" s="1" t="s">
        <v>105</v>
      </c>
      <c r="Y14" s="1">
        <v>1.02</v>
      </c>
      <c r="Z14" s="1">
        <v>4.0999999999999996</v>
      </c>
      <c r="AA14" s="1">
        <v>0.96</v>
      </c>
      <c r="AB14" s="1">
        <v>4.2</v>
      </c>
      <c r="AC14" s="1">
        <v>0.5</v>
      </c>
      <c r="AD14" s="1">
        <v>0.05</v>
      </c>
      <c r="AE14" s="1">
        <v>1.0900000000000001</v>
      </c>
      <c r="AF14" s="1">
        <v>0.55000000000000004</v>
      </c>
      <c r="AG14" s="1"/>
      <c r="AH14" s="1" t="s">
        <v>106</v>
      </c>
      <c r="AI14" s="1">
        <v>8</v>
      </c>
      <c r="AJ14" s="1" t="s">
        <v>107</v>
      </c>
      <c r="AK14" s="1">
        <v>9</v>
      </c>
      <c r="AL14" s="1">
        <v>73.072999999999993</v>
      </c>
      <c r="AM14" s="1" t="s">
        <v>105</v>
      </c>
      <c r="AN14" s="1">
        <v>7.5730394669400303</v>
      </c>
      <c r="AO14" s="1">
        <v>1.14310029689661</v>
      </c>
      <c r="AP14" s="1"/>
      <c r="AQ14" s="1"/>
      <c r="AR14" s="1"/>
      <c r="AS14" s="1"/>
      <c r="AT14" s="1"/>
    </row>
    <row r="15" spans="1:46">
      <c r="A15" s="1" t="s">
        <v>108</v>
      </c>
      <c r="B15" s="1">
        <v>5</v>
      </c>
      <c r="C15" s="1" t="s">
        <v>108</v>
      </c>
      <c r="D15" s="1" t="s">
        <v>109</v>
      </c>
      <c r="E15" s="1" t="s">
        <v>47</v>
      </c>
      <c r="F15" s="1" t="s">
        <v>90</v>
      </c>
      <c r="G15" s="1" t="s">
        <v>49</v>
      </c>
      <c r="H15" s="2" t="s">
        <v>91</v>
      </c>
      <c r="I15" s="1">
        <v>4</v>
      </c>
      <c r="J15" s="1">
        <v>3</v>
      </c>
      <c r="K15" s="1" t="s">
        <v>104</v>
      </c>
      <c r="L15" s="1" t="s">
        <v>78</v>
      </c>
      <c r="M15" s="1">
        <v>25.86</v>
      </c>
      <c r="N15" s="1">
        <v>29.5</v>
      </c>
      <c r="O15" s="1">
        <v>64.380719999999997</v>
      </c>
      <c r="P15" s="1">
        <v>-167.07002</v>
      </c>
      <c r="Q15" s="1">
        <v>-0.437</v>
      </c>
      <c r="R15" s="1">
        <v>32.165500000000002</v>
      </c>
      <c r="S15" s="1">
        <v>397.00700000000001</v>
      </c>
      <c r="T15" s="1">
        <v>295.5</v>
      </c>
      <c r="U15" s="1">
        <v>39.020000000000003</v>
      </c>
      <c r="V15" s="1">
        <v>4840</v>
      </c>
      <c r="W15" s="3">
        <v>2.5131999999999999</v>
      </c>
      <c r="X15" s="1" t="s">
        <v>105</v>
      </c>
      <c r="Y15" s="1">
        <v>1.02</v>
      </c>
      <c r="Z15" s="1">
        <v>4.0999999999999996</v>
      </c>
      <c r="AA15" s="1">
        <v>0.96</v>
      </c>
      <c r="AB15" s="1">
        <v>4.2</v>
      </c>
      <c r="AC15" s="1">
        <v>0.5</v>
      </c>
      <c r="AD15" s="1">
        <v>0.05</v>
      </c>
      <c r="AE15" s="1">
        <v>1.0900000000000001</v>
      </c>
      <c r="AF15" s="1">
        <v>0.55000000000000004</v>
      </c>
      <c r="AG15" s="1"/>
      <c r="AH15" s="1" t="s">
        <v>110</v>
      </c>
      <c r="AI15" s="1">
        <v>8</v>
      </c>
      <c r="AJ15" s="1" t="s">
        <v>107</v>
      </c>
      <c r="AK15" s="1">
        <v>9</v>
      </c>
      <c r="AL15" s="1">
        <v>73.072999999999993</v>
      </c>
      <c r="AM15" s="1" t="s">
        <v>105</v>
      </c>
      <c r="AN15" s="1">
        <v>7.5730394669400303</v>
      </c>
      <c r="AO15" s="1">
        <v>1.14310029689661</v>
      </c>
      <c r="AP15" s="1"/>
      <c r="AQ15" s="1"/>
      <c r="AR15" s="1"/>
      <c r="AS15" s="1"/>
      <c r="AT15" s="1"/>
    </row>
    <row r="16" spans="1:46">
      <c r="A16" s="1" t="s">
        <v>111</v>
      </c>
      <c r="B16" s="1">
        <v>6</v>
      </c>
      <c r="C16" s="1" t="s">
        <v>111</v>
      </c>
      <c r="D16" s="1" t="s">
        <v>112</v>
      </c>
      <c r="E16" s="1" t="s">
        <v>47</v>
      </c>
      <c r="F16" s="1" t="s">
        <v>90</v>
      </c>
      <c r="G16" s="1" t="s">
        <v>49</v>
      </c>
      <c r="H16" s="2" t="s">
        <v>91</v>
      </c>
      <c r="I16" s="1">
        <v>4</v>
      </c>
      <c r="J16" s="1">
        <v>20</v>
      </c>
      <c r="K16" s="1" t="s">
        <v>104</v>
      </c>
      <c r="L16" s="1" t="s">
        <v>78</v>
      </c>
      <c r="M16" s="1">
        <v>25.86</v>
      </c>
      <c r="N16" s="1">
        <v>29.5</v>
      </c>
      <c r="O16" s="1">
        <v>64.380719999999997</v>
      </c>
      <c r="P16" s="1">
        <v>-167.07002</v>
      </c>
      <c r="Q16" s="1">
        <v>-0.437</v>
      </c>
      <c r="R16" s="1">
        <v>32.165500000000002</v>
      </c>
      <c r="S16" s="1">
        <v>397.00700000000001</v>
      </c>
      <c r="T16" s="1">
        <v>295.5</v>
      </c>
      <c r="U16" s="1">
        <v>39.020000000000003</v>
      </c>
      <c r="V16" s="1">
        <v>4840</v>
      </c>
      <c r="W16" s="3">
        <v>2.5131999999999999</v>
      </c>
      <c r="X16" s="1" t="s">
        <v>105</v>
      </c>
      <c r="Y16" s="1">
        <v>1.02</v>
      </c>
      <c r="Z16" s="1">
        <v>4.0999999999999996</v>
      </c>
      <c r="AA16" s="1">
        <v>0.96</v>
      </c>
      <c r="AB16" s="1">
        <v>4.2</v>
      </c>
      <c r="AC16" s="1">
        <v>0.5</v>
      </c>
      <c r="AD16" s="1">
        <v>0.05</v>
      </c>
      <c r="AE16" s="1">
        <v>1.0900000000000001</v>
      </c>
      <c r="AF16" s="1">
        <v>0.55000000000000004</v>
      </c>
      <c r="AG16" s="1"/>
      <c r="AH16" s="1" t="s">
        <v>113</v>
      </c>
      <c r="AI16" s="1">
        <v>8</v>
      </c>
      <c r="AJ16" s="1" t="s">
        <v>107</v>
      </c>
      <c r="AK16" s="1">
        <v>9</v>
      </c>
      <c r="AL16" s="1">
        <v>73.072999999999993</v>
      </c>
      <c r="AM16" s="1" t="s">
        <v>105</v>
      </c>
      <c r="AN16" s="1">
        <v>7.5730394669400303</v>
      </c>
      <c r="AO16" s="1">
        <v>1.14310029689661</v>
      </c>
      <c r="AP16" s="1"/>
      <c r="AQ16" s="1"/>
      <c r="AR16" s="1"/>
      <c r="AS16" s="1"/>
      <c r="AT16" s="1"/>
    </row>
    <row r="17" spans="1:46">
      <c r="A17" s="1" t="s">
        <v>114</v>
      </c>
      <c r="B17" s="1">
        <v>7</v>
      </c>
      <c r="C17" s="1" t="s">
        <v>114</v>
      </c>
      <c r="D17" s="1" t="s">
        <v>115</v>
      </c>
      <c r="E17" s="1" t="s">
        <v>47</v>
      </c>
      <c r="F17" s="1" t="s">
        <v>90</v>
      </c>
      <c r="G17" s="1" t="s">
        <v>49</v>
      </c>
      <c r="H17" s="2" t="s">
        <v>91</v>
      </c>
      <c r="I17" s="1">
        <v>4</v>
      </c>
      <c r="J17" s="1">
        <v>0.2</v>
      </c>
      <c r="K17" s="1" t="s">
        <v>77</v>
      </c>
      <c r="L17" s="1" t="s">
        <v>78</v>
      </c>
      <c r="M17" s="1">
        <v>25.97</v>
      </c>
      <c r="N17" s="1">
        <v>29.5</v>
      </c>
      <c r="O17" s="1">
        <v>64.380719999999997</v>
      </c>
      <c r="P17" s="1">
        <v>-167.07002</v>
      </c>
      <c r="Q17" s="1">
        <v>-0.4375</v>
      </c>
      <c r="R17" s="1">
        <v>32.165500000000002</v>
      </c>
      <c r="S17" s="1">
        <v>397.32600000000002</v>
      </c>
      <c r="T17" s="1">
        <v>243.38</v>
      </c>
      <c r="U17" s="1">
        <v>34.04</v>
      </c>
      <c r="V17" s="1">
        <v>2880.00000000001</v>
      </c>
      <c r="W17" s="3">
        <v>2.7296</v>
      </c>
      <c r="X17" s="1" t="s">
        <v>105</v>
      </c>
      <c r="Y17" s="1">
        <v>1.02</v>
      </c>
      <c r="Z17" s="1">
        <v>4.0999999999999996</v>
      </c>
      <c r="AA17" s="1">
        <v>0.96</v>
      </c>
      <c r="AB17" s="1">
        <v>4.2</v>
      </c>
      <c r="AC17" s="1">
        <v>0.5</v>
      </c>
      <c r="AD17" s="1">
        <v>0.05</v>
      </c>
      <c r="AE17" s="1">
        <v>1.0900000000000001</v>
      </c>
      <c r="AF17" s="1">
        <v>0.55000000000000004</v>
      </c>
      <c r="AG17" s="1"/>
      <c r="AH17" s="1" t="s">
        <v>116</v>
      </c>
      <c r="AI17" s="1">
        <v>9</v>
      </c>
      <c r="AJ17" s="1" t="s">
        <v>117</v>
      </c>
      <c r="AK17" s="1">
        <v>8</v>
      </c>
      <c r="AL17" s="1">
        <v>73.4255</v>
      </c>
      <c r="AM17" s="1" t="s">
        <v>105</v>
      </c>
      <c r="AN17" s="1">
        <v>7.1498237367802604</v>
      </c>
      <c r="AO17" s="1">
        <v>1.07921867724985</v>
      </c>
      <c r="AP17" s="1"/>
      <c r="AQ17" s="1"/>
      <c r="AR17" s="1"/>
      <c r="AS17" s="1"/>
      <c r="AT17" s="1"/>
    </row>
    <row r="18" spans="1:46">
      <c r="A18" s="1" t="s">
        <v>118</v>
      </c>
      <c r="B18" s="1">
        <v>8</v>
      </c>
      <c r="C18" s="1" t="s">
        <v>118</v>
      </c>
      <c r="D18" s="1" t="s">
        <v>119</v>
      </c>
      <c r="E18" s="1" t="s">
        <v>47</v>
      </c>
      <c r="F18" s="1" t="s">
        <v>90</v>
      </c>
      <c r="G18" s="1" t="s">
        <v>49</v>
      </c>
      <c r="H18" s="2" t="s">
        <v>91</v>
      </c>
      <c r="I18" s="1">
        <v>4</v>
      </c>
      <c r="J18" s="1">
        <v>3</v>
      </c>
      <c r="K18" s="1" t="s">
        <v>77</v>
      </c>
      <c r="L18" s="1" t="s">
        <v>78</v>
      </c>
      <c r="M18" s="1">
        <v>25.97</v>
      </c>
      <c r="N18" s="1">
        <v>29.5</v>
      </c>
      <c r="O18" s="1">
        <v>64.380719999999997</v>
      </c>
      <c r="P18" s="1">
        <v>-167.07002</v>
      </c>
      <c r="Q18" s="1">
        <v>-0.4375</v>
      </c>
      <c r="R18" s="1">
        <v>32.165500000000002</v>
      </c>
      <c r="S18" s="1">
        <v>397.32600000000002</v>
      </c>
      <c r="T18" s="1">
        <v>243.38</v>
      </c>
      <c r="U18" s="1">
        <v>34.04</v>
      </c>
      <c r="V18" s="1">
        <v>2880.00000000001</v>
      </c>
      <c r="W18" s="3">
        <v>2.7296</v>
      </c>
      <c r="X18" s="1" t="s">
        <v>105</v>
      </c>
      <c r="Y18" s="1">
        <v>1.02</v>
      </c>
      <c r="Z18" s="1">
        <v>4.0999999999999996</v>
      </c>
      <c r="AA18" s="1">
        <v>0.96</v>
      </c>
      <c r="AB18" s="1">
        <v>4.2</v>
      </c>
      <c r="AC18" s="1">
        <v>0.5</v>
      </c>
      <c r="AD18" s="1">
        <v>0.05</v>
      </c>
      <c r="AE18" s="1">
        <v>1.0900000000000001</v>
      </c>
      <c r="AF18" s="1">
        <v>0.55000000000000004</v>
      </c>
      <c r="AG18" s="1"/>
      <c r="AH18" s="1" t="s">
        <v>120</v>
      </c>
      <c r="AI18" s="1">
        <v>9</v>
      </c>
      <c r="AJ18" s="1" t="s">
        <v>117</v>
      </c>
      <c r="AK18" s="1">
        <v>8</v>
      </c>
      <c r="AL18" s="1">
        <v>73.4255</v>
      </c>
      <c r="AM18" s="1" t="s">
        <v>105</v>
      </c>
      <c r="AN18" s="1">
        <v>7.1498237367802604</v>
      </c>
      <c r="AO18" s="1">
        <v>1.07921867724985</v>
      </c>
      <c r="AP18" s="1"/>
      <c r="AQ18" s="1"/>
      <c r="AR18" s="1"/>
      <c r="AS18" s="1" t="s">
        <v>121</v>
      </c>
      <c r="AT18" s="1"/>
    </row>
    <row r="19" spans="1:46">
      <c r="A19" s="1" t="s">
        <v>122</v>
      </c>
      <c r="B19" s="1">
        <v>9</v>
      </c>
      <c r="C19" s="1" t="s">
        <v>122</v>
      </c>
      <c r="D19" s="1" t="s">
        <v>123</v>
      </c>
      <c r="E19" s="1" t="s">
        <v>47</v>
      </c>
      <c r="F19" s="1" t="s">
        <v>90</v>
      </c>
      <c r="G19" s="1" t="s">
        <v>49</v>
      </c>
      <c r="H19" s="2" t="s">
        <v>91</v>
      </c>
      <c r="I19" s="1">
        <v>4</v>
      </c>
      <c r="J19" s="1">
        <v>20</v>
      </c>
      <c r="K19" s="1" t="s">
        <v>77</v>
      </c>
      <c r="L19" s="1" t="s">
        <v>78</v>
      </c>
      <c r="M19" s="1">
        <v>25.97</v>
      </c>
      <c r="N19" s="1">
        <v>29.5</v>
      </c>
      <c r="O19" s="1">
        <v>64.380719999999997</v>
      </c>
      <c r="P19" s="1">
        <v>-167.07002</v>
      </c>
      <c r="Q19" s="1">
        <v>-0.4375</v>
      </c>
      <c r="R19" s="1">
        <v>32.165500000000002</v>
      </c>
      <c r="S19" s="1">
        <v>397.32600000000002</v>
      </c>
      <c r="T19" s="1">
        <v>243.38</v>
      </c>
      <c r="U19" s="1">
        <v>34.04</v>
      </c>
      <c r="V19" s="1">
        <v>2880.00000000001</v>
      </c>
      <c r="W19" s="3">
        <v>2.7296</v>
      </c>
      <c r="X19" s="1" t="s">
        <v>105</v>
      </c>
      <c r="Y19" s="1">
        <v>1.02</v>
      </c>
      <c r="Z19" s="1">
        <v>4.0999999999999996</v>
      </c>
      <c r="AA19" s="1">
        <v>0.96</v>
      </c>
      <c r="AB19" s="1">
        <v>4.2</v>
      </c>
      <c r="AC19" s="1">
        <v>0.5</v>
      </c>
      <c r="AD19" s="1">
        <v>0.05</v>
      </c>
      <c r="AE19" s="1">
        <v>1.0900000000000001</v>
      </c>
      <c r="AF19" s="1">
        <v>0.55000000000000004</v>
      </c>
      <c r="AG19" s="1"/>
      <c r="AH19" s="1" t="s">
        <v>124</v>
      </c>
      <c r="AI19" s="1">
        <v>9</v>
      </c>
      <c r="AJ19" s="1" t="s">
        <v>117</v>
      </c>
      <c r="AK19" s="1">
        <v>8</v>
      </c>
      <c r="AL19" s="1">
        <v>73.4255</v>
      </c>
      <c r="AM19" s="1" t="s">
        <v>105</v>
      </c>
      <c r="AN19" s="1">
        <v>7.1498237367802604</v>
      </c>
      <c r="AO19" s="1">
        <v>1.07921867724985</v>
      </c>
      <c r="AP19" s="1"/>
      <c r="AQ19" s="1"/>
      <c r="AR19" s="1"/>
      <c r="AS19" s="1"/>
      <c r="AT19" s="1"/>
    </row>
    <row r="20" spans="1:46">
      <c r="A20" s="1" t="s">
        <v>125</v>
      </c>
      <c r="B20" s="1">
        <v>20</v>
      </c>
      <c r="C20" s="1" t="s">
        <v>125</v>
      </c>
      <c r="D20" s="1" t="s">
        <v>126</v>
      </c>
      <c r="E20" s="1" t="s">
        <v>47</v>
      </c>
      <c r="F20" s="1" t="s">
        <v>127</v>
      </c>
      <c r="G20" s="1" t="s">
        <v>49</v>
      </c>
      <c r="H20" s="2" t="s">
        <v>128</v>
      </c>
      <c r="I20" s="1">
        <v>12</v>
      </c>
      <c r="J20" s="1">
        <v>3</v>
      </c>
      <c r="K20" s="1" t="s">
        <v>52</v>
      </c>
      <c r="L20" s="1" t="s">
        <v>52</v>
      </c>
      <c r="M20" s="1">
        <v>4.47</v>
      </c>
      <c r="N20" s="1">
        <v>45</v>
      </c>
      <c r="O20" s="1">
        <v>64.145859999999999</v>
      </c>
      <c r="P20" s="1">
        <v>-171.50888</v>
      </c>
      <c r="Q20" s="1">
        <v>6.4020000000000001</v>
      </c>
      <c r="R20" s="1">
        <v>32.412500000000001</v>
      </c>
      <c r="S20" s="1">
        <v>315.666</v>
      </c>
      <c r="T20" s="1">
        <v>162.06</v>
      </c>
      <c r="U20" s="1">
        <v>24.76</v>
      </c>
      <c r="V20" s="1">
        <v>2059.99999999999</v>
      </c>
      <c r="W20" s="3">
        <v>0.21729999999999999</v>
      </c>
      <c r="X20" s="1" t="s">
        <v>129</v>
      </c>
      <c r="Y20" s="1">
        <v>0.38</v>
      </c>
      <c r="Z20" s="1">
        <v>0.15</v>
      </c>
      <c r="AA20" s="1">
        <v>0.36299999999999999</v>
      </c>
      <c r="AB20" s="1">
        <v>6.7</v>
      </c>
      <c r="AC20" s="1">
        <v>2.1</v>
      </c>
      <c r="AD20" s="1">
        <v>0.03</v>
      </c>
      <c r="AE20" s="1">
        <v>0.31</v>
      </c>
      <c r="AF20" s="1">
        <v>2.13</v>
      </c>
      <c r="AG20" s="1"/>
      <c r="AH20" s="1" t="s">
        <v>130</v>
      </c>
      <c r="AI20" s="1">
        <v>24</v>
      </c>
      <c r="AJ20" s="1" t="s">
        <v>131</v>
      </c>
      <c r="AK20" s="1">
        <v>9</v>
      </c>
      <c r="AL20" s="1">
        <v>94.029700000000005</v>
      </c>
      <c r="AM20" s="1" t="s">
        <v>129</v>
      </c>
      <c r="AN20" s="1">
        <v>6.5452342487883701</v>
      </c>
      <c r="AO20" s="1">
        <v>0.98795988660956502</v>
      </c>
      <c r="AP20" s="1"/>
      <c r="AQ20" s="1"/>
      <c r="AR20" s="1"/>
      <c r="AS20" s="1"/>
      <c r="AT20" s="1"/>
    </row>
    <row r="21" spans="1:46">
      <c r="A21" s="1" t="s">
        <v>132</v>
      </c>
      <c r="B21" s="1">
        <v>19</v>
      </c>
      <c r="C21" s="1" t="s">
        <v>132</v>
      </c>
      <c r="D21" s="1" t="s">
        <v>133</v>
      </c>
      <c r="E21" s="1" t="s">
        <v>47</v>
      </c>
      <c r="F21" s="1" t="s">
        <v>127</v>
      </c>
      <c r="G21" s="1" t="s">
        <v>49</v>
      </c>
      <c r="H21" s="2" t="s">
        <v>128</v>
      </c>
      <c r="I21" s="1">
        <v>12</v>
      </c>
      <c r="J21" s="1">
        <v>20</v>
      </c>
      <c r="K21" s="1" t="s">
        <v>52</v>
      </c>
      <c r="L21" s="1" t="s">
        <v>52</v>
      </c>
      <c r="M21" s="1">
        <v>4.47</v>
      </c>
      <c r="N21" s="1">
        <v>45</v>
      </c>
      <c r="O21" s="1">
        <v>64.145859999999999</v>
      </c>
      <c r="P21" s="1">
        <v>-171.50888</v>
      </c>
      <c r="Q21" s="1">
        <v>6.4020000000000001</v>
      </c>
      <c r="R21" s="1">
        <v>32.412500000000001</v>
      </c>
      <c r="S21" s="1">
        <v>315.666</v>
      </c>
      <c r="T21" s="1">
        <v>162.06</v>
      </c>
      <c r="U21" s="1">
        <v>24.76</v>
      </c>
      <c r="V21" s="1">
        <v>2059.99999999999</v>
      </c>
      <c r="W21" s="3">
        <v>0.21729999999999999</v>
      </c>
      <c r="X21" s="1" t="s">
        <v>129</v>
      </c>
      <c r="Y21" s="1">
        <v>0.38</v>
      </c>
      <c r="Z21" s="1">
        <v>0.15</v>
      </c>
      <c r="AA21" s="1">
        <v>0.36299999999999999</v>
      </c>
      <c r="AB21" s="1">
        <v>6.7</v>
      </c>
      <c r="AC21" s="1">
        <v>2.1</v>
      </c>
      <c r="AD21" s="1">
        <v>0.03</v>
      </c>
      <c r="AE21" s="1">
        <v>0.31</v>
      </c>
      <c r="AF21" s="1">
        <v>2.13</v>
      </c>
      <c r="AG21" s="1"/>
      <c r="AH21" s="1" t="s">
        <v>134</v>
      </c>
      <c r="AI21" s="1">
        <v>24</v>
      </c>
      <c r="AJ21" s="1" t="s">
        <v>131</v>
      </c>
      <c r="AK21" s="1">
        <v>9</v>
      </c>
      <c r="AL21" s="1">
        <v>94.029700000000005</v>
      </c>
      <c r="AM21" s="1" t="s">
        <v>129</v>
      </c>
      <c r="AN21" s="1">
        <v>6.5452342487883701</v>
      </c>
      <c r="AO21" s="1">
        <v>0.98795988660956502</v>
      </c>
      <c r="AP21" s="1"/>
      <c r="AQ21" s="1"/>
      <c r="AR21" s="1"/>
      <c r="AS21" s="1"/>
      <c r="AT21" s="1"/>
    </row>
    <row r="22" spans="1:46">
      <c r="A22" s="1" t="s">
        <v>135</v>
      </c>
      <c r="B22" s="1">
        <v>26</v>
      </c>
      <c r="C22" s="1" t="s">
        <v>135</v>
      </c>
      <c r="D22" s="1" t="s">
        <v>136</v>
      </c>
      <c r="E22" s="1" t="s">
        <v>47</v>
      </c>
      <c r="F22" s="1" t="s">
        <v>127</v>
      </c>
      <c r="G22" s="1" t="s">
        <v>49</v>
      </c>
      <c r="H22" s="2" t="s">
        <v>128</v>
      </c>
      <c r="I22" s="1">
        <v>12</v>
      </c>
      <c r="J22" s="1">
        <v>0.2</v>
      </c>
      <c r="K22" s="1" t="s">
        <v>137</v>
      </c>
      <c r="L22" s="1" t="s">
        <v>52</v>
      </c>
      <c r="M22" s="1">
        <v>6.89</v>
      </c>
      <c r="N22" s="1">
        <v>45</v>
      </c>
      <c r="O22" s="1">
        <v>64.145859999999999</v>
      </c>
      <c r="P22" s="1">
        <v>-171.50886</v>
      </c>
      <c r="Q22" s="1">
        <v>6.4450000000000003</v>
      </c>
      <c r="R22" s="1">
        <v>32.406999999999996</v>
      </c>
      <c r="S22" s="1">
        <v>316.10899999999998</v>
      </c>
      <c r="T22" s="1"/>
      <c r="U22" s="1"/>
      <c r="V22" s="1"/>
      <c r="W22" s="3">
        <v>0.21609999999999999</v>
      </c>
      <c r="X22" s="1" t="s">
        <v>138</v>
      </c>
      <c r="Y22" s="1">
        <v>0.4</v>
      </c>
      <c r="Z22" s="1">
        <v>0.12</v>
      </c>
      <c r="AA22" s="1">
        <v>0.48599999999999999</v>
      </c>
      <c r="AB22" s="1">
        <v>5.9</v>
      </c>
      <c r="AC22" s="1">
        <v>3.1</v>
      </c>
      <c r="AD22" s="1">
        <v>0.05</v>
      </c>
      <c r="AE22" s="1">
        <v>0.46</v>
      </c>
      <c r="AF22" s="1">
        <v>3.15</v>
      </c>
      <c r="AG22" s="1"/>
      <c r="AH22" s="1" t="s">
        <v>139</v>
      </c>
      <c r="AI22" s="1">
        <v>16</v>
      </c>
      <c r="AJ22" s="1" t="s">
        <v>140</v>
      </c>
      <c r="AK22" s="1">
        <v>10</v>
      </c>
      <c r="AL22" s="1">
        <v>93.357200000000006</v>
      </c>
      <c r="AM22" s="1" t="s">
        <v>138</v>
      </c>
      <c r="AN22" s="1"/>
      <c r="AO22" s="1"/>
      <c r="AP22" s="1"/>
      <c r="AQ22" s="1"/>
      <c r="AR22" s="1"/>
      <c r="AS22" s="1"/>
      <c r="AT22" s="1"/>
    </row>
    <row r="23" spans="1:46">
      <c r="A23" s="1" t="s">
        <v>141</v>
      </c>
      <c r="B23" s="1">
        <v>22</v>
      </c>
      <c r="C23" s="1" t="s">
        <v>141</v>
      </c>
      <c r="D23" s="1" t="s">
        <v>142</v>
      </c>
      <c r="E23" s="1" t="s">
        <v>47</v>
      </c>
      <c r="F23" s="1" t="s">
        <v>127</v>
      </c>
      <c r="G23" s="1" t="s">
        <v>49</v>
      </c>
      <c r="H23" s="2" t="s">
        <v>128</v>
      </c>
      <c r="I23" s="1">
        <v>12</v>
      </c>
      <c r="J23" s="1">
        <v>3</v>
      </c>
      <c r="K23" s="1" t="s">
        <v>137</v>
      </c>
      <c r="L23" s="1" t="s">
        <v>52</v>
      </c>
      <c r="M23" s="1">
        <v>6.89</v>
      </c>
      <c r="N23" s="1">
        <v>45</v>
      </c>
      <c r="O23" s="1">
        <v>64.145859999999999</v>
      </c>
      <c r="P23" s="1">
        <v>-171.50886</v>
      </c>
      <c r="Q23" s="1">
        <v>6.4450000000000003</v>
      </c>
      <c r="R23" s="1">
        <v>32.406999999999996</v>
      </c>
      <c r="S23" s="1">
        <v>316.10899999999998</v>
      </c>
      <c r="T23" s="1"/>
      <c r="U23" s="1"/>
      <c r="V23" s="1"/>
      <c r="W23" s="3">
        <v>0.21609999999999999</v>
      </c>
      <c r="X23" s="1" t="s">
        <v>138</v>
      </c>
      <c r="Y23" s="1">
        <v>0.4</v>
      </c>
      <c r="Z23" s="1">
        <v>0.12</v>
      </c>
      <c r="AA23" s="1">
        <v>0.48599999999999999</v>
      </c>
      <c r="AB23" s="1">
        <v>5.9</v>
      </c>
      <c r="AC23" s="1">
        <v>3.1</v>
      </c>
      <c r="AD23" s="1">
        <v>0.05</v>
      </c>
      <c r="AE23" s="1">
        <v>0.46</v>
      </c>
      <c r="AF23" s="1">
        <v>3.15</v>
      </c>
      <c r="AG23" s="1"/>
      <c r="AH23" s="1" t="s">
        <v>143</v>
      </c>
      <c r="AI23" s="1">
        <v>16</v>
      </c>
      <c r="AJ23" s="1" t="s">
        <v>140</v>
      </c>
      <c r="AK23" s="1">
        <v>10</v>
      </c>
      <c r="AL23" s="1">
        <v>93.357200000000006</v>
      </c>
      <c r="AM23" s="1" t="s">
        <v>138</v>
      </c>
      <c r="AN23" s="1"/>
      <c r="AO23" s="1"/>
      <c r="AP23" s="1"/>
      <c r="AQ23" s="1"/>
      <c r="AR23" s="1"/>
      <c r="AS23" s="1"/>
      <c r="AT23" s="1"/>
    </row>
    <row r="24" spans="1:46">
      <c r="A24" s="1" t="s">
        <v>144</v>
      </c>
      <c r="B24" s="1">
        <v>21</v>
      </c>
      <c r="C24" s="1" t="s">
        <v>144</v>
      </c>
      <c r="D24" s="1" t="s">
        <v>145</v>
      </c>
      <c r="E24" s="1" t="s">
        <v>47</v>
      </c>
      <c r="F24" s="1" t="s">
        <v>127</v>
      </c>
      <c r="G24" s="1" t="s">
        <v>49</v>
      </c>
      <c r="H24" s="2" t="s">
        <v>128</v>
      </c>
      <c r="I24" s="1">
        <v>12</v>
      </c>
      <c r="J24" s="1">
        <v>20</v>
      </c>
      <c r="K24" s="1" t="s">
        <v>137</v>
      </c>
      <c r="L24" s="1" t="s">
        <v>52</v>
      </c>
      <c r="M24" s="1">
        <v>6.89</v>
      </c>
      <c r="N24" s="1">
        <v>45</v>
      </c>
      <c r="O24" s="1">
        <v>64.145859999999999</v>
      </c>
      <c r="P24" s="1">
        <v>-171.50886</v>
      </c>
      <c r="Q24" s="1">
        <v>6.4450000000000003</v>
      </c>
      <c r="R24" s="1">
        <v>32.406999999999996</v>
      </c>
      <c r="S24" s="1">
        <v>316.10899999999998</v>
      </c>
      <c r="T24" s="1"/>
      <c r="U24" s="1"/>
      <c r="V24" s="1"/>
      <c r="W24" s="3">
        <v>0.21609999999999999</v>
      </c>
      <c r="X24" s="1" t="s">
        <v>138</v>
      </c>
      <c r="Y24" s="1">
        <v>0.4</v>
      </c>
      <c r="Z24" s="1">
        <v>0.12</v>
      </c>
      <c r="AA24" s="1">
        <v>0.48599999999999999</v>
      </c>
      <c r="AB24" s="1">
        <v>5.9</v>
      </c>
      <c r="AC24" s="1">
        <v>3.1</v>
      </c>
      <c r="AD24" s="1">
        <v>0.05</v>
      </c>
      <c r="AE24" s="1">
        <v>0.46</v>
      </c>
      <c r="AF24" s="1">
        <v>3.15</v>
      </c>
      <c r="AG24" s="1"/>
      <c r="AH24" s="1" t="s">
        <v>146</v>
      </c>
      <c r="AI24" s="1">
        <v>16</v>
      </c>
      <c r="AJ24" s="1" t="s">
        <v>140</v>
      </c>
      <c r="AK24" s="1">
        <v>10</v>
      </c>
      <c r="AL24" s="1">
        <v>93.357200000000006</v>
      </c>
      <c r="AM24" s="1" t="s">
        <v>138</v>
      </c>
      <c r="AN24" s="1"/>
      <c r="AO24" s="1"/>
      <c r="AP24" s="1"/>
      <c r="AQ24" s="1"/>
      <c r="AR24" s="1"/>
      <c r="AS24" s="1" t="s">
        <v>147</v>
      </c>
      <c r="AT24" s="1"/>
    </row>
    <row r="25" spans="1:46">
      <c r="A25" s="1" t="s">
        <v>148</v>
      </c>
      <c r="B25" s="1">
        <v>27</v>
      </c>
      <c r="C25" s="1" t="s">
        <v>148</v>
      </c>
      <c r="D25" s="1" t="s">
        <v>149</v>
      </c>
      <c r="E25" s="1" t="s">
        <v>47</v>
      </c>
      <c r="F25" s="1" t="s">
        <v>127</v>
      </c>
      <c r="G25" s="1" t="s">
        <v>49</v>
      </c>
      <c r="H25" s="2" t="s">
        <v>128</v>
      </c>
      <c r="I25" s="1">
        <v>12</v>
      </c>
      <c r="J25" s="1">
        <v>0.2</v>
      </c>
      <c r="K25" s="1" t="s">
        <v>150</v>
      </c>
      <c r="L25" s="1" t="s">
        <v>78</v>
      </c>
      <c r="M25" s="1">
        <v>41.96</v>
      </c>
      <c r="N25" s="1">
        <v>45</v>
      </c>
      <c r="O25" s="1">
        <v>64.145859999999999</v>
      </c>
      <c r="P25" s="1">
        <v>-171.50886</v>
      </c>
      <c r="Q25" s="1">
        <v>1.59</v>
      </c>
      <c r="R25" s="1">
        <v>32.728000000000002</v>
      </c>
      <c r="S25" s="1">
        <v>298.96300000000002</v>
      </c>
      <c r="T25" s="1">
        <v>178.12</v>
      </c>
      <c r="U25" s="1">
        <v>26.42</v>
      </c>
      <c r="V25" s="1">
        <v>3100.00000000001</v>
      </c>
      <c r="W25" s="3">
        <v>0.4284</v>
      </c>
      <c r="X25" s="1" t="s">
        <v>151</v>
      </c>
      <c r="Y25" s="1">
        <v>0.42</v>
      </c>
      <c r="Z25" s="1">
        <v>0.42</v>
      </c>
      <c r="AA25" s="1">
        <v>1.829</v>
      </c>
      <c r="AB25" s="1">
        <v>29</v>
      </c>
      <c r="AC25" s="1">
        <v>18.2</v>
      </c>
      <c r="AD25" s="1">
        <v>0.22</v>
      </c>
      <c r="AE25" s="1">
        <v>1.67</v>
      </c>
      <c r="AF25" s="1">
        <v>18.420000000000002</v>
      </c>
      <c r="AG25" s="1"/>
      <c r="AH25" s="1" t="s">
        <v>152</v>
      </c>
      <c r="AI25" s="1">
        <v>3</v>
      </c>
      <c r="AJ25" s="1" t="s">
        <v>153</v>
      </c>
      <c r="AK25" s="1">
        <v>10</v>
      </c>
      <c r="AL25" s="1">
        <v>83.320999999999998</v>
      </c>
      <c r="AM25" s="1" t="s">
        <v>151</v>
      </c>
      <c r="AN25" s="1">
        <v>6.7418622255866802</v>
      </c>
      <c r="AO25" s="1">
        <v>1.01763958122063</v>
      </c>
      <c r="AP25" s="1"/>
      <c r="AQ25" s="1"/>
      <c r="AR25" s="1"/>
      <c r="AS25" s="1"/>
      <c r="AT25" s="1"/>
    </row>
    <row r="26" spans="1:46">
      <c r="A26" s="1" t="s">
        <v>154</v>
      </c>
      <c r="B26" s="1">
        <v>24</v>
      </c>
      <c r="C26" s="1" t="s">
        <v>154</v>
      </c>
      <c r="D26" s="1" t="s">
        <v>155</v>
      </c>
      <c r="E26" s="1" t="s">
        <v>47</v>
      </c>
      <c r="F26" s="1" t="s">
        <v>127</v>
      </c>
      <c r="G26" s="1" t="s">
        <v>49</v>
      </c>
      <c r="H26" s="2" t="s">
        <v>128</v>
      </c>
      <c r="I26" s="1">
        <v>12</v>
      </c>
      <c r="J26" s="1">
        <v>3</v>
      </c>
      <c r="K26" s="1" t="s">
        <v>150</v>
      </c>
      <c r="L26" s="1" t="s">
        <v>78</v>
      </c>
      <c r="M26" s="1">
        <v>41.96</v>
      </c>
      <c r="N26" s="1">
        <v>45</v>
      </c>
      <c r="O26" s="1">
        <v>64.145859999999999</v>
      </c>
      <c r="P26" s="1">
        <v>-171.50886</v>
      </c>
      <c r="Q26" s="1">
        <v>1.59</v>
      </c>
      <c r="R26" s="1">
        <v>32.728000000000002</v>
      </c>
      <c r="S26" s="1">
        <v>298.96300000000002</v>
      </c>
      <c r="T26" s="1">
        <v>178.12</v>
      </c>
      <c r="U26" s="1">
        <v>26.42</v>
      </c>
      <c r="V26" s="1">
        <v>3100.00000000001</v>
      </c>
      <c r="W26" s="3">
        <v>0.4284</v>
      </c>
      <c r="X26" s="1" t="s">
        <v>151</v>
      </c>
      <c r="Y26" s="1">
        <v>0.42</v>
      </c>
      <c r="Z26" s="1">
        <v>0.42</v>
      </c>
      <c r="AA26" s="1">
        <v>1.829</v>
      </c>
      <c r="AB26" s="1">
        <v>29</v>
      </c>
      <c r="AC26" s="1">
        <v>18.2</v>
      </c>
      <c r="AD26" s="1">
        <v>0.22</v>
      </c>
      <c r="AE26" s="1">
        <v>1.67</v>
      </c>
      <c r="AF26" s="1">
        <v>18.420000000000002</v>
      </c>
      <c r="AG26" s="1"/>
      <c r="AH26" s="1" t="s">
        <v>156</v>
      </c>
      <c r="AI26" s="1">
        <v>3</v>
      </c>
      <c r="AJ26" s="1" t="s">
        <v>153</v>
      </c>
      <c r="AK26" s="1">
        <v>10</v>
      </c>
      <c r="AL26" s="1">
        <v>83.320999999999998</v>
      </c>
      <c r="AM26" s="1" t="s">
        <v>151</v>
      </c>
      <c r="AN26" s="1">
        <v>6.7418622255866802</v>
      </c>
      <c r="AO26" s="1">
        <v>1.01763958122063</v>
      </c>
      <c r="AP26" s="1"/>
      <c r="AQ26" s="1"/>
      <c r="AR26" s="1"/>
      <c r="AS26" s="1"/>
      <c r="AT26" s="1"/>
    </row>
    <row r="27" spans="1:46">
      <c r="A27" s="1" t="s">
        <v>157</v>
      </c>
      <c r="B27" s="1">
        <v>23</v>
      </c>
      <c r="C27" s="1" t="s">
        <v>157</v>
      </c>
      <c r="D27" s="1" t="s">
        <v>158</v>
      </c>
      <c r="E27" s="1" t="s">
        <v>47</v>
      </c>
      <c r="F27" s="1" t="s">
        <v>127</v>
      </c>
      <c r="G27" s="1" t="s">
        <v>49</v>
      </c>
      <c r="H27" s="2" t="s">
        <v>128</v>
      </c>
      <c r="I27" s="1">
        <v>12</v>
      </c>
      <c r="J27" s="1">
        <v>20</v>
      </c>
      <c r="K27" s="1" t="s">
        <v>150</v>
      </c>
      <c r="L27" s="1" t="s">
        <v>78</v>
      </c>
      <c r="M27" s="1">
        <v>41.96</v>
      </c>
      <c r="N27" s="1">
        <v>45</v>
      </c>
      <c r="O27" s="1">
        <v>64.145859999999999</v>
      </c>
      <c r="P27" s="1">
        <v>-171.50886</v>
      </c>
      <c r="Q27" s="1">
        <v>1.59</v>
      </c>
      <c r="R27" s="1">
        <v>32.728000000000002</v>
      </c>
      <c r="S27" s="1">
        <v>298.96300000000002</v>
      </c>
      <c r="T27" s="1">
        <v>178.12</v>
      </c>
      <c r="U27" s="1">
        <v>26.42</v>
      </c>
      <c r="V27" s="1">
        <v>3100.00000000001</v>
      </c>
      <c r="W27" s="3">
        <v>0.4284</v>
      </c>
      <c r="X27" s="1" t="s">
        <v>151</v>
      </c>
      <c r="Y27" s="1">
        <v>0.42</v>
      </c>
      <c r="Z27" s="1">
        <v>0.42</v>
      </c>
      <c r="AA27" s="1">
        <v>1.829</v>
      </c>
      <c r="AB27" s="1">
        <v>29</v>
      </c>
      <c r="AC27" s="1">
        <v>18.2</v>
      </c>
      <c r="AD27" s="1">
        <v>0.22</v>
      </c>
      <c r="AE27" s="1">
        <v>1.67</v>
      </c>
      <c r="AF27" s="1">
        <v>18.420000000000002</v>
      </c>
      <c r="AG27" s="1"/>
      <c r="AH27" s="1" t="s">
        <v>159</v>
      </c>
      <c r="AI27" s="1">
        <v>3</v>
      </c>
      <c r="AJ27" s="1" t="s">
        <v>153</v>
      </c>
      <c r="AK27" s="1">
        <v>10</v>
      </c>
      <c r="AL27" s="1">
        <v>83.320999999999998</v>
      </c>
      <c r="AM27" s="1" t="s">
        <v>151</v>
      </c>
      <c r="AN27" s="1">
        <v>6.7418622255866802</v>
      </c>
      <c r="AO27" s="1">
        <v>1.01763958122063</v>
      </c>
      <c r="AP27" s="1"/>
      <c r="AQ27" s="1"/>
      <c r="AR27" s="1"/>
      <c r="AS27" s="1"/>
      <c r="AT27" s="1"/>
    </row>
    <row r="28" spans="1:46">
      <c r="A28" s="1" t="s">
        <v>160</v>
      </c>
      <c r="B28" s="1">
        <v>95</v>
      </c>
      <c r="C28" s="1" t="s">
        <v>160</v>
      </c>
      <c r="D28" s="1" t="s">
        <v>161</v>
      </c>
      <c r="E28" s="1" t="s">
        <v>47</v>
      </c>
      <c r="F28" s="1" t="s">
        <v>162</v>
      </c>
      <c r="G28" s="1" t="s">
        <v>49</v>
      </c>
      <c r="H28" s="2" t="s">
        <v>163</v>
      </c>
      <c r="I28" s="1">
        <v>68</v>
      </c>
      <c r="J28" s="1">
        <v>0.2</v>
      </c>
      <c r="K28" s="1" t="s">
        <v>52</v>
      </c>
      <c r="L28" s="1" t="s">
        <v>52</v>
      </c>
      <c r="M28" s="1">
        <v>3.05</v>
      </c>
      <c r="N28" s="1">
        <v>47</v>
      </c>
      <c r="O28" s="1">
        <v>68.947879999999998</v>
      </c>
      <c r="P28" s="1">
        <v>-166.91064</v>
      </c>
      <c r="Q28" s="1">
        <v>2.6269999999999998</v>
      </c>
      <c r="R28" s="1">
        <v>30.6145</v>
      </c>
      <c r="S28" s="1">
        <v>346.85399999999998</v>
      </c>
      <c r="T28" s="1">
        <v>181.1</v>
      </c>
      <c r="U28" s="1">
        <v>35.54</v>
      </c>
      <c r="V28" s="1">
        <v>2379.99999999999</v>
      </c>
      <c r="W28" s="3">
        <v>0.2747</v>
      </c>
      <c r="X28" s="1" t="s">
        <v>164</v>
      </c>
      <c r="Y28" s="1">
        <v>0.39</v>
      </c>
      <c r="Z28" s="1">
        <v>0.28000000000000003</v>
      </c>
      <c r="AA28" s="1">
        <v>0.65400000000000003</v>
      </c>
      <c r="AB28" s="1">
        <v>5.3</v>
      </c>
      <c r="AC28" s="1">
        <v>0.1</v>
      </c>
      <c r="AD28" s="1">
        <v>0</v>
      </c>
      <c r="AE28" s="1">
        <v>0.32</v>
      </c>
      <c r="AF28" s="1">
        <v>0.1</v>
      </c>
      <c r="AG28" s="1"/>
      <c r="AH28" s="1" t="s">
        <v>165</v>
      </c>
      <c r="AI28" s="1">
        <v>23</v>
      </c>
      <c r="AJ28" s="1" t="s">
        <v>166</v>
      </c>
      <c r="AK28" s="1">
        <v>8</v>
      </c>
      <c r="AL28" s="1">
        <v>88.521199999999993</v>
      </c>
      <c r="AM28" s="1" t="s">
        <v>164</v>
      </c>
      <c r="AN28" s="1">
        <v>5.09566685424873</v>
      </c>
      <c r="AO28" s="1">
        <v>0.76915726101867699</v>
      </c>
      <c r="AP28" s="1"/>
      <c r="AQ28" s="1"/>
      <c r="AR28" s="1"/>
      <c r="AS28" s="1"/>
      <c r="AT28" s="1"/>
    </row>
    <row r="29" spans="1:46">
      <c r="A29" s="1" t="s">
        <v>167</v>
      </c>
      <c r="B29" s="1">
        <v>98</v>
      </c>
      <c r="C29" s="1" t="s">
        <v>167</v>
      </c>
      <c r="D29" s="1" t="s">
        <v>168</v>
      </c>
      <c r="E29" s="1" t="s">
        <v>47</v>
      </c>
      <c r="F29" s="1" t="s">
        <v>162</v>
      </c>
      <c r="G29" s="1" t="s">
        <v>49</v>
      </c>
      <c r="H29" s="2" t="s">
        <v>163</v>
      </c>
      <c r="I29" s="1">
        <v>68</v>
      </c>
      <c r="J29" s="1">
        <v>3</v>
      </c>
      <c r="K29" s="1" t="s">
        <v>52</v>
      </c>
      <c r="L29" s="1" t="s">
        <v>52</v>
      </c>
      <c r="M29" s="1">
        <v>3.05</v>
      </c>
      <c r="N29" s="1">
        <v>47</v>
      </c>
      <c r="O29" s="1">
        <v>68.947879999999998</v>
      </c>
      <c r="P29" s="1">
        <v>-166.91064</v>
      </c>
      <c r="Q29" s="1">
        <v>2.6269999999999998</v>
      </c>
      <c r="R29" s="1">
        <v>30.6145</v>
      </c>
      <c r="S29" s="1">
        <v>346.85399999999998</v>
      </c>
      <c r="T29" s="1">
        <v>181.1</v>
      </c>
      <c r="U29" s="1">
        <v>35.54</v>
      </c>
      <c r="V29" s="1">
        <v>2379.99999999999</v>
      </c>
      <c r="W29" s="3">
        <v>0.2747</v>
      </c>
      <c r="X29" s="1" t="s">
        <v>164</v>
      </c>
      <c r="Y29" s="1">
        <v>0.39</v>
      </c>
      <c r="Z29" s="1">
        <v>0.28000000000000003</v>
      </c>
      <c r="AA29" s="1">
        <v>0.65400000000000003</v>
      </c>
      <c r="AB29" s="1">
        <v>5.3</v>
      </c>
      <c r="AC29" s="1">
        <v>0.1</v>
      </c>
      <c r="AD29" s="1">
        <v>0</v>
      </c>
      <c r="AE29" s="1">
        <v>0.32</v>
      </c>
      <c r="AF29" s="1">
        <v>0.1</v>
      </c>
      <c r="AG29" s="1"/>
      <c r="AH29" s="1" t="s">
        <v>169</v>
      </c>
      <c r="AI29" s="1">
        <v>23</v>
      </c>
      <c r="AJ29" s="1" t="s">
        <v>166</v>
      </c>
      <c r="AK29" s="1">
        <v>8</v>
      </c>
      <c r="AL29" s="1">
        <v>88.521199999999993</v>
      </c>
      <c r="AM29" s="1" t="s">
        <v>164</v>
      </c>
      <c r="AN29" s="1">
        <v>5.09566685424873</v>
      </c>
      <c r="AO29" s="1">
        <v>0.76915726101867699</v>
      </c>
      <c r="AP29" s="1"/>
      <c r="AQ29" s="1"/>
      <c r="AR29" s="1"/>
      <c r="AS29" s="1"/>
      <c r="AT29" s="1"/>
    </row>
    <row r="30" spans="1:46">
      <c r="A30" s="1" t="s">
        <v>170</v>
      </c>
      <c r="B30" s="1">
        <v>103</v>
      </c>
      <c r="C30" s="1" t="s">
        <v>170</v>
      </c>
      <c r="D30" s="1" t="s">
        <v>171</v>
      </c>
      <c r="E30" s="1" t="s">
        <v>47</v>
      </c>
      <c r="F30" s="1" t="s">
        <v>162</v>
      </c>
      <c r="G30" s="1" t="s">
        <v>49</v>
      </c>
      <c r="H30" s="2" t="s">
        <v>163</v>
      </c>
      <c r="I30" s="1">
        <v>68</v>
      </c>
      <c r="J30" s="1">
        <v>20</v>
      </c>
      <c r="K30" s="1" t="s">
        <v>52</v>
      </c>
      <c r="L30" s="1" t="s">
        <v>52</v>
      </c>
      <c r="M30" s="1">
        <v>3.05</v>
      </c>
      <c r="N30" s="1">
        <v>47</v>
      </c>
      <c r="O30" s="1">
        <v>68.947879999999998</v>
      </c>
      <c r="P30" s="1">
        <v>-166.91064</v>
      </c>
      <c r="Q30" s="1">
        <v>2.6269999999999998</v>
      </c>
      <c r="R30" s="1">
        <v>30.6145</v>
      </c>
      <c r="S30" s="1">
        <v>346.85399999999998</v>
      </c>
      <c r="T30" s="1">
        <v>181.1</v>
      </c>
      <c r="U30" s="1">
        <v>35.54</v>
      </c>
      <c r="V30" s="1">
        <v>2379.99999999999</v>
      </c>
      <c r="W30" s="3">
        <v>0.2747</v>
      </c>
      <c r="X30" s="1" t="s">
        <v>164</v>
      </c>
      <c r="Y30" s="1">
        <v>0.39</v>
      </c>
      <c r="Z30" s="1">
        <v>0.28000000000000003</v>
      </c>
      <c r="AA30" s="1">
        <v>0.65400000000000003</v>
      </c>
      <c r="AB30" s="1">
        <v>5.3</v>
      </c>
      <c r="AC30" s="1">
        <v>0.1</v>
      </c>
      <c r="AD30" s="1">
        <v>0</v>
      </c>
      <c r="AE30" s="1">
        <v>0.32</v>
      </c>
      <c r="AF30" s="1">
        <v>0.1</v>
      </c>
      <c r="AG30" s="1"/>
      <c r="AH30" s="1" t="s">
        <v>172</v>
      </c>
      <c r="AI30" s="1">
        <v>23</v>
      </c>
      <c r="AJ30" s="1" t="s">
        <v>166</v>
      </c>
      <c r="AK30" s="1">
        <v>8</v>
      </c>
      <c r="AL30" s="1">
        <v>88.521199999999993</v>
      </c>
      <c r="AM30" s="1" t="s">
        <v>164</v>
      </c>
      <c r="AN30" s="1">
        <v>5.09566685424873</v>
      </c>
      <c r="AO30" s="1">
        <v>0.76915726101867699</v>
      </c>
      <c r="AP30" s="1"/>
      <c r="AQ30" s="1"/>
      <c r="AR30" s="1"/>
      <c r="AS30" s="1"/>
      <c r="AT30" s="1"/>
    </row>
    <row r="31" spans="1:46">
      <c r="A31" s="1" t="s">
        <v>173</v>
      </c>
      <c r="B31" s="1">
        <v>96</v>
      </c>
      <c r="C31" s="1" t="s">
        <v>173</v>
      </c>
      <c r="D31" s="1" t="s">
        <v>174</v>
      </c>
      <c r="E31" s="1" t="s">
        <v>47</v>
      </c>
      <c r="F31" s="1" t="s">
        <v>162</v>
      </c>
      <c r="G31" s="1" t="s">
        <v>49</v>
      </c>
      <c r="H31" s="2" t="s">
        <v>163</v>
      </c>
      <c r="I31" s="1">
        <v>68</v>
      </c>
      <c r="J31" s="1">
        <v>0.2</v>
      </c>
      <c r="K31" s="1" t="s">
        <v>65</v>
      </c>
      <c r="L31" s="1" t="s">
        <v>65</v>
      </c>
      <c r="M31" s="1">
        <v>20</v>
      </c>
      <c r="N31" s="1">
        <v>47</v>
      </c>
      <c r="O31" s="1">
        <v>68.947879999999998</v>
      </c>
      <c r="P31" s="1">
        <v>-166.91051999999999</v>
      </c>
      <c r="Q31" s="1">
        <v>0.33200000000000002</v>
      </c>
      <c r="R31" s="1">
        <v>31.936499999999999</v>
      </c>
      <c r="S31" s="1">
        <v>380.66500000000002</v>
      </c>
      <c r="T31" s="1"/>
      <c r="U31" s="1"/>
      <c r="V31" s="1"/>
      <c r="W31" s="3">
        <v>0.74650000000000005</v>
      </c>
      <c r="X31" s="1" t="s">
        <v>175</v>
      </c>
      <c r="Y31" s="1">
        <v>0.77</v>
      </c>
      <c r="Z31" s="1">
        <v>0.68</v>
      </c>
      <c r="AA31" s="1">
        <v>0.80600000000000005</v>
      </c>
      <c r="AB31" s="1">
        <v>4.0999999999999996</v>
      </c>
      <c r="AC31" s="1">
        <v>0.9</v>
      </c>
      <c r="AD31" s="1">
        <v>0.03</v>
      </c>
      <c r="AE31" s="1">
        <v>1.34</v>
      </c>
      <c r="AF31" s="1">
        <v>0.93</v>
      </c>
      <c r="AG31" s="1"/>
      <c r="AH31" s="1" t="s">
        <v>176</v>
      </c>
      <c r="AI31" s="1">
        <v>8</v>
      </c>
      <c r="AJ31" s="1" t="s">
        <v>177</v>
      </c>
      <c r="AK31" s="1">
        <v>9</v>
      </c>
      <c r="AL31" s="1">
        <v>89.271100000000004</v>
      </c>
      <c r="AM31" s="1" t="s">
        <v>175</v>
      </c>
      <c r="AN31" s="1"/>
      <c r="AO31" s="1"/>
      <c r="AP31" s="1"/>
      <c r="AQ31" s="1"/>
      <c r="AR31" s="1"/>
      <c r="AS31" s="1"/>
      <c r="AT31" s="1"/>
    </row>
    <row r="32" spans="1:46">
      <c r="A32" s="1" t="s">
        <v>178</v>
      </c>
      <c r="B32" s="1">
        <v>99</v>
      </c>
      <c r="C32" s="1" t="s">
        <v>178</v>
      </c>
      <c r="D32" s="1" t="s">
        <v>179</v>
      </c>
      <c r="E32" s="1" t="s">
        <v>47</v>
      </c>
      <c r="F32" s="1" t="s">
        <v>162</v>
      </c>
      <c r="G32" s="1" t="s">
        <v>49</v>
      </c>
      <c r="H32" s="2" t="s">
        <v>163</v>
      </c>
      <c r="I32" s="1">
        <v>68</v>
      </c>
      <c r="J32" s="1">
        <v>3</v>
      </c>
      <c r="K32" s="1" t="s">
        <v>65</v>
      </c>
      <c r="L32" s="1" t="s">
        <v>65</v>
      </c>
      <c r="M32" s="1">
        <v>20</v>
      </c>
      <c r="N32" s="1">
        <v>47</v>
      </c>
      <c r="O32" s="1">
        <v>68.947879999999998</v>
      </c>
      <c r="P32" s="1">
        <v>-166.91051999999999</v>
      </c>
      <c r="Q32" s="1">
        <v>0.33200000000000002</v>
      </c>
      <c r="R32" s="1">
        <v>31.936499999999999</v>
      </c>
      <c r="S32" s="1">
        <v>380.66500000000002</v>
      </c>
      <c r="T32" s="1"/>
      <c r="U32" s="1"/>
      <c r="V32" s="1"/>
      <c r="W32" s="3">
        <v>0.74650000000000005</v>
      </c>
      <c r="X32" s="1" t="s">
        <v>175</v>
      </c>
      <c r="Y32" s="1">
        <v>0.77</v>
      </c>
      <c r="Z32" s="1">
        <v>0.68</v>
      </c>
      <c r="AA32" s="1">
        <v>0.80600000000000005</v>
      </c>
      <c r="AB32" s="1">
        <v>4.0999999999999996</v>
      </c>
      <c r="AC32" s="1">
        <v>0.9</v>
      </c>
      <c r="AD32" s="1">
        <v>0.03</v>
      </c>
      <c r="AE32" s="1">
        <v>1.34</v>
      </c>
      <c r="AF32" s="1">
        <v>0.93</v>
      </c>
      <c r="AG32" s="1"/>
      <c r="AH32" s="1" t="s">
        <v>180</v>
      </c>
      <c r="AI32" s="1">
        <v>8</v>
      </c>
      <c r="AJ32" s="1" t="s">
        <v>177</v>
      </c>
      <c r="AK32" s="1">
        <v>9</v>
      </c>
      <c r="AL32" s="1">
        <v>89.271100000000004</v>
      </c>
      <c r="AM32" s="1" t="s">
        <v>175</v>
      </c>
      <c r="AN32" s="1"/>
      <c r="AO32" s="1"/>
      <c r="AP32" s="1"/>
      <c r="AQ32" s="1"/>
      <c r="AR32" s="1"/>
      <c r="AS32" s="1"/>
      <c r="AT32" s="1"/>
    </row>
    <row r="33" spans="1:46">
      <c r="A33" s="1" t="s">
        <v>181</v>
      </c>
      <c r="B33" s="1">
        <v>101</v>
      </c>
      <c r="C33" s="1" t="s">
        <v>181</v>
      </c>
      <c r="D33" s="1" t="s">
        <v>182</v>
      </c>
      <c r="E33" s="1" t="s">
        <v>47</v>
      </c>
      <c r="F33" s="1" t="s">
        <v>162</v>
      </c>
      <c r="G33" s="1" t="s">
        <v>49</v>
      </c>
      <c r="H33" s="2" t="s">
        <v>163</v>
      </c>
      <c r="I33" s="1">
        <v>68</v>
      </c>
      <c r="J33" s="1">
        <v>20</v>
      </c>
      <c r="K33" s="1" t="s">
        <v>65</v>
      </c>
      <c r="L33" s="1" t="s">
        <v>65</v>
      </c>
      <c r="M33" s="1">
        <v>20</v>
      </c>
      <c r="N33" s="1">
        <v>47</v>
      </c>
      <c r="O33" s="1">
        <v>68.947879999999998</v>
      </c>
      <c r="P33" s="1">
        <v>-166.91051999999999</v>
      </c>
      <c r="Q33" s="1">
        <v>0.33200000000000002</v>
      </c>
      <c r="R33" s="1">
        <v>31.936499999999999</v>
      </c>
      <c r="S33" s="1">
        <v>380.66500000000002</v>
      </c>
      <c r="T33" s="1"/>
      <c r="U33" s="1"/>
      <c r="V33" s="1"/>
      <c r="W33" s="3">
        <v>0.74650000000000005</v>
      </c>
      <c r="X33" s="1" t="s">
        <v>175</v>
      </c>
      <c r="Y33" s="1">
        <v>0.77</v>
      </c>
      <c r="Z33" s="1">
        <v>0.68</v>
      </c>
      <c r="AA33" s="1">
        <v>0.80600000000000005</v>
      </c>
      <c r="AB33" s="1">
        <v>4.0999999999999996</v>
      </c>
      <c r="AC33" s="1">
        <v>0.9</v>
      </c>
      <c r="AD33" s="1">
        <v>0.03</v>
      </c>
      <c r="AE33" s="1">
        <v>1.34</v>
      </c>
      <c r="AF33" s="1">
        <v>0.93</v>
      </c>
      <c r="AG33" s="1"/>
      <c r="AH33" s="1" t="s">
        <v>183</v>
      </c>
      <c r="AI33" s="1">
        <v>8</v>
      </c>
      <c r="AJ33" s="1" t="s">
        <v>177</v>
      </c>
      <c r="AK33" s="1">
        <v>9</v>
      </c>
      <c r="AL33" s="1">
        <v>89.271100000000004</v>
      </c>
      <c r="AM33" s="1" t="s">
        <v>175</v>
      </c>
      <c r="AN33" s="1"/>
      <c r="AO33" s="1"/>
      <c r="AP33" s="1"/>
      <c r="AQ33" s="1"/>
      <c r="AR33" s="1"/>
      <c r="AS33" s="1"/>
      <c r="AT33" s="1"/>
    </row>
    <row r="34" spans="1:46">
      <c r="A34" s="1" t="s">
        <v>184</v>
      </c>
      <c r="B34" s="1">
        <v>97</v>
      </c>
      <c r="C34" s="1" t="s">
        <v>184</v>
      </c>
      <c r="D34" s="1" t="s">
        <v>185</v>
      </c>
      <c r="E34" s="1" t="s">
        <v>47</v>
      </c>
      <c r="F34" s="1" t="s">
        <v>162</v>
      </c>
      <c r="G34" s="1" t="s">
        <v>49</v>
      </c>
      <c r="H34" s="2" t="s">
        <v>163</v>
      </c>
      <c r="I34" s="1">
        <v>68</v>
      </c>
      <c r="J34" s="1">
        <v>0.2</v>
      </c>
      <c r="K34" s="1" t="s">
        <v>150</v>
      </c>
      <c r="L34" s="1" t="s">
        <v>78</v>
      </c>
      <c r="M34" s="1">
        <v>43.01</v>
      </c>
      <c r="N34" s="1">
        <v>47</v>
      </c>
      <c r="O34" s="1">
        <v>68.947860000000006</v>
      </c>
      <c r="P34" s="1">
        <v>-166.91036</v>
      </c>
      <c r="Q34" s="1">
        <v>0.94199999999999995</v>
      </c>
      <c r="R34" s="1">
        <v>32.058</v>
      </c>
      <c r="S34" s="1">
        <v>356.86200000000002</v>
      </c>
      <c r="T34" s="1">
        <v>225.68</v>
      </c>
      <c r="U34" s="1">
        <v>31.38</v>
      </c>
      <c r="V34" s="1">
        <v>1980</v>
      </c>
      <c r="W34" s="3">
        <v>0.80810000000000004</v>
      </c>
      <c r="X34" s="1" t="s">
        <v>186</v>
      </c>
      <c r="Y34" s="1">
        <v>0.78</v>
      </c>
      <c r="Z34" s="1">
        <v>0.78</v>
      </c>
      <c r="AA34" s="1">
        <v>0.85</v>
      </c>
      <c r="AB34" s="1">
        <v>3</v>
      </c>
      <c r="AC34" s="1">
        <v>0.6</v>
      </c>
      <c r="AD34" s="1">
        <v>0.03</v>
      </c>
      <c r="AE34" s="1">
        <v>2.39</v>
      </c>
      <c r="AF34" s="1">
        <v>0.63</v>
      </c>
      <c r="AG34" s="1"/>
      <c r="AH34" s="1" t="s">
        <v>187</v>
      </c>
      <c r="AI34" s="1">
        <v>1</v>
      </c>
      <c r="AJ34" s="1" t="s">
        <v>186</v>
      </c>
      <c r="AK34" s="1">
        <v>9</v>
      </c>
      <c r="AL34" s="1">
        <v>86.331999999999994</v>
      </c>
      <c r="AM34" s="1" t="s">
        <v>186</v>
      </c>
      <c r="AN34" s="1">
        <v>7.1918419375398299</v>
      </c>
      <c r="AO34" s="1">
        <v>1.0855610471758199</v>
      </c>
      <c r="AP34" s="1"/>
      <c r="AQ34" s="1"/>
      <c r="AR34" s="1"/>
      <c r="AS34" s="1"/>
      <c r="AT34" s="1"/>
    </row>
    <row r="35" spans="1:46">
      <c r="A35" s="1" t="s">
        <v>188</v>
      </c>
      <c r="B35" s="1">
        <v>100</v>
      </c>
      <c r="C35" s="1" t="s">
        <v>188</v>
      </c>
      <c r="D35" s="1" t="s">
        <v>189</v>
      </c>
      <c r="E35" s="1" t="s">
        <v>47</v>
      </c>
      <c r="F35" s="1" t="s">
        <v>162</v>
      </c>
      <c r="G35" s="1" t="s">
        <v>49</v>
      </c>
      <c r="H35" s="2" t="s">
        <v>163</v>
      </c>
      <c r="I35" s="1">
        <v>68</v>
      </c>
      <c r="J35" s="1">
        <v>3</v>
      </c>
      <c r="K35" s="1" t="s">
        <v>150</v>
      </c>
      <c r="L35" s="1" t="s">
        <v>78</v>
      </c>
      <c r="M35" s="1">
        <v>43.01</v>
      </c>
      <c r="N35" s="1">
        <v>47</v>
      </c>
      <c r="O35" s="1">
        <v>68.947860000000006</v>
      </c>
      <c r="P35" s="1">
        <v>-166.91036</v>
      </c>
      <c r="Q35" s="1">
        <v>0.94199999999999995</v>
      </c>
      <c r="R35" s="1">
        <v>32.058</v>
      </c>
      <c r="S35" s="1">
        <v>356.86200000000002</v>
      </c>
      <c r="T35" s="1">
        <v>225.68</v>
      </c>
      <c r="U35" s="1">
        <v>31.38</v>
      </c>
      <c r="V35" s="1">
        <v>1980</v>
      </c>
      <c r="W35" s="3">
        <v>0.80810000000000004</v>
      </c>
      <c r="X35" s="1" t="s">
        <v>186</v>
      </c>
      <c r="Y35" s="1">
        <v>0.78</v>
      </c>
      <c r="Z35" s="1">
        <v>0.78</v>
      </c>
      <c r="AA35" s="1">
        <v>0.85</v>
      </c>
      <c r="AB35" s="1">
        <v>3</v>
      </c>
      <c r="AC35" s="1">
        <v>0.6</v>
      </c>
      <c r="AD35" s="1">
        <v>0.03</v>
      </c>
      <c r="AE35" s="1">
        <v>2.39</v>
      </c>
      <c r="AF35" s="1">
        <v>0.63</v>
      </c>
      <c r="AG35" s="1"/>
      <c r="AH35" s="1" t="s">
        <v>190</v>
      </c>
      <c r="AI35" s="1">
        <v>1</v>
      </c>
      <c r="AJ35" s="1" t="s">
        <v>186</v>
      </c>
      <c r="AK35" s="1">
        <v>9</v>
      </c>
      <c r="AL35" s="1">
        <v>86.331999999999994</v>
      </c>
      <c r="AM35" s="1" t="s">
        <v>186</v>
      </c>
      <c r="AN35" s="1">
        <v>7.1918419375398299</v>
      </c>
      <c r="AO35" s="1">
        <v>1.0855610471758199</v>
      </c>
      <c r="AP35" s="1"/>
      <c r="AQ35" s="1"/>
      <c r="AR35" s="1"/>
      <c r="AS35" s="1"/>
      <c r="AT35" s="1"/>
    </row>
    <row r="36" spans="1:46">
      <c r="A36" s="1" t="s">
        <v>191</v>
      </c>
      <c r="B36" s="1">
        <v>102</v>
      </c>
      <c r="C36" s="1" t="s">
        <v>191</v>
      </c>
      <c r="D36" s="1" t="s">
        <v>192</v>
      </c>
      <c r="E36" s="1" t="s">
        <v>47</v>
      </c>
      <c r="F36" s="1" t="s">
        <v>162</v>
      </c>
      <c r="G36" s="1" t="s">
        <v>49</v>
      </c>
      <c r="H36" s="2" t="s">
        <v>163</v>
      </c>
      <c r="I36" s="1">
        <v>68</v>
      </c>
      <c r="J36" s="1">
        <v>20</v>
      </c>
      <c r="K36" s="1" t="s">
        <v>150</v>
      </c>
      <c r="L36" s="1" t="s">
        <v>78</v>
      </c>
      <c r="M36" s="1">
        <v>43.01</v>
      </c>
      <c r="N36" s="1">
        <v>47</v>
      </c>
      <c r="O36" s="1">
        <v>68.947860000000006</v>
      </c>
      <c r="P36" s="1">
        <v>-166.91036</v>
      </c>
      <c r="Q36" s="1">
        <v>0.94199999999999995</v>
      </c>
      <c r="R36" s="1">
        <v>32.058</v>
      </c>
      <c r="S36" s="1">
        <v>356.86200000000002</v>
      </c>
      <c r="T36" s="1">
        <v>225.68</v>
      </c>
      <c r="U36" s="1">
        <v>31.38</v>
      </c>
      <c r="V36" s="1">
        <v>1980</v>
      </c>
      <c r="W36" s="3">
        <v>0.80810000000000004</v>
      </c>
      <c r="X36" s="1" t="s">
        <v>186</v>
      </c>
      <c r="Y36" s="1">
        <v>0.78</v>
      </c>
      <c r="Z36" s="1">
        <v>0.78</v>
      </c>
      <c r="AA36" s="1">
        <v>0.85</v>
      </c>
      <c r="AB36" s="1">
        <v>3</v>
      </c>
      <c r="AC36" s="1">
        <v>0.6</v>
      </c>
      <c r="AD36" s="1">
        <v>0.03</v>
      </c>
      <c r="AE36" s="1">
        <v>2.39</v>
      </c>
      <c r="AF36" s="1">
        <v>0.63</v>
      </c>
      <c r="AG36" s="1"/>
      <c r="AH36" s="1" t="s">
        <v>193</v>
      </c>
      <c r="AI36" s="1">
        <v>1</v>
      </c>
      <c r="AJ36" s="1" t="s">
        <v>186</v>
      </c>
      <c r="AK36" s="1">
        <v>9</v>
      </c>
      <c r="AL36" s="1">
        <v>86.331999999999994</v>
      </c>
      <c r="AM36" s="1" t="s">
        <v>186</v>
      </c>
      <c r="AN36" s="1">
        <v>7.1918419375398299</v>
      </c>
      <c r="AO36" s="1">
        <v>1.0855610471758199</v>
      </c>
      <c r="AP36" s="1"/>
      <c r="AQ36" s="1"/>
      <c r="AR36" s="1"/>
      <c r="AS36" s="1"/>
      <c r="AT36" s="1"/>
    </row>
    <row r="37" spans="1:46">
      <c r="A37" s="1" t="s">
        <v>194</v>
      </c>
      <c r="B37" s="1">
        <v>86</v>
      </c>
      <c r="C37" s="1" t="s">
        <v>194</v>
      </c>
      <c r="D37" s="1" t="s">
        <v>195</v>
      </c>
      <c r="E37" s="1" t="s">
        <v>47</v>
      </c>
      <c r="F37" s="1" t="s">
        <v>196</v>
      </c>
      <c r="G37" s="1" t="s">
        <v>49</v>
      </c>
      <c r="H37" s="2" t="s">
        <v>197</v>
      </c>
      <c r="I37" s="1">
        <v>58</v>
      </c>
      <c r="J37" s="1">
        <v>0.2</v>
      </c>
      <c r="K37" s="1" t="s">
        <v>52</v>
      </c>
      <c r="L37" s="1" t="s">
        <v>52</v>
      </c>
      <c r="M37" s="1">
        <v>4.72</v>
      </c>
      <c r="N37" s="1">
        <v>53</v>
      </c>
      <c r="O37" s="1">
        <v>69.035600000000002</v>
      </c>
      <c r="P37" s="1">
        <v>-168.90182999999999</v>
      </c>
      <c r="Q37" s="1">
        <v>6.2119999999999997</v>
      </c>
      <c r="R37" s="1">
        <v>32.499000000000002</v>
      </c>
      <c r="S37" s="1">
        <v>321.12299999999999</v>
      </c>
      <c r="T37" s="1">
        <v>157.91999999999999</v>
      </c>
      <c r="U37" s="1">
        <v>25.72</v>
      </c>
      <c r="V37" s="1">
        <v>2580</v>
      </c>
      <c r="W37" s="3">
        <v>0.27289999999999998</v>
      </c>
      <c r="X37" s="1" t="s">
        <v>198</v>
      </c>
      <c r="Y37" s="1">
        <v>0.23</v>
      </c>
      <c r="Z37" s="1">
        <v>0.19</v>
      </c>
      <c r="AA37" s="1">
        <v>0.55600000000000005</v>
      </c>
      <c r="AB37" s="1">
        <v>0.6</v>
      </c>
      <c r="AC37" s="1">
        <v>0.1</v>
      </c>
      <c r="AD37" s="1">
        <v>0.01</v>
      </c>
      <c r="AE37" s="1">
        <v>0.42</v>
      </c>
      <c r="AF37" s="1">
        <v>0.11</v>
      </c>
      <c r="AG37" s="1"/>
      <c r="AH37" s="1" t="s">
        <v>199</v>
      </c>
      <c r="AI37" s="1">
        <v>24</v>
      </c>
      <c r="AJ37" s="1" t="s">
        <v>200</v>
      </c>
      <c r="AK37" s="1">
        <v>8</v>
      </c>
      <c r="AL37" s="1">
        <v>90.555800000000005</v>
      </c>
      <c r="AM37" s="1" t="s">
        <v>198</v>
      </c>
      <c r="AN37" s="1">
        <v>6.13996889580093</v>
      </c>
      <c r="AO37" s="1">
        <v>0.92678775785674405</v>
      </c>
      <c r="AP37" s="1"/>
      <c r="AQ37" s="1"/>
      <c r="AR37" s="1"/>
      <c r="AS37" s="1" t="s">
        <v>201</v>
      </c>
      <c r="AT37" s="1"/>
    </row>
    <row r="38" spans="1:46">
      <c r="A38" s="1" t="s">
        <v>202</v>
      </c>
      <c r="B38" s="1">
        <v>89</v>
      </c>
      <c r="C38" s="1" t="s">
        <v>202</v>
      </c>
      <c r="D38" s="1" t="s">
        <v>203</v>
      </c>
      <c r="E38" s="1" t="s">
        <v>47</v>
      </c>
      <c r="F38" s="1" t="s">
        <v>196</v>
      </c>
      <c r="G38" s="1" t="s">
        <v>49</v>
      </c>
      <c r="H38" s="2" t="s">
        <v>197</v>
      </c>
      <c r="I38" s="1">
        <v>58</v>
      </c>
      <c r="J38" s="1">
        <v>3</v>
      </c>
      <c r="K38" s="1" t="s">
        <v>52</v>
      </c>
      <c r="L38" s="1" t="s">
        <v>52</v>
      </c>
      <c r="M38" s="1">
        <v>4.72</v>
      </c>
      <c r="N38" s="1">
        <v>53</v>
      </c>
      <c r="O38" s="1">
        <v>69.035600000000002</v>
      </c>
      <c r="P38" s="1">
        <v>-168.90182999999999</v>
      </c>
      <c r="Q38" s="1">
        <v>6.2119999999999997</v>
      </c>
      <c r="R38" s="1">
        <v>32.499000000000002</v>
      </c>
      <c r="S38" s="1">
        <v>321.12299999999999</v>
      </c>
      <c r="T38" s="1">
        <v>157.91999999999999</v>
      </c>
      <c r="U38" s="1">
        <v>25.72</v>
      </c>
      <c r="V38" s="1">
        <v>2580</v>
      </c>
      <c r="W38" s="3">
        <v>0.27289999999999998</v>
      </c>
      <c r="X38" s="1" t="s">
        <v>198</v>
      </c>
      <c r="Y38" s="1">
        <v>0.23</v>
      </c>
      <c r="Z38" s="1">
        <v>0.19</v>
      </c>
      <c r="AA38" s="1">
        <v>0.55600000000000005</v>
      </c>
      <c r="AB38" s="1">
        <v>0.6</v>
      </c>
      <c r="AC38" s="1">
        <v>0.1</v>
      </c>
      <c r="AD38" s="1">
        <v>0.01</v>
      </c>
      <c r="AE38" s="1">
        <v>0.42</v>
      </c>
      <c r="AF38" s="1">
        <v>0.11</v>
      </c>
      <c r="AG38" s="1"/>
      <c r="AH38" s="1" t="s">
        <v>204</v>
      </c>
      <c r="AI38" s="1">
        <v>24</v>
      </c>
      <c r="AJ38" s="1" t="s">
        <v>200</v>
      </c>
      <c r="AK38" s="1">
        <v>8</v>
      </c>
      <c r="AL38" s="1">
        <v>90.555800000000005</v>
      </c>
      <c r="AM38" s="1" t="s">
        <v>198</v>
      </c>
      <c r="AN38" s="1">
        <v>6.13996889580093</v>
      </c>
      <c r="AO38" s="1">
        <v>0.92678775785674405</v>
      </c>
      <c r="AP38" s="1"/>
      <c r="AQ38" s="1"/>
      <c r="AR38" s="1"/>
      <c r="AS38" s="1"/>
      <c r="AT38" s="1"/>
    </row>
    <row r="39" spans="1:46">
      <c r="A39" s="1" t="s">
        <v>205</v>
      </c>
      <c r="B39" s="1">
        <v>92</v>
      </c>
      <c r="C39" s="1" t="s">
        <v>205</v>
      </c>
      <c r="D39" s="1" t="s">
        <v>206</v>
      </c>
      <c r="E39" s="1" t="s">
        <v>47</v>
      </c>
      <c r="F39" s="1" t="s">
        <v>196</v>
      </c>
      <c r="G39" s="1" t="s">
        <v>49</v>
      </c>
      <c r="H39" s="2" t="s">
        <v>197</v>
      </c>
      <c r="I39" s="1">
        <v>58</v>
      </c>
      <c r="J39" s="1">
        <v>20</v>
      </c>
      <c r="K39" s="1" t="s">
        <v>52</v>
      </c>
      <c r="L39" s="1" t="s">
        <v>52</v>
      </c>
      <c r="M39" s="1">
        <v>4.72</v>
      </c>
      <c r="N39" s="1">
        <v>53</v>
      </c>
      <c r="O39" s="1">
        <v>69.035600000000002</v>
      </c>
      <c r="P39" s="1">
        <v>-168.90182999999999</v>
      </c>
      <c r="Q39" s="1">
        <v>6.2119999999999997</v>
      </c>
      <c r="R39" s="1">
        <v>32.499000000000002</v>
      </c>
      <c r="S39" s="1">
        <v>321.12299999999999</v>
      </c>
      <c r="T39" s="1">
        <v>157.91999999999999</v>
      </c>
      <c r="U39" s="1">
        <v>25.72</v>
      </c>
      <c r="V39" s="1">
        <v>2580</v>
      </c>
      <c r="W39" s="3">
        <v>0.27289999999999998</v>
      </c>
      <c r="X39" s="1" t="s">
        <v>198</v>
      </c>
      <c r="Y39" s="1">
        <v>0.23</v>
      </c>
      <c r="Z39" s="1">
        <v>0.19</v>
      </c>
      <c r="AA39" s="1">
        <v>0.55600000000000005</v>
      </c>
      <c r="AB39" s="1">
        <v>0.6</v>
      </c>
      <c r="AC39" s="1">
        <v>0.1</v>
      </c>
      <c r="AD39" s="1">
        <v>0.01</v>
      </c>
      <c r="AE39" s="1">
        <v>0.42</v>
      </c>
      <c r="AF39" s="1">
        <v>0.11</v>
      </c>
      <c r="AG39" s="1"/>
      <c r="AH39" s="1" t="s">
        <v>207</v>
      </c>
      <c r="AI39" s="1">
        <v>24</v>
      </c>
      <c r="AJ39" s="1" t="s">
        <v>200</v>
      </c>
      <c r="AK39" s="1">
        <v>8</v>
      </c>
      <c r="AL39" s="1">
        <v>90.555800000000005</v>
      </c>
      <c r="AM39" s="1" t="s">
        <v>198</v>
      </c>
      <c r="AN39" s="1">
        <v>6.13996889580093</v>
      </c>
      <c r="AO39" s="1">
        <v>0.92678775785674405</v>
      </c>
      <c r="AP39" s="1"/>
      <c r="AQ39" s="1"/>
      <c r="AR39" s="1"/>
      <c r="AS39" s="1"/>
      <c r="AT39" s="1"/>
    </row>
    <row r="40" spans="1:46">
      <c r="A40" s="1" t="s">
        <v>208</v>
      </c>
      <c r="B40" s="1">
        <v>87</v>
      </c>
      <c r="C40" s="1" t="s">
        <v>208</v>
      </c>
      <c r="D40" s="1" t="s">
        <v>209</v>
      </c>
      <c r="E40" s="1" t="s">
        <v>47</v>
      </c>
      <c r="F40" s="1" t="s">
        <v>196</v>
      </c>
      <c r="G40" s="1" t="s">
        <v>49</v>
      </c>
      <c r="H40" s="2" t="s">
        <v>197</v>
      </c>
      <c r="I40" s="1">
        <v>58</v>
      </c>
      <c r="J40" s="1">
        <v>0.2</v>
      </c>
      <c r="K40" s="1" t="s">
        <v>210</v>
      </c>
      <c r="L40" s="1" t="s">
        <v>65</v>
      </c>
      <c r="M40" s="1">
        <v>17.64</v>
      </c>
      <c r="N40" s="1">
        <v>53</v>
      </c>
      <c r="O40" s="1">
        <v>69.035219999999995</v>
      </c>
      <c r="P40" s="1">
        <v>-168.90006</v>
      </c>
      <c r="Q40" s="1">
        <v>3.0074999999999998</v>
      </c>
      <c r="R40" s="1">
        <v>32.707500000000003</v>
      </c>
      <c r="S40" s="1">
        <v>357.35599999999999</v>
      </c>
      <c r="T40" s="1"/>
      <c r="U40" s="1"/>
      <c r="V40" s="1"/>
      <c r="W40" s="3">
        <v>0.2185</v>
      </c>
      <c r="X40" s="1" t="s">
        <v>211</v>
      </c>
      <c r="Y40" s="1">
        <v>0.46</v>
      </c>
      <c r="Z40" s="1">
        <v>0.73</v>
      </c>
      <c r="AA40" s="1">
        <v>1.0549999999999999</v>
      </c>
      <c r="AB40" s="1">
        <v>3.8</v>
      </c>
      <c r="AC40" s="1">
        <v>2.6</v>
      </c>
      <c r="AD40" s="1">
        <v>0.09</v>
      </c>
      <c r="AE40" s="1">
        <v>3.72</v>
      </c>
      <c r="AF40" s="1">
        <v>2.69</v>
      </c>
      <c r="AG40" s="1"/>
      <c r="AH40" s="1" t="s">
        <v>212</v>
      </c>
      <c r="AI40" s="1">
        <v>14</v>
      </c>
      <c r="AJ40" s="1" t="s">
        <v>213</v>
      </c>
      <c r="AK40" s="1">
        <v>9</v>
      </c>
      <c r="AL40" s="1">
        <v>81.267799999999994</v>
      </c>
      <c r="AM40" s="1" t="s">
        <v>211</v>
      </c>
      <c r="AN40" s="1"/>
      <c r="AO40" s="1"/>
      <c r="AP40" s="1"/>
      <c r="AQ40" s="1"/>
      <c r="AR40" s="1"/>
      <c r="AS40" s="1" t="s">
        <v>201</v>
      </c>
      <c r="AT40" s="1"/>
    </row>
    <row r="41" spans="1:46">
      <c r="A41" s="1" t="s">
        <v>214</v>
      </c>
      <c r="B41" s="1">
        <v>90</v>
      </c>
      <c r="C41" s="1" t="s">
        <v>214</v>
      </c>
      <c r="D41" s="1" t="s">
        <v>215</v>
      </c>
      <c r="E41" s="1" t="s">
        <v>47</v>
      </c>
      <c r="F41" s="1" t="s">
        <v>196</v>
      </c>
      <c r="G41" s="1" t="s">
        <v>49</v>
      </c>
      <c r="H41" s="2" t="s">
        <v>197</v>
      </c>
      <c r="I41" s="1">
        <v>58</v>
      </c>
      <c r="J41" s="1">
        <v>3</v>
      </c>
      <c r="K41" s="1" t="s">
        <v>210</v>
      </c>
      <c r="L41" s="1" t="s">
        <v>65</v>
      </c>
      <c r="M41" s="1">
        <v>17.64</v>
      </c>
      <c r="N41" s="1">
        <v>53</v>
      </c>
      <c r="O41" s="1">
        <v>69.035219999999995</v>
      </c>
      <c r="P41" s="1">
        <v>-168.90006</v>
      </c>
      <c r="Q41" s="1">
        <v>3.0074999999999998</v>
      </c>
      <c r="R41" s="1">
        <v>32.707500000000003</v>
      </c>
      <c r="S41" s="1">
        <v>357.35599999999999</v>
      </c>
      <c r="T41" s="1"/>
      <c r="U41" s="1"/>
      <c r="V41" s="1"/>
      <c r="W41" s="3">
        <v>0.2185</v>
      </c>
      <c r="X41" s="1" t="s">
        <v>211</v>
      </c>
      <c r="Y41" s="1">
        <v>0.46</v>
      </c>
      <c r="Z41" s="1">
        <v>0.73</v>
      </c>
      <c r="AA41" s="1">
        <v>1.0549999999999999</v>
      </c>
      <c r="AB41" s="1">
        <v>3.8</v>
      </c>
      <c r="AC41" s="1">
        <v>2.6</v>
      </c>
      <c r="AD41" s="1">
        <v>0.09</v>
      </c>
      <c r="AE41" s="1">
        <v>3.72</v>
      </c>
      <c r="AF41" s="1">
        <v>2.69</v>
      </c>
      <c r="AG41" s="1"/>
      <c r="AH41" s="1" t="s">
        <v>216</v>
      </c>
      <c r="AI41" s="1">
        <v>14</v>
      </c>
      <c r="AJ41" s="1" t="s">
        <v>213</v>
      </c>
      <c r="AK41" s="1">
        <v>9</v>
      </c>
      <c r="AL41" s="1">
        <v>81.267799999999994</v>
      </c>
      <c r="AM41" s="1" t="s">
        <v>211</v>
      </c>
      <c r="AN41" s="1"/>
      <c r="AO41" s="1"/>
      <c r="AP41" s="1"/>
      <c r="AQ41" s="1"/>
      <c r="AR41" s="1"/>
      <c r="AS41" s="1" t="s">
        <v>217</v>
      </c>
      <c r="AT41" s="1"/>
    </row>
    <row r="42" spans="1:46">
      <c r="A42" s="1" t="s">
        <v>218</v>
      </c>
      <c r="B42" s="1">
        <v>93</v>
      </c>
      <c r="C42" s="1" t="s">
        <v>218</v>
      </c>
      <c r="D42" s="1" t="s">
        <v>219</v>
      </c>
      <c r="E42" s="1" t="s">
        <v>47</v>
      </c>
      <c r="F42" s="1" t="s">
        <v>196</v>
      </c>
      <c r="G42" s="1" t="s">
        <v>49</v>
      </c>
      <c r="H42" s="2" t="s">
        <v>197</v>
      </c>
      <c r="I42" s="1">
        <v>58</v>
      </c>
      <c r="J42" s="1">
        <v>20</v>
      </c>
      <c r="K42" s="1" t="s">
        <v>210</v>
      </c>
      <c r="L42" s="1" t="s">
        <v>65</v>
      </c>
      <c r="M42" s="1">
        <v>17.64</v>
      </c>
      <c r="N42" s="1">
        <v>53</v>
      </c>
      <c r="O42" s="1">
        <v>69.035219999999995</v>
      </c>
      <c r="P42" s="1">
        <v>-168.90006</v>
      </c>
      <c r="Q42" s="1">
        <v>3.0074999999999998</v>
      </c>
      <c r="R42" s="1">
        <v>32.707500000000003</v>
      </c>
      <c r="S42" s="1">
        <v>357.35599999999999</v>
      </c>
      <c r="T42" s="1"/>
      <c r="U42" s="1"/>
      <c r="V42" s="1"/>
      <c r="W42" s="3">
        <v>0.2185</v>
      </c>
      <c r="X42" s="1" t="s">
        <v>211</v>
      </c>
      <c r="Y42" s="1">
        <v>0.46</v>
      </c>
      <c r="Z42" s="1">
        <v>0.73</v>
      </c>
      <c r="AA42" s="1">
        <v>1.0549999999999999</v>
      </c>
      <c r="AB42" s="1">
        <v>3.8</v>
      </c>
      <c r="AC42" s="1">
        <v>2.6</v>
      </c>
      <c r="AD42" s="1">
        <v>0.09</v>
      </c>
      <c r="AE42" s="1">
        <v>3.72</v>
      </c>
      <c r="AF42" s="1">
        <v>2.69</v>
      </c>
      <c r="AG42" s="1"/>
      <c r="AH42" s="1" t="s">
        <v>220</v>
      </c>
      <c r="AI42" s="1">
        <v>14</v>
      </c>
      <c r="AJ42" s="1" t="s">
        <v>213</v>
      </c>
      <c r="AK42" s="1">
        <v>9</v>
      </c>
      <c r="AL42" s="1">
        <v>81.267799999999994</v>
      </c>
      <c r="AM42" s="1" t="s">
        <v>211</v>
      </c>
      <c r="AN42" s="1"/>
      <c r="AO42" s="1"/>
      <c r="AP42" s="1"/>
      <c r="AQ42" s="1"/>
      <c r="AR42" s="1"/>
      <c r="AS42" s="1"/>
      <c r="AT42" s="1"/>
    </row>
    <row r="43" spans="1:46">
      <c r="A43" s="1" t="s">
        <v>221</v>
      </c>
      <c r="B43" s="1">
        <v>88</v>
      </c>
      <c r="C43" s="1" t="s">
        <v>221</v>
      </c>
      <c r="D43" s="1" t="s">
        <v>222</v>
      </c>
      <c r="E43" s="1" t="s">
        <v>47</v>
      </c>
      <c r="F43" s="1" t="s">
        <v>196</v>
      </c>
      <c r="G43" s="1" t="s">
        <v>49</v>
      </c>
      <c r="H43" s="2" t="s">
        <v>197</v>
      </c>
      <c r="I43" s="1">
        <v>58</v>
      </c>
      <c r="J43" s="1">
        <v>0.2</v>
      </c>
      <c r="K43" s="1" t="s">
        <v>150</v>
      </c>
      <c r="L43" s="1" t="s">
        <v>78</v>
      </c>
      <c r="M43" s="1">
        <v>46.55</v>
      </c>
      <c r="N43" s="1">
        <v>53</v>
      </c>
      <c r="O43" s="1">
        <v>69.034639999999996</v>
      </c>
      <c r="P43" s="1">
        <v>-168.89721</v>
      </c>
      <c r="Q43" s="1">
        <v>2.4340000000000002</v>
      </c>
      <c r="R43" s="1">
        <v>32.724499999999999</v>
      </c>
      <c r="S43" s="1">
        <v>349.45299999999997</v>
      </c>
      <c r="T43" s="1">
        <v>212.64</v>
      </c>
      <c r="U43" s="1">
        <v>37.72</v>
      </c>
      <c r="V43" s="1">
        <v>3540</v>
      </c>
      <c r="W43" s="3">
        <v>0.68369999999999997</v>
      </c>
      <c r="X43" s="1" t="s">
        <v>223</v>
      </c>
      <c r="Y43" s="1">
        <v>1.72</v>
      </c>
      <c r="Z43" s="1">
        <v>1.1000000000000001</v>
      </c>
      <c r="AA43" s="1">
        <v>1.163</v>
      </c>
      <c r="AB43" s="1">
        <v>4.5</v>
      </c>
      <c r="AC43" s="1">
        <v>3.3</v>
      </c>
      <c r="AD43" s="1">
        <v>0.11</v>
      </c>
      <c r="AE43" s="1">
        <v>4.42</v>
      </c>
      <c r="AF43" s="1">
        <v>3.41</v>
      </c>
      <c r="AG43" s="1"/>
      <c r="AH43" s="1" t="s">
        <v>224</v>
      </c>
      <c r="AI43" s="1">
        <v>3</v>
      </c>
      <c r="AJ43" s="1" t="s">
        <v>225</v>
      </c>
      <c r="AK43" s="1">
        <v>9</v>
      </c>
      <c r="AL43" s="1">
        <v>71.596800000000002</v>
      </c>
      <c r="AM43" s="1" t="s">
        <v>223</v>
      </c>
      <c r="AN43" s="1">
        <v>5.6373276776246</v>
      </c>
      <c r="AO43" s="1">
        <v>0.85091738530182703</v>
      </c>
      <c r="AP43" s="1"/>
      <c r="AQ43" s="1"/>
      <c r="AR43" s="1"/>
      <c r="AS43" s="1"/>
      <c r="AT43" s="1"/>
    </row>
    <row r="44" spans="1:46">
      <c r="A44" s="1" t="s">
        <v>226</v>
      </c>
      <c r="B44" s="1">
        <v>91</v>
      </c>
      <c r="C44" s="1" t="s">
        <v>226</v>
      </c>
      <c r="D44" s="1" t="s">
        <v>227</v>
      </c>
      <c r="E44" s="1" t="s">
        <v>47</v>
      </c>
      <c r="F44" s="1" t="s">
        <v>196</v>
      </c>
      <c r="G44" s="1" t="s">
        <v>49</v>
      </c>
      <c r="H44" s="2" t="s">
        <v>197</v>
      </c>
      <c r="I44" s="1">
        <v>58</v>
      </c>
      <c r="J44" s="1">
        <v>3</v>
      </c>
      <c r="K44" s="1" t="s">
        <v>150</v>
      </c>
      <c r="L44" s="1" t="s">
        <v>78</v>
      </c>
      <c r="M44" s="1">
        <v>46.55</v>
      </c>
      <c r="N44" s="1">
        <v>53</v>
      </c>
      <c r="O44" s="1">
        <v>69.034639999999996</v>
      </c>
      <c r="P44" s="1">
        <v>-168.89721</v>
      </c>
      <c r="Q44" s="1">
        <v>2.4340000000000002</v>
      </c>
      <c r="R44" s="1">
        <v>32.724499999999999</v>
      </c>
      <c r="S44" s="1">
        <v>349.45299999999997</v>
      </c>
      <c r="T44" s="1">
        <v>212.64</v>
      </c>
      <c r="U44" s="1">
        <v>37.72</v>
      </c>
      <c r="V44" s="1">
        <v>3540</v>
      </c>
      <c r="W44" s="3">
        <v>0.68369999999999997</v>
      </c>
      <c r="X44" s="1" t="s">
        <v>225</v>
      </c>
      <c r="Y44" s="1"/>
      <c r="Z44" s="1"/>
      <c r="AA44" s="1"/>
      <c r="AB44" s="1"/>
      <c r="AC44" s="1"/>
      <c r="AD44" s="1"/>
      <c r="AE44" s="1"/>
      <c r="AF44" s="1"/>
      <c r="AG44" s="1"/>
      <c r="AH44" s="1" t="s">
        <v>228</v>
      </c>
      <c r="AI44" s="1">
        <v>3</v>
      </c>
      <c r="AJ44" s="1" t="s">
        <v>225</v>
      </c>
      <c r="AK44" s="1">
        <v>9</v>
      </c>
      <c r="AL44" s="1">
        <v>71.596800000000002</v>
      </c>
      <c r="AM44" s="1" t="s">
        <v>225</v>
      </c>
      <c r="AN44" s="1">
        <v>5.6373276776246</v>
      </c>
      <c r="AO44" s="1">
        <v>0.85091738530182703</v>
      </c>
      <c r="AP44" s="1"/>
      <c r="AQ44" s="1"/>
      <c r="AR44" s="1"/>
      <c r="AS44" s="1"/>
      <c r="AT44" s="1"/>
    </row>
    <row r="45" spans="1:46">
      <c r="A45" s="1" t="s">
        <v>229</v>
      </c>
      <c r="B45" s="1">
        <v>94</v>
      </c>
      <c r="C45" s="1" t="s">
        <v>229</v>
      </c>
      <c r="D45" s="1" t="s">
        <v>230</v>
      </c>
      <c r="E45" s="1" t="s">
        <v>47</v>
      </c>
      <c r="F45" s="1" t="s">
        <v>196</v>
      </c>
      <c r="G45" s="1" t="s">
        <v>49</v>
      </c>
      <c r="H45" s="2" t="s">
        <v>197</v>
      </c>
      <c r="I45" s="1">
        <v>58</v>
      </c>
      <c r="J45" s="1">
        <v>20</v>
      </c>
      <c r="K45" s="1" t="s">
        <v>150</v>
      </c>
      <c r="L45" s="1" t="s">
        <v>78</v>
      </c>
      <c r="M45" s="1">
        <v>46.55</v>
      </c>
      <c r="N45" s="1">
        <v>53</v>
      </c>
      <c r="O45" s="1">
        <v>69.034639999999996</v>
      </c>
      <c r="P45" s="1">
        <v>-168.89721</v>
      </c>
      <c r="Q45" s="1">
        <v>2.4340000000000002</v>
      </c>
      <c r="R45" s="1">
        <v>32.724499999999999</v>
      </c>
      <c r="S45" s="1">
        <v>349.45299999999997</v>
      </c>
      <c r="T45" s="1">
        <v>212.64</v>
      </c>
      <c r="U45" s="1">
        <v>37.72</v>
      </c>
      <c r="V45" s="1">
        <v>3540</v>
      </c>
      <c r="W45" s="3">
        <v>0.68369999999999997</v>
      </c>
      <c r="X45" s="1" t="s">
        <v>225</v>
      </c>
      <c r="Y45" s="1"/>
      <c r="Z45" s="1"/>
      <c r="AA45" s="1"/>
      <c r="AB45" s="1"/>
      <c r="AC45" s="1"/>
      <c r="AD45" s="1"/>
      <c r="AE45" s="1"/>
      <c r="AF45" s="1"/>
      <c r="AG45" s="1"/>
      <c r="AH45" s="1" t="s">
        <v>231</v>
      </c>
      <c r="AI45" s="1">
        <v>3</v>
      </c>
      <c r="AJ45" s="1" t="s">
        <v>225</v>
      </c>
      <c r="AK45" s="1">
        <v>9</v>
      </c>
      <c r="AL45" s="1">
        <v>71.596800000000002</v>
      </c>
      <c r="AM45" s="1" t="s">
        <v>225</v>
      </c>
      <c r="AN45" s="1">
        <v>5.6373276776246</v>
      </c>
      <c r="AO45" s="1">
        <v>0.85091738530182703</v>
      </c>
      <c r="AP45" s="1"/>
      <c r="AQ45" s="1"/>
      <c r="AR45" s="1"/>
      <c r="AS45" s="1"/>
      <c r="AT45" s="1"/>
    </row>
    <row r="46" spans="1:46">
      <c r="A46" s="1" t="s">
        <v>232</v>
      </c>
      <c r="B46" s="1">
        <v>30</v>
      </c>
      <c r="C46" s="1" t="s">
        <v>232</v>
      </c>
      <c r="D46" s="1" t="s">
        <v>233</v>
      </c>
      <c r="E46" s="1" t="s">
        <v>47</v>
      </c>
      <c r="F46" s="1" t="s">
        <v>234</v>
      </c>
      <c r="G46" s="1" t="s">
        <v>49</v>
      </c>
      <c r="H46" s="2" t="s">
        <v>235</v>
      </c>
      <c r="I46" s="1">
        <v>18</v>
      </c>
      <c r="J46" s="1">
        <v>0.2</v>
      </c>
      <c r="K46" s="1" t="s">
        <v>52</v>
      </c>
      <c r="L46" s="1" t="s">
        <v>52</v>
      </c>
      <c r="M46" s="1">
        <v>3.31</v>
      </c>
      <c r="N46" s="1">
        <v>56</v>
      </c>
      <c r="O46" s="1">
        <v>66.499949999999998</v>
      </c>
      <c r="P46" s="1">
        <v>-168.96037999999999</v>
      </c>
      <c r="Q46" s="1">
        <v>5.5575000000000001</v>
      </c>
      <c r="R46" s="1">
        <v>31.896999999999998</v>
      </c>
      <c r="S46" s="1">
        <v>318.49599999999998</v>
      </c>
      <c r="T46" s="1">
        <v>225.88</v>
      </c>
      <c r="U46" s="1">
        <v>24.82</v>
      </c>
      <c r="V46" s="1">
        <v>2100</v>
      </c>
      <c r="W46" s="3">
        <v>0.13120000000000001</v>
      </c>
      <c r="X46" s="1" t="s">
        <v>236</v>
      </c>
      <c r="Y46" s="1">
        <v>0.93</v>
      </c>
      <c r="Z46" s="1">
        <v>0.18</v>
      </c>
      <c r="AA46" s="1">
        <v>0.27600000000000002</v>
      </c>
      <c r="AB46" s="1">
        <v>1.3</v>
      </c>
      <c r="AC46" s="1">
        <v>0.1</v>
      </c>
      <c r="AD46" s="1">
        <v>0.01</v>
      </c>
      <c r="AE46" s="1">
        <v>0.05</v>
      </c>
      <c r="AF46" s="1">
        <v>0.11</v>
      </c>
      <c r="AG46" s="1"/>
      <c r="AH46" s="1" t="s">
        <v>237</v>
      </c>
      <c r="AI46" s="1">
        <v>22</v>
      </c>
      <c r="AJ46" s="1" t="s">
        <v>238</v>
      </c>
      <c r="AK46" s="1">
        <v>8</v>
      </c>
      <c r="AL46" s="1">
        <v>89.260900000000007</v>
      </c>
      <c r="AM46" s="1" t="s">
        <v>236</v>
      </c>
      <c r="AN46" s="1">
        <v>9.1007252215954892</v>
      </c>
      <c r="AO46" s="1">
        <v>1.37369437307102</v>
      </c>
      <c r="AP46" s="1"/>
      <c r="AQ46" s="1"/>
      <c r="AR46" s="1"/>
      <c r="AS46" s="1" t="s">
        <v>239</v>
      </c>
      <c r="AT46" s="1"/>
    </row>
    <row r="47" spans="1:46">
      <c r="A47" s="1" t="s">
        <v>240</v>
      </c>
      <c r="B47" s="1">
        <v>33</v>
      </c>
      <c r="C47" s="1" t="s">
        <v>240</v>
      </c>
      <c r="D47" s="1" t="s">
        <v>241</v>
      </c>
      <c r="E47" s="1" t="s">
        <v>47</v>
      </c>
      <c r="F47" s="1" t="s">
        <v>234</v>
      </c>
      <c r="G47" s="1" t="s">
        <v>49</v>
      </c>
      <c r="H47" s="2" t="s">
        <v>235</v>
      </c>
      <c r="I47" s="1">
        <v>18</v>
      </c>
      <c r="J47" s="1">
        <v>3</v>
      </c>
      <c r="K47" s="1" t="s">
        <v>52</v>
      </c>
      <c r="L47" s="1" t="s">
        <v>52</v>
      </c>
      <c r="M47" s="1">
        <v>3.31</v>
      </c>
      <c r="N47" s="1">
        <v>56</v>
      </c>
      <c r="O47" s="1">
        <v>66.499949999999998</v>
      </c>
      <c r="P47" s="1">
        <v>-168.96037999999999</v>
      </c>
      <c r="Q47" s="1">
        <v>5.5575000000000001</v>
      </c>
      <c r="R47" s="1">
        <v>31.896999999999998</v>
      </c>
      <c r="S47" s="1">
        <v>318.49599999999998</v>
      </c>
      <c r="T47" s="1">
        <v>225.88</v>
      </c>
      <c r="U47" s="1">
        <v>24.82</v>
      </c>
      <c r="V47" s="1">
        <v>2100</v>
      </c>
      <c r="W47" s="3">
        <v>0.13120000000000001</v>
      </c>
      <c r="X47" s="1" t="s">
        <v>236</v>
      </c>
      <c r="Y47" s="1">
        <v>0.93</v>
      </c>
      <c r="Z47" s="1">
        <v>0.18</v>
      </c>
      <c r="AA47" s="1">
        <v>0.27600000000000002</v>
      </c>
      <c r="AB47" s="1">
        <v>1.3</v>
      </c>
      <c r="AC47" s="1">
        <v>0.1</v>
      </c>
      <c r="AD47" s="1">
        <v>0.01</v>
      </c>
      <c r="AE47" s="1">
        <v>0.05</v>
      </c>
      <c r="AF47" s="1">
        <v>0.11</v>
      </c>
      <c r="AG47" s="1"/>
      <c r="AH47" s="1" t="s">
        <v>242</v>
      </c>
      <c r="AI47" s="1">
        <v>22</v>
      </c>
      <c r="AJ47" s="1" t="s">
        <v>238</v>
      </c>
      <c r="AK47" s="1">
        <v>8</v>
      </c>
      <c r="AL47" s="1">
        <v>89.260900000000007</v>
      </c>
      <c r="AM47" s="1" t="s">
        <v>236</v>
      </c>
      <c r="AN47" s="1">
        <v>9.1007252215954892</v>
      </c>
      <c r="AO47" s="1">
        <v>1.37369437307102</v>
      </c>
      <c r="AP47" s="1"/>
      <c r="AQ47" s="1"/>
      <c r="AR47" s="1"/>
      <c r="AS47" s="1"/>
      <c r="AT47" s="1"/>
    </row>
    <row r="48" spans="1:46">
      <c r="A48" s="1" t="s">
        <v>243</v>
      </c>
      <c r="B48" s="1">
        <v>36</v>
      </c>
      <c r="C48" s="1" t="s">
        <v>243</v>
      </c>
      <c r="D48" s="1" t="s">
        <v>244</v>
      </c>
      <c r="E48" s="1" t="s">
        <v>47</v>
      </c>
      <c r="F48" s="1" t="s">
        <v>234</v>
      </c>
      <c r="G48" s="1" t="s">
        <v>49</v>
      </c>
      <c r="H48" s="2" t="s">
        <v>235</v>
      </c>
      <c r="I48" s="1">
        <v>18</v>
      </c>
      <c r="J48" s="1">
        <v>20</v>
      </c>
      <c r="K48" s="1" t="s">
        <v>52</v>
      </c>
      <c r="L48" s="1" t="s">
        <v>52</v>
      </c>
      <c r="M48" s="1">
        <v>3.31</v>
      </c>
      <c r="N48" s="1">
        <v>56</v>
      </c>
      <c r="O48" s="1">
        <v>66.499949999999998</v>
      </c>
      <c r="P48" s="1">
        <v>-168.96037999999999</v>
      </c>
      <c r="Q48" s="1">
        <v>5.5575000000000001</v>
      </c>
      <c r="R48" s="1">
        <v>31.896999999999998</v>
      </c>
      <c r="S48" s="1">
        <v>318.49599999999998</v>
      </c>
      <c r="T48" s="1">
        <v>225.88</v>
      </c>
      <c r="U48" s="1">
        <v>24.82</v>
      </c>
      <c r="V48" s="1">
        <v>2100</v>
      </c>
      <c r="W48" s="3">
        <v>0.13120000000000001</v>
      </c>
      <c r="X48" s="1" t="s">
        <v>236</v>
      </c>
      <c r="Y48" s="1">
        <v>0.93</v>
      </c>
      <c r="Z48" s="1">
        <v>0.18</v>
      </c>
      <c r="AA48" s="1">
        <v>0.27600000000000002</v>
      </c>
      <c r="AB48" s="1">
        <v>1.3</v>
      </c>
      <c r="AC48" s="1">
        <v>0.1</v>
      </c>
      <c r="AD48" s="1">
        <v>0.01</v>
      </c>
      <c r="AE48" s="1">
        <v>0.05</v>
      </c>
      <c r="AF48" s="1">
        <v>0.11</v>
      </c>
      <c r="AG48" s="1"/>
      <c r="AH48" s="1" t="s">
        <v>245</v>
      </c>
      <c r="AI48" s="1">
        <v>22</v>
      </c>
      <c r="AJ48" s="1" t="s">
        <v>238</v>
      </c>
      <c r="AK48" s="1">
        <v>8</v>
      </c>
      <c r="AL48" s="1">
        <v>89.260900000000007</v>
      </c>
      <c r="AM48" s="1" t="s">
        <v>236</v>
      </c>
      <c r="AN48" s="1">
        <v>9.1007252215954892</v>
      </c>
      <c r="AO48" s="1">
        <v>1.37369437307102</v>
      </c>
      <c r="AP48" s="1"/>
      <c r="AQ48" s="1"/>
      <c r="AR48" s="1"/>
      <c r="AS48" s="1"/>
      <c r="AT48" s="1" t="s">
        <v>246</v>
      </c>
    </row>
    <row r="49" spans="1:46">
      <c r="A49" s="1" t="s">
        <v>247</v>
      </c>
      <c r="B49" s="1">
        <v>31</v>
      </c>
      <c r="C49" s="1" t="s">
        <v>247</v>
      </c>
      <c r="D49" s="1" t="s">
        <v>248</v>
      </c>
      <c r="E49" s="1" t="s">
        <v>47</v>
      </c>
      <c r="F49" s="1" t="s">
        <v>234</v>
      </c>
      <c r="G49" s="1" t="s">
        <v>49</v>
      </c>
      <c r="H49" s="2" t="s">
        <v>235</v>
      </c>
      <c r="I49" s="1">
        <v>18</v>
      </c>
      <c r="J49" s="1">
        <v>0.2</v>
      </c>
      <c r="K49" s="1" t="s">
        <v>137</v>
      </c>
      <c r="L49" s="1" t="s">
        <v>65</v>
      </c>
      <c r="M49" s="1">
        <v>13.06</v>
      </c>
      <c r="N49" s="1">
        <v>56</v>
      </c>
      <c r="O49" s="1">
        <v>66.499939999999995</v>
      </c>
      <c r="P49" s="1">
        <v>-168.96036000000001</v>
      </c>
      <c r="Q49" s="1">
        <v>2.2324999999999999</v>
      </c>
      <c r="R49" s="1">
        <v>32.585999999999999</v>
      </c>
      <c r="S49" s="1">
        <v>329.31200000000001</v>
      </c>
      <c r="T49" s="1"/>
      <c r="U49" s="1"/>
      <c r="V49" s="1"/>
      <c r="W49" s="3">
        <v>1.7901</v>
      </c>
      <c r="X49" s="1" t="s">
        <v>249</v>
      </c>
      <c r="Y49" s="1">
        <v>4.28</v>
      </c>
      <c r="Z49" s="1">
        <v>1.33</v>
      </c>
      <c r="AA49" s="1">
        <v>0.95699999999999996</v>
      </c>
      <c r="AB49" s="1">
        <v>5.2</v>
      </c>
      <c r="AC49" s="1">
        <v>5.6</v>
      </c>
      <c r="AD49" s="1">
        <v>0.1</v>
      </c>
      <c r="AE49" s="1">
        <v>1.57</v>
      </c>
      <c r="AF49" s="1">
        <v>5.7</v>
      </c>
      <c r="AG49" s="1"/>
      <c r="AH49" s="1" t="s">
        <v>250</v>
      </c>
      <c r="AI49" s="1">
        <v>13</v>
      </c>
      <c r="AJ49" s="1" t="s">
        <v>251</v>
      </c>
      <c r="AK49" s="1">
        <v>8</v>
      </c>
      <c r="AL49" s="1">
        <v>80.489699999999999</v>
      </c>
      <c r="AM49" s="1" t="s">
        <v>249</v>
      </c>
      <c r="AN49" s="1"/>
      <c r="AO49" s="1"/>
      <c r="AP49" s="1"/>
      <c r="AQ49" s="1"/>
      <c r="AR49" s="1"/>
      <c r="AS49" s="1"/>
      <c r="AT49" s="1"/>
    </row>
    <row r="50" spans="1:46">
      <c r="A50" s="1" t="s">
        <v>252</v>
      </c>
      <c r="B50" s="1">
        <v>34</v>
      </c>
      <c r="C50" s="1" t="s">
        <v>252</v>
      </c>
      <c r="D50" s="1" t="s">
        <v>253</v>
      </c>
      <c r="E50" s="1" t="s">
        <v>47</v>
      </c>
      <c r="F50" s="1" t="s">
        <v>234</v>
      </c>
      <c r="G50" s="1" t="s">
        <v>49</v>
      </c>
      <c r="H50" s="2" t="s">
        <v>235</v>
      </c>
      <c r="I50" s="1">
        <v>18</v>
      </c>
      <c r="J50" s="1">
        <v>3</v>
      </c>
      <c r="K50" s="1" t="s">
        <v>137</v>
      </c>
      <c r="L50" s="1" t="s">
        <v>65</v>
      </c>
      <c r="M50" s="1">
        <v>13.06</v>
      </c>
      <c r="N50" s="1">
        <v>56</v>
      </c>
      <c r="O50" s="1">
        <v>66.499939999999995</v>
      </c>
      <c r="P50" s="1">
        <v>-168.96036000000001</v>
      </c>
      <c r="Q50" s="1">
        <v>2.2324999999999999</v>
      </c>
      <c r="R50" s="1">
        <v>32.585999999999999</v>
      </c>
      <c r="S50" s="1">
        <v>329.31200000000001</v>
      </c>
      <c r="T50" s="1"/>
      <c r="U50" s="1"/>
      <c r="V50" s="1"/>
      <c r="W50" s="3">
        <v>1.7901</v>
      </c>
      <c r="X50" s="1" t="s">
        <v>249</v>
      </c>
      <c r="Y50" s="1">
        <v>4.28</v>
      </c>
      <c r="Z50" s="1">
        <v>1.33</v>
      </c>
      <c r="AA50" s="1">
        <v>0.95699999999999996</v>
      </c>
      <c r="AB50" s="1">
        <v>5.2</v>
      </c>
      <c r="AC50" s="1">
        <v>5.6</v>
      </c>
      <c r="AD50" s="1">
        <v>0.1</v>
      </c>
      <c r="AE50" s="1">
        <v>1.57</v>
      </c>
      <c r="AF50" s="1">
        <v>5.7</v>
      </c>
      <c r="AG50" s="1"/>
      <c r="AH50" s="1" t="s">
        <v>254</v>
      </c>
      <c r="AI50" s="1">
        <v>13</v>
      </c>
      <c r="AJ50" s="1" t="s">
        <v>251</v>
      </c>
      <c r="AK50" s="1">
        <v>8</v>
      </c>
      <c r="AL50" s="1">
        <v>80.489699999999999</v>
      </c>
      <c r="AM50" s="1" t="s">
        <v>249</v>
      </c>
      <c r="AN50" s="1"/>
      <c r="AO50" s="1"/>
      <c r="AP50" s="1"/>
      <c r="AQ50" s="1"/>
      <c r="AR50" s="1"/>
      <c r="AS50" s="1"/>
      <c r="AT50" s="1" t="s">
        <v>255</v>
      </c>
    </row>
    <row r="51" spans="1:46">
      <c r="A51" s="1" t="s">
        <v>256</v>
      </c>
      <c r="B51" s="1">
        <v>37</v>
      </c>
      <c r="C51" s="1" t="s">
        <v>256</v>
      </c>
      <c r="D51" s="1" t="s">
        <v>257</v>
      </c>
      <c r="E51" s="1" t="s">
        <v>47</v>
      </c>
      <c r="F51" s="1" t="s">
        <v>234</v>
      </c>
      <c r="G51" s="1" t="s">
        <v>49</v>
      </c>
      <c r="H51" s="2" t="s">
        <v>235</v>
      </c>
      <c r="I51" s="1">
        <v>18</v>
      </c>
      <c r="J51" s="1">
        <v>20</v>
      </c>
      <c r="K51" s="1" t="s">
        <v>137</v>
      </c>
      <c r="L51" s="1" t="s">
        <v>65</v>
      </c>
      <c r="M51" s="1">
        <v>13.06</v>
      </c>
      <c r="N51" s="1">
        <v>56</v>
      </c>
      <c r="O51" s="1">
        <v>66.499939999999995</v>
      </c>
      <c r="P51" s="1">
        <v>-168.96036000000001</v>
      </c>
      <c r="Q51" s="1">
        <v>2.2324999999999999</v>
      </c>
      <c r="R51" s="1">
        <v>32.585999999999999</v>
      </c>
      <c r="S51" s="1">
        <v>329.31200000000001</v>
      </c>
      <c r="T51" s="1"/>
      <c r="U51" s="1"/>
      <c r="V51" s="1"/>
      <c r="W51" s="3">
        <v>1.7901</v>
      </c>
      <c r="X51" s="1" t="s">
        <v>249</v>
      </c>
      <c r="Y51" s="1">
        <v>4.28</v>
      </c>
      <c r="Z51" s="1">
        <v>1.33</v>
      </c>
      <c r="AA51" s="1">
        <v>0.95699999999999996</v>
      </c>
      <c r="AB51" s="1">
        <v>5.2</v>
      </c>
      <c r="AC51" s="1">
        <v>5.6</v>
      </c>
      <c r="AD51" s="1">
        <v>0.1</v>
      </c>
      <c r="AE51" s="1">
        <v>1.57</v>
      </c>
      <c r="AF51" s="1">
        <v>5.7</v>
      </c>
      <c r="AG51" s="1"/>
      <c r="AH51" s="1" t="s">
        <v>258</v>
      </c>
      <c r="AI51" s="1">
        <v>13</v>
      </c>
      <c r="AJ51" s="1" t="s">
        <v>251</v>
      </c>
      <c r="AK51" s="1">
        <v>8</v>
      </c>
      <c r="AL51" s="1">
        <v>80.489699999999999</v>
      </c>
      <c r="AM51" s="1" t="s">
        <v>249</v>
      </c>
      <c r="AN51" s="1"/>
      <c r="AO51" s="1"/>
      <c r="AP51" s="1"/>
      <c r="AQ51" s="1"/>
      <c r="AR51" s="1"/>
      <c r="AS51" s="1"/>
      <c r="AT51" s="1"/>
    </row>
    <row r="52" spans="1:46">
      <c r="A52" s="1" t="s">
        <v>259</v>
      </c>
      <c r="B52" s="1">
        <v>32</v>
      </c>
      <c r="C52" s="1" t="s">
        <v>259</v>
      </c>
      <c r="D52" s="1" t="s">
        <v>260</v>
      </c>
      <c r="E52" s="1" t="s">
        <v>47</v>
      </c>
      <c r="F52" s="1" t="s">
        <v>234</v>
      </c>
      <c r="G52" s="1" t="s">
        <v>49</v>
      </c>
      <c r="H52" s="2" t="s">
        <v>235</v>
      </c>
      <c r="I52" s="1">
        <v>18</v>
      </c>
      <c r="J52" s="1">
        <v>0.2</v>
      </c>
      <c r="K52" s="1" t="s">
        <v>261</v>
      </c>
      <c r="L52" s="1" t="s">
        <v>78</v>
      </c>
      <c r="M52" s="1">
        <v>53.04</v>
      </c>
      <c r="N52" s="1">
        <v>56</v>
      </c>
      <c r="O52" s="1">
        <v>66.499960000000002</v>
      </c>
      <c r="P52" s="1">
        <v>-168.96037999999999</v>
      </c>
      <c r="Q52" s="1">
        <v>2.1615000000000002</v>
      </c>
      <c r="R52" s="1">
        <v>32.587499999999999</v>
      </c>
      <c r="S52" s="1">
        <v>323.71699999999998</v>
      </c>
      <c r="T52" s="1">
        <v>644.98</v>
      </c>
      <c r="U52" s="1">
        <v>95.78</v>
      </c>
      <c r="V52" s="1">
        <v>9940</v>
      </c>
      <c r="W52" s="3">
        <v>10.8546</v>
      </c>
      <c r="X52" s="1" t="s">
        <v>262</v>
      </c>
      <c r="Y52" s="1">
        <v>18.25</v>
      </c>
      <c r="Z52" s="1">
        <v>1.54</v>
      </c>
      <c r="AA52" s="1">
        <v>1.1140000000000001</v>
      </c>
      <c r="AB52" s="1">
        <v>8.1</v>
      </c>
      <c r="AC52" s="1">
        <v>6.8</v>
      </c>
      <c r="AD52" s="1">
        <v>0.14000000000000001</v>
      </c>
      <c r="AE52" s="1">
        <v>1.97</v>
      </c>
      <c r="AF52" s="1">
        <v>6.94</v>
      </c>
      <c r="AG52" s="1"/>
      <c r="AH52" s="1" t="s">
        <v>263</v>
      </c>
      <c r="AI52" s="1">
        <v>1</v>
      </c>
      <c r="AJ52" s="1" t="s">
        <v>262</v>
      </c>
      <c r="AK52" s="1">
        <v>8</v>
      </c>
      <c r="AL52" s="1">
        <v>47.040900000000001</v>
      </c>
      <c r="AM52" s="1" t="s">
        <v>262</v>
      </c>
      <c r="AN52" s="1">
        <v>6.7339736897055804</v>
      </c>
      <c r="AO52" s="1">
        <v>1.0164488588234799</v>
      </c>
      <c r="AP52" s="1"/>
      <c r="AQ52" s="1"/>
      <c r="AR52" s="1"/>
      <c r="AS52" s="1"/>
      <c r="AT52" s="1"/>
    </row>
    <row r="53" spans="1:46">
      <c r="A53" s="1" t="s">
        <v>264</v>
      </c>
      <c r="B53" s="1">
        <v>35</v>
      </c>
      <c r="C53" s="1" t="s">
        <v>264</v>
      </c>
      <c r="D53" s="1" t="s">
        <v>265</v>
      </c>
      <c r="E53" s="1" t="s">
        <v>47</v>
      </c>
      <c r="F53" s="1" t="s">
        <v>234</v>
      </c>
      <c r="G53" s="1" t="s">
        <v>49</v>
      </c>
      <c r="H53" s="2" t="s">
        <v>235</v>
      </c>
      <c r="I53" s="1">
        <v>18</v>
      </c>
      <c r="J53" s="1">
        <v>3</v>
      </c>
      <c r="K53" s="1" t="s">
        <v>261</v>
      </c>
      <c r="L53" s="1" t="s">
        <v>78</v>
      </c>
      <c r="M53" s="1">
        <v>53.04</v>
      </c>
      <c r="N53" s="1">
        <v>56</v>
      </c>
      <c r="O53" s="1">
        <v>66.499960000000002</v>
      </c>
      <c r="P53" s="1">
        <v>-168.96037999999999</v>
      </c>
      <c r="Q53" s="1">
        <v>2.1615000000000002</v>
      </c>
      <c r="R53" s="1">
        <v>32.587499999999999</v>
      </c>
      <c r="S53" s="1">
        <v>323.71699999999998</v>
      </c>
      <c r="T53" s="1">
        <v>644.98</v>
      </c>
      <c r="U53" s="1">
        <v>95.78</v>
      </c>
      <c r="V53" s="1">
        <v>9940</v>
      </c>
      <c r="W53" s="3">
        <v>10.8546</v>
      </c>
      <c r="X53" s="1" t="s">
        <v>262</v>
      </c>
      <c r="Y53" s="1">
        <v>18.25</v>
      </c>
      <c r="Z53" s="1">
        <v>1.54</v>
      </c>
      <c r="AA53" s="1">
        <v>1.1140000000000001</v>
      </c>
      <c r="AB53" s="1">
        <v>8.1</v>
      </c>
      <c r="AC53" s="1">
        <v>6.8</v>
      </c>
      <c r="AD53" s="1">
        <v>0.14000000000000001</v>
      </c>
      <c r="AE53" s="1">
        <v>1.97</v>
      </c>
      <c r="AF53" s="1">
        <v>6.94</v>
      </c>
      <c r="AG53" s="1"/>
      <c r="AH53" s="1" t="s">
        <v>266</v>
      </c>
      <c r="AI53" s="1">
        <v>1</v>
      </c>
      <c r="AJ53" s="1" t="s">
        <v>262</v>
      </c>
      <c r="AK53" s="1">
        <v>8</v>
      </c>
      <c r="AL53" s="1">
        <v>47.040900000000001</v>
      </c>
      <c r="AM53" s="1" t="s">
        <v>262</v>
      </c>
      <c r="AN53" s="1">
        <v>6.7339736897055804</v>
      </c>
      <c r="AO53" s="1">
        <v>1.0164488588234799</v>
      </c>
      <c r="AP53" s="1"/>
      <c r="AQ53" s="1"/>
      <c r="AR53" s="1"/>
      <c r="AS53" s="1"/>
      <c r="AT53" s="1"/>
    </row>
    <row r="54" spans="1:46">
      <c r="A54" s="1" t="s">
        <v>267</v>
      </c>
      <c r="B54" s="1">
        <v>38</v>
      </c>
      <c r="C54" s="1" t="s">
        <v>267</v>
      </c>
      <c r="D54" s="1" t="s">
        <v>268</v>
      </c>
      <c r="E54" s="1" t="s">
        <v>47</v>
      </c>
      <c r="F54" s="1" t="s">
        <v>234</v>
      </c>
      <c r="G54" s="1" t="s">
        <v>49</v>
      </c>
      <c r="H54" s="2" t="s">
        <v>235</v>
      </c>
      <c r="I54" s="1">
        <v>18</v>
      </c>
      <c r="J54" s="1">
        <v>20</v>
      </c>
      <c r="K54" s="1" t="s">
        <v>261</v>
      </c>
      <c r="L54" s="1" t="s">
        <v>78</v>
      </c>
      <c r="M54" s="1">
        <v>53.04</v>
      </c>
      <c r="N54" s="1">
        <v>56</v>
      </c>
      <c r="O54" s="1">
        <v>66.499960000000002</v>
      </c>
      <c r="P54" s="1">
        <v>-168.96037999999999</v>
      </c>
      <c r="Q54" s="1">
        <v>2.1615000000000002</v>
      </c>
      <c r="R54" s="1">
        <v>32.587499999999999</v>
      </c>
      <c r="S54" s="1">
        <v>323.71699999999998</v>
      </c>
      <c r="T54" s="1">
        <v>644.98</v>
      </c>
      <c r="U54" s="1">
        <v>95.78</v>
      </c>
      <c r="V54" s="1">
        <v>9940</v>
      </c>
      <c r="W54" s="3">
        <v>10.8546</v>
      </c>
      <c r="X54" s="1" t="s">
        <v>262</v>
      </c>
      <c r="Y54" s="1">
        <v>18.25</v>
      </c>
      <c r="Z54" s="1">
        <v>1.54</v>
      </c>
      <c r="AA54" s="1">
        <v>1.1140000000000001</v>
      </c>
      <c r="AB54" s="1">
        <v>8.1</v>
      </c>
      <c r="AC54" s="1">
        <v>6.8</v>
      </c>
      <c r="AD54" s="1">
        <v>0.14000000000000001</v>
      </c>
      <c r="AE54" s="1">
        <v>1.97</v>
      </c>
      <c r="AF54" s="1">
        <v>6.94</v>
      </c>
      <c r="AG54" s="1"/>
      <c r="AH54" s="1" t="s">
        <v>269</v>
      </c>
      <c r="AI54" s="1">
        <v>1</v>
      </c>
      <c r="AJ54" s="1" t="s">
        <v>262</v>
      </c>
      <c r="AK54" s="1">
        <v>8</v>
      </c>
      <c r="AL54" s="1">
        <v>47.040900000000001</v>
      </c>
      <c r="AM54" s="1" t="s">
        <v>262</v>
      </c>
      <c r="AN54" s="1">
        <v>6.7339736897055804</v>
      </c>
      <c r="AO54" s="1">
        <v>1.0164488588234799</v>
      </c>
      <c r="AP54" s="1"/>
      <c r="AQ54" s="1"/>
      <c r="AR54" s="1"/>
      <c r="AS54" s="1"/>
      <c r="AT54" s="1"/>
    </row>
    <row r="55" spans="1:46">
      <c r="A55" s="1" t="s">
        <v>270</v>
      </c>
      <c r="B55" s="1">
        <v>220</v>
      </c>
      <c r="C55" s="1" t="s">
        <v>270</v>
      </c>
      <c r="D55" s="1" t="s">
        <v>271</v>
      </c>
      <c r="E55" s="1" t="s">
        <v>47</v>
      </c>
      <c r="F55" s="1" t="s">
        <v>272</v>
      </c>
      <c r="G55" s="1" t="s">
        <v>49</v>
      </c>
      <c r="H55" s="2" t="s">
        <v>273</v>
      </c>
      <c r="I55" s="1">
        <v>129</v>
      </c>
      <c r="J55" s="1">
        <v>0.2</v>
      </c>
      <c r="K55" s="1" t="s">
        <v>52</v>
      </c>
      <c r="L55" s="1" t="s">
        <v>52</v>
      </c>
      <c r="M55" s="1">
        <v>4.46</v>
      </c>
      <c r="N55" s="1">
        <v>48</v>
      </c>
      <c r="O55" s="1">
        <v>64.960139999999996</v>
      </c>
      <c r="P55" s="1">
        <v>-169.8903</v>
      </c>
      <c r="Q55" s="1">
        <v>2.669</v>
      </c>
      <c r="R55" s="1">
        <v>32.770499999999998</v>
      </c>
      <c r="S55" s="1">
        <v>301.36700000000002</v>
      </c>
      <c r="T55" s="1">
        <v>195.12</v>
      </c>
      <c r="U55" s="1">
        <v>31.06</v>
      </c>
      <c r="V55" s="1">
        <v>3819.99999999999</v>
      </c>
      <c r="W55" s="3">
        <v>0.33689999999999998</v>
      </c>
      <c r="X55" s="1" t="s">
        <v>274</v>
      </c>
      <c r="Y55" s="1">
        <v>0.7</v>
      </c>
      <c r="Z55" s="1">
        <v>0.82</v>
      </c>
      <c r="AA55" s="1">
        <v>1.643</v>
      </c>
      <c r="AB55" s="1">
        <v>31.6</v>
      </c>
      <c r="AC55" s="1">
        <v>16.8</v>
      </c>
      <c r="AD55" s="1">
        <v>0.18</v>
      </c>
      <c r="AE55" s="1">
        <v>1.46</v>
      </c>
      <c r="AF55" s="1">
        <v>16.98</v>
      </c>
      <c r="AG55" s="1"/>
      <c r="AH55" s="1" t="s">
        <v>275</v>
      </c>
      <c r="AI55" s="1">
        <v>22</v>
      </c>
      <c r="AJ55" s="1" t="s">
        <v>274</v>
      </c>
      <c r="AK55" s="1">
        <v>10</v>
      </c>
      <c r="AL55" s="1">
        <v>75.281999999999996</v>
      </c>
      <c r="AM55" s="1" t="s">
        <v>274</v>
      </c>
      <c r="AN55" s="1">
        <v>6.2820347714101699</v>
      </c>
      <c r="AO55" s="1">
        <v>0.94823166360908295</v>
      </c>
      <c r="AP55" s="1"/>
      <c r="AQ55" s="1"/>
      <c r="AR55" s="1"/>
      <c r="AS55" s="1"/>
      <c r="AT55" s="1"/>
    </row>
    <row r="56" spans="1:46">
      <c r="A56" s="1" t="s">
        <v>276</v>
      </c>
      <c r="B56" s="1">
        <v>223</v>
      </c>
      <c r="C56" s="1" t="s">
        <v>276</v>
      </c>
      <c r="D56" s="1" t="s">
        <v>277</v>
      </c>
      <c r="E56" s="1" t="s">
        <v>47</v>
      </c>
      <c r="F56" s="1" t="s">
        <v>272</v>
      </c>
      <c r="G56" s="1" t="s">
        <v>49</v>
      </c>
      <c r="H56" s="2" t="s">
        <v>273</v>
      </c>
      <c r="I56" s="1">
        <v>129</v>
      </c>
      <c r="J56" s="1">
        <v>3</v>
      </c>
      <c r="K56" s="1" t="s">
        <v>52</v>
      </c>
      <c r="L56" s="1" t="s">
        <v>52</v>
      </c>
      <c r="M56" s="1">
        <v>4.46</v>
      </c>
      <c r="N56" s="1">
        <v>48</v>
      </c>
      <c r="O56" s="1">
        <v>64.960139999999996</v>
      </c>
      <c r="P56" s="1">
        <v>-169.8903</v>
      </c>
      <c r="Q56" s="1">
        <v>2.669</v>
      </c>
      <c r="R56" s="1">
        <v>32.770499999999998</v>
      </c>
      <c r="S56" s="1">
        <v>301.36700000000002</v>
      </c>
      <c r="T56" s="1">
        <v>195.12</v>
      </c>
      <c r="U56" s="1">
        <v>31.06</v>
      </c>
      <c r="V56" s="1">
        <v>3819.99999999999</v>
      </c>
      <c r="W56" s="3">
        <v>0.33689999999999998</v>
      </c>
      <c r="X56" s="1" t="s">
        <v>274</v>
      </c>
      <c r="Y56" s="1">
        <v>0.7</v>
      </c>
      <c r="Z56" s="1">
        <v>0.82</v>
      </c>
      <c r="AA56" s="1">
        <v>1.643</v>
      </c>
      <c r="AB56" s="1">
        <v>31.6</v>
      </c>
      <c r="AC56" s="1">
        <v>16.8</v>
      </c>
      <c r="AD56" s="1">
        <v>0.18</v>
      </c>
      <c r="AE56" s="1">
        <v>1.46</v>
      </c>
      <c r="AF56" s="1">
        <v>16.98</v>
      </c>
      <c r="AG56" s="1"/>
      <c r="AH56" s="1" t="s">
        <v>278</v>
      </c>
      <c r="AI56" s="1">
        <v>22</v>
      </c>
      <c r="AJ56" s="1" t="s">
        <v>274</v>
      </c>
      <c r="AK56" s="1">
        <v>10</v>
      </c>
      <c r="AL56" s="1">
        <v>75.281999999999996</v>
      </c>
      <c r="AM56" s="1" t="s">
        <v>274</v>
      </c>
      <c r="AN56" s="1">
        <v>6.2820347714101699</v>
      </c>
      <c r="AO56" s="1">
        <v>0.94823166360908295</v>
      </c>
      <c r="AP56" s="1"/>
      <c r="AQ56" s="1"/>
      <c r="AR56" s="1"/>
      <c r="AS56" s="1"/>
      <c r="AT56" s="1"/>
    </row>
    <row r="57" spans="1:46">
      <c r="A57" s="1" t="s">
        <v>279</v>
      </c>
      <c r="B57" s="1">
        <v>226</v>
      </c>
      <c r="C57" s="1" t="s">
        <v>279</v>
      </c>
      <c r="D57" s="1" t="s">
        <v>280</v>
      </c>
      <c r="E57" s="1" t="s">
        <v>47</v>
      </c>
      <c r="F57" s="1" t="s">
        <v>272</v>
      </c>
      <c r="G57" s="1" t="s">
        <v>49</v>
      </c>
      <c r="H57" s="2" t="s">
        <v>273</v>
      </c>
      <c r="I57" s="1">
        <v>129</v>
      </c>
      <c r="J57" s="1">
        <v>20</v>
      </c>
      <c r="K57" s="1" t="s">
        <v>52</v>
      </c>
      <c r="L57" s="1" t="s">
        <v>52</v>
      </c>
      <c r="M57" s="1">
        <v>4.46</v>
      </c>
      <c r="N57" s="1">
        <v>48</v>
      </c>
      <c r="O57" s="1">
        <v>64.960139999999996</v>
      </c>
      <c r="P57" s="1">
        <v>-169.8903</v>
      </c>
      <c r="Q57" s="1">
        <v>2.669</v>
      </c>
      <c r="R57" s="1">
        <v>32.770499999999998</v>
      </c>
      <c r="S57" s="1">
        <v>301.36700000000002</v>
      </c>
      <c r="T57" s="1">
        <v>195.12</v>
      </c>
      <c r="U57" s="1">
        <v>31.06</v>
      </c>
      <c r="V57" s="1">
        <v>3819.99999999999</v>
      </c>
      <c r="W57" s="3">
        <v>0.33689999999999998</v>
      </c>
      <c r="X57" s="1" t="s">
        <v>274</v>
      </c>
      <c r="Y57" s="1">
        <v>0.7</v>
      </c>
      <c r="Z57" s="1">
        <v>0.82</v>
      </c>
      <c r="AA57" s="1">
        <v>1.643</v>
      </c>
      <c r="AB57" s="1">
        <v>31.6</v>
      </c>
      <c r="AC57" s="1">
        <v>16.8</v>
      </c>
      <c r="AD57" s="1">
        <v>0.18</v>
      </c>
      <c r="AE57" s="1">
        <v>1.46</v>
      </c>
      <c r="AF57" s="1">
        <v>16.98</v>
      </c>
      <c r="AG57" s="1"/>
      <c r="AH57" s="1" t="s">
        <v>281</v>
      </c>
      <c r="AI57" s="1">
        <v>22</v>
      </c>
      <c r="AJ57" s="1" t="s">
        <v>274</v>
      </c>
      <c r="AK57" s="1">
        <v>10</v>
      </c>
      <c r="AL57" s="1">
        <v>75.281999999999996</v>
      </c>
      <c r="AM57" s="1" t="s">
        <v>274</v>
      </c>
      <c r="AN57" s="1">
        <v>6.2820347714101699</v>
      </c>
      <c r="AO57" s="1">
        <v>0.94823166360908295</v>
      </c>
      <c r="AP57" s="1"/>
      <c r="AQ57" s="1"/>
      <c r="AR57" s="1"/>
      <c r="AS57" s="1"/>
      <c r="AT57" s="1"/>
    </row>
    <row r="58" spans="1:46">
      <c r="A58" s="1" t="s">
        <v>282</v>
      </c>
      <c r="B58" s="1">
        <v>221</v>
      </c>
      <c r="C58" s="1" t="s">
        <v>282</v>
      </c>
      <c r="D58" s="1" t="s">
        <v>283</v>
      </c>
      <c r="E58" s="1" t="s">
        <v>47</v>
      </c>
      <c r="F58" s="1" t="s">
        <v>272</v>
      </c>
      <c r="G58" s="1" t="s">
        <v>49</v>
      </c>
      <c r="H58" s="2" t="s">
        <v>273</v>
      </c>
      <c r="I58" s="1">
        <v>129</v>
      </c>
      <c r="J58" s="1">
        <v>0.2</v>
      </c>
      <c r="K58" s="1" t="s">
        <v>65</v>
      </c>
      <c r="L58" s="1" t="s">
        <v>65</v>
      </c>
      <c r="M58" s="1">
        <v>15.09</v>
      </c>
      <c r="N58" s="1">
        <v>48</v>
      </c>
      <c r="O58" s="1">
        <v>64.960160000000002</v>
      </c>
      <c r="P58" s="1">
        <v>-169.89045999999999</v>
      </c>
      <c r="Q58" s="1">
        <v>2.6859999999999999</v>
      </c>
      <c r="R58" s="1">
        <v>32.770000000000003</v>
      </c>
      <c r="S58" s="1">
        <v>301.20100000000002</v>
      </c>
      <c r="T58" s="1"/>
      <c r="U58" s="1"/>
      <c r="V58" s="1"/>
      <c r="W58" s="3">
        <v>0.84470000000000001</v>
      </c>
      <c r="X58" s="1" t="s">
        <v>284</v>
      </c>
      <c r="Y58" s="1">
        <v>0.75</v>
      </c>
      <c r="Z58" s="1">
        <v>1.1100000000000001</v>
      </c>
      <c r="AA58" s="1">
        <v>1.5960000000000001</v>
      </c>
      <c r="AB58" s="1">
        <v>29.5</v>
      </c>
      <c r="AC58" s="1">
        <v>15.5</v>
      </c>
      <c r="AD58" s="1">
        <v>0.17</v>
      </c>
      <c r="AE58" s="1">
        <v>1.49</v>
      </c>
      <c r="AF58" s="1">
        <v>15.67</v>
      </c>
      <c r="AG58" s="1"/>
      <c r="AH58" s="1" t="s">
        <v>285</v>
      </c>
      <c r="AI58" s="1">
        <v>11</v>
      </c>
      <c r="AJ58" s="1" t="s">
        <v>284</v>
      </c>
      <c r="AK58" s="1">
        <v>10</v>
      </c>
      <c r="AL58" s="1">
        <v>75.3172</v>
      </c>
      <c r="AM58" s="1" t="s">
        <v>284</v>
      </c>
      <c r="AN58" s="1"/>
      <c r="AO58" s="1"/>
      <c r="AP58" s="1"/>
      <c r="AQ58" s="1"/>
      <c r="AR58" s="1"/>
      <c r="AS58" s="1"/>
      <c r="AT58" s="1"/>
    </row>
    <row r="59" spans="1:46">
      <c r="A59" s="1" t="s">
        <v>286</v>
      </c>
      <c r="B59" s="1">
        <v>224</v>
      </c>
      <c r="C59" s="1" t="s">
        <v>286</v>
      </c>
      <c r="D59" s="1" t="s">
        <v>287</v>
      </c>
      <c r="E59" s="1" t="s">
        <v>47</v>
      </c>
      <c r="F59" s="1" t="s">
        <v>272</v>
      </c>
      <c r="G59" s="1" t="s">
        <v>49</v>
      </c>
      <c r="H59" s="2" t="s">
        <v>273</v>
      </c>
      <c r="I59" s="1">
        <v>129</v>
      </c>
      <c r="J59" s="1">
        <v>3</v>
      </c>
      <c r="K59" s="1" t="s">
        <v>65</v>
      </c>
      <c r="L59" s="1" t="s">
        <v>65</v>
      </c>
      <c r="M59" s="1">
        <v>15.09</v>
      </c>
      <c r="N59" s="1">
        <v>48</v>
      </c>
      <c r="O59" s="1">
        <v>64.960160000000002</v>
      </c>
      <c r="P59" s="1">
        <v>-169.89045999999999</v>
      </c>
      <c r="Q59" s="1">
        <v>2.6859999999999999</v>
      </c>
      <c r="R59" s="1">
        <v>32.770000000000003</v>
      </c>
      <c r="S59" s="1">
        <v>301.20100000000002</v>
      </c>
      <c r="T59" s="1"/>
      <c r="U59" s="1"/>
      <c r="V59" s="1"/>
      <c r="W59" s="3">
        <v>0.84470000000000001</v>
      </c>
      <c r="X59" s="1" t="s">
        <v>284</v>
      </c>
      <c r="Y59" s="1">
        <v>0.75</v>
      </c>
      <c r="Z59" s="1">
        <v>1.1100000000000001</v>
      </c>
      <c r="AA59" s="1">
        <v>1.5960000000000001</v>
      </c>
      <c r="AB59" s="1">
        <v>29.5</v>
      </c>
      <c r="AC59" s="1">
        <v>15.5</v>
      </c>
      <c r="AD59" s="1">
        <v>0.17</v>
      </c>
      <c r="AE59" s="1">
        <v>1.49</v>
      </c>
      <c r="AF59" s="1">
        <v>15.67</v>
      </c>
      <c r="AG59" s="1"/>
      <c r="AH59" s="1" t="s">
        <v>288</v>
      </c>
      <c r="AI59" s="1">
        <v>11</v>
      </c>
      <c r="AJ59" s="1" t="s">
        <v>284</v>
      </c>
      <c r="AK59" s="1">
        <v>10</v>
      </c>
      <c r="AL59" s="1">
        <v>75.3172</v>
      </c>
      <c r="AM59" s="1" t="s">
        <v>284</v>
      </c>
      <c r="AN59" s="1"/>
      <c r="AO59" s="1"/>
      <c r="AP59" s="1"/>
      <c r="AQ59" s="1"/>
      <c r="AR59" s="1"/>
      <c r="AS59" s="1"/>
      <c r="AT59" s="1"/>
    </row>
    <row r="60" spans="1:46">
      <c r="A60" s="1" t="s">
        <v>289</v>
      </c>
      <c r="B60" s="1">
        <v>227</v>
      </c>
      <c r="C60" s="1" t="s">
        <v>289</v>
      </c>
      <c r="D60" s="1" t="s">
        <v>290</v>
      </c>
      <c r="E60" s="1" t="s">
        <v>47</v>
      </c>
      <c r="F60" s="1" t="s">
        <v>272</v>
      </c>
      <c r="G60" s="1" t="s">
        <v>49</v>
      </c>
      <c r="H60" s="2" t="s">
        <v>273</v>
      </c>
      <c r="I60" s="1">
        <v>129</v>
      </c>
      <c r="J60" s="1">
        <v>20</v>
      </c>
      <c r="K60" s="1" t="s">
        <v>65</v>
      </c>
      <c r="L60" s="1" t="s">
        <v>65</v>
      </c>
      <c r="M60" s="1">
        <v>15.09</v>
      </c>
      <c r="N60" s="1">
        <v>48</v>
      </c>
      <c r="O60" s="1">
        <v>64.960160000000002</v>
      </c>
      <c r="P60" s="1">
        <v>-169.89045999999999</v>
      </c>
      <c r="Q60" s="1">
        <v>2.6859999999999999</v>
      </c>
      <c r="R60" s="1">
        <v>32.770000000000003</v>
      </c>
      <c r="S60" s="1">
        <v>301.20100000000002</v>
      </c>
      <c r="T60" s="1"/>
      <c r="U60" s="1"/>
      <c r="V60" s="1"/>
      <c r="W60" s="3">
        <v>0.84470000000000001</v>
      </c>
      <c r="X60" s="1" t="s">
        <v>284</v>
      </c>
      <c r="Y60" s="1">
        <v>0.75</v>
      </c>
      <c r="Z60" s="1">
        <v>1.1100000000000001</v>
      </c>
      <c r="AA60" s="1">
        <v>1.5960000000000001</v>
      </c>
      <c r="AB60" s="1">
        <v>29.5</v>
      </c>
      <c r="AC60" s="1">
        <v>15.5</v>
      </c>
      <c r="AD60" s="1">
        <v>0.17</v>
      </c>
      <c r="AE60" s="1">
        <v>1.49</v>
      </c>
      <c r="AF60" s="1">
        <v>15.67</v>
      </c>
      <c r="AG60" s="1"/>
      <c r="AH60" s="1" t="s">
        <v>291</v>
      </c>
      <c r="AI60" s="1">
        <v>11</v>
      </c>
      <c r="AJ60" s="1" t="s">
        <v>284</v>
      </c>
      <c r="AK60" s="1">
        <v>10</v>
      </c>
      <c r="AL60" s="1">
        <v>75.3172</v>
      </c>
      <c r="AM60" s="1" t="s">
        <v>284</v>
      </c>
      <c r="AN60" s="1"/>
      <c r="AO60" s="1"/>
      <c r="AP60" s="1"/>
      <c r="AQ60" s="1"/>
      <c r="AR60" s="1"/>
      <c r="AS60" s="1"/>
      <c r="AT60" s="1"/>
    </row>
    <row r="61" spans="1:46">
      <c r="A61" s="1" t="s">
        <v>292</v>
      </c>
      <c r="B61" s="1">
        <v>222</v>
      </c>
      <c r="C61" s="1" t="s">
        <v>292</v>
      </c>
      <c r="D61" s="1" t="s">
        <v>293</v>
      </c>
      <c r="E61" s="1" t="s">
        <v>47</v>
      </c>
      <c r="F61" s="1" t="s">
        <v>272</v>
      </c>
      <c r="G61" s="1" t="s">
        <v>49</v>
      </c>
      <c r="H61" s="2" t="s">
        <v>273</v>
      </c>
      <c r="I61" s="1">
        <v>129</v>
      </c>
      <c r="J61" s="1">
        <v>0.2</v>
      </c>
      <c r="K61" s="1" t="s">
        <v>150</v>
      </c>
      <c r="L61" s="1" t="s">
        <v>78</v>
      </c>
      <c r="M61" s="1">
        <v>43.61</v>
      </c>
      <c r="N61" s="1">
        <v>48</v>
      </c>
      <c r="O61" s="1">
        <v>64.9602</v>
      </c>
      <c r="P61" s="1">
        <v>-169.89060000000001</v>
      </c>
      <c r="Q61" s="1">
        <v>2.6259999999999999</v>
      </c>
      <c r="R61" s="1">
        <v>32.776000000000003</v>
      </c>
      <c r="S61" s="1">
        <v>299.75299999999999</v>
      </c>
      <c r="T61" s="1">
        <v>197.04</v>
      </c>
      <c r="U61" s="1">
        <v>30.6</v>
      </c>
      <c r="V61" s="1">
        <v>4200</v>
      </c>
      <c r="W61" s="3">
        <v>1.1448</v>
      </c>
      <c r="X61" s="1" t="s">
        <v>294</v>
      </c>
      <c r="Y61" s="1">
        <v>1.02</v>
      </c>
      <c r="Z61" s="1">
        <v>0.83</v>
      </c>
      <c r="AA61" s="1">
        <v>1.639</v>
      </c>
      <c r="AB61" s="1">
        <v>30.3</v>
      </c>
      <c r="AC61" s="1">
        <v>15.8</v>
      </c>
      <c r="AD61" s="1">
        <v>0.17</v>
      </c>
      <c r="AE61" s="1">
        <v>1.48</v>
      </c>
      <c r="AF61" s="1">
        <v>15.97</v>
      </c>
      <c r="AG61" s="1"/>
      <c r="AH61" s="1" t="s">
        <v>295</v>
      </c>
      <c r="AI61" s="1">
        <v>1</v>
      </c>
      <c r="AJ61" s="1" t="s">
        <v>294</v>
      </c>
      <c r="AK61" s="1">
        <v>10</v>
      </c>
      <c r="AL61" s="1">
        <v>73.090599999999995</v>
      </c>
      <c r="AM61" s="1" t="s">
        <v>294</v>
      </c>
      <c r="AN61" s="1">
        <v>6.43921568627451</v>
      </c>
      <c r="AO61" s="1">
        <v>0.97195708472068099</v>
      </c>
      <c r="AP61" s="1"/>
      <c r="AQ61" s="1"/>
      <c r="AR61" s="1"/>
      <c r="AS61" s="1"/>
      <c r="AT61" s="1"/>
    </row>
    <row r="62" spans="1:46">
      <c r="A62" s="1" t="s">
        <v>296</v>
      </c>
      <c r="B62" s="1">
        <v>225</v>
      </c>
      <c r="C62" s="1" t="s">
        <v>296</v>
      </c>
      <c r="D62" s="1" t="s">
        <v>297</v>
      </c>
      <c r="E62" s="1" t="s">
        <v>47</v>
      </c>
      <c r="F62" s="1" t="s">
        <v>272</v>
      </c>
      <c r="G62" s="1" t="s">
        <v>49</v>
      </c>
      <c r="H62" s="2" t="s">
        <v>273</v>
      </c>
      <c r="I62" s="1">
        <v>129</v>
      </c>
      <c r="J62" s="1">
        <v>3</v>
      </c>
      <c r="K62" s="1" t="s">
        <v>150</v>
      </c>
      <c r="L62" s="1" t="s">
        <v>78</v>
      </c>
      <c r="M62" s="1">
        <v>43.61</v>
      </c>
      <c r="N62" s="1">
        <v>48</v>
      </c>
      <c r="O62" s="1">
        <v>64.9602</v>
      </c>
      <c r="P62" s="1">
        <v>-169.89060000000001</v>
      </c>
      <c r="Q62" s="1">
        <v>2.6259999999999999</v>
      </c>
      <c r="R62" s="1">
        <v>32.776000000000003</v>
      </c>
      <c r="S62" s="1">
        <v>299.75299999999999</v>
      </c>
      <c r="T62" s="1">
        <v>197.04</v>
      </c>
      <c r="U62" s="1">
        <v>30.6</v>
      </c>
      <c r="V62" s="1">
        <v>4200</v>
      </c>
      <c r="W62" s="3">
        <v>1.1448</v>
      </c>
      <c r="X62" s="1" t="s">
        <v>294</v>
      </c>
      <c r="Y62" s="1">
        <v>1.02</v>
      </c>
      <c r="Z62" s="1">
        <v>0.83</v>
      </c>
      <c r="AA62" s="1">
        <v>1.639</v>
      </c>
      <c r="AB62" s="1">
        <v>30.3</v>
      </c>
      <c r="AC62" s="1">
        <v>15.8</v>
      </c>
      <c r="AD62" s="1">
        <v>0.17</v>
      </c>
      <c r="AE62" s="1">
        <v>1.48</v>
      </c>
      <c r="AF62" s="1">
        <v>15.97</v>
      </c>
      <c r="AG62" s="1"/>
      <c r="AH62" s="1" t="s">
        <v>298</v>
      </c>
      <c r="AI62" s="1">
        <v>1</v>
      </c>
      <c r="AJ62" s="1" t="s">
        <v>294</v>
      </c>
      <c r="AK62" s="1">
        <v>10</v>
      </c>
      <c r="AL62" s="1">
        <v>73.090599999999995</v>
      </c>
      <c r="AM62" s="1" t="s">
        <v>294</v>
      </c>
      <c r="AN62" s="1">
        <v>6.43921568627451</v>
      </c>
      <c r="AO62" s="1">
        <v>0.97195708472068099</v>
      </c>
      <c r="AP62" s="1"/>
      <c r="AQ62" s="1"/>
      <c r="AR62" s="1"/>
      <c r="AS62" s="1"/>
      <c r="AT62" s="1"/>
    </row>
    <row r="63" spans="1:46">
      <c r="A63" s="1" t="s">
        <v>299</v>
      </c>
      <c r="B63" s="1">
        <v>228</v>
      </c>
      <c r="C63" s="1" t="s">
        <v>299</v>
      </c>
      <c r="D63" s="1" t="s">
        <v>300</v>
      </c>
      <c r="E63" s="1" t="s">
        <v>47</v>
      </c>
      <c r="F63" s="1" t="s">
        <v>272</v>
      </c>
      <c r="G63" s="1" t="s">
        <v>49</v>
      </c>
      <c r="H63" s="2" t="s">
        <v>273</v>
      </c>
      <c r="I63" s="1">
        <v>129</v>
      </c>
      <c r="J63" s="1">
        <v>20</v>
      </c>
      <c r="K63" s="1" t="s">
        <v>150</v>
      </c>
      <c r="L63" s="1" t="s">
        <v>78</v>
      </c>
      <c r="M63" s="1">
        <v>43.61</v>
      </c>
      <c r="N63" s="1">
        <v>48</v>
      </c>
      <c r="O63" s="1">
        <v>64.9602</v>
      </c>
      <c r="P63" s="1">
        <v>-169.89060000000001</v>
      </c>
      <c r="Q63" s="1">
        <v>2.6259999999999999</v>
      </c>
      <c r="R63" s="1">
        <v>32.776000000000003</v>
      </c>
      <c r="S63" s="1">
        <v>299.75299999999999</v>
      </c>
      <c r="T63" s="1">
        <v>197.04</v>
      </c>
      <c r="U63" s="1">
        <v>30.6</v>
      </c>
      <c r="V63" s="1">
        <v>4200</v>
      </c>
      <c r="W63" s="3">
        <v>1.1448</v>
      </c>
      <c r="X63" s="1" t="s">
        <v>294</v>
      </c>
      <c r="Y63" s="1">
        <v>1.02</v>
      </c>
      <c r="Z63" s="1">
        <v>0.83</v>
      </c>
      <c r="AA63" s="1">
        <v>1.639</v>
      </c>
      <c r="AB63" s="1">
        <v>30.3</v>
      </c>
      <c r="AC63" s="1">
        <v>15.8</v>
      </c>
      <c r="AD63" s="1">
        <v>0.17</v>
      </c>
      <c r="AE63" s="1">
        <v>1.48</v>
      </c>
      <c r="AF63" s="1">
        <v>15.97</v>
      </c>
      <c r="AG63" s="1"/>
      <c r="AH63" s="1" t="s">
        <v>301</v>
      </c>
      <c r="AI63" s="1">
        <v>1</v>
      </c>
      <c r="AJ63" s="1" t="s">
        <v>294</v>
      </c>
      <c r="AK63" s="1">
        <v>10</v>
      </c>
      <c r="AL63" s="1">
        <v>73.090599999999995</v>
      </c>
      <c r="AM63" s="1" t="s">
        <v>294</v>
      </c>
      <c r="AN63" s="1">
        <v>6.43921568627451</v>
      </c>
      <c r="AO63" s="1">
        <v>0.97195708472068099</v>
      </c>
      <c r="AP63" s="1"/>
      <c r="AQ63" s="1"/>
      <c r="AR63" s="1"/>
      <c r="AS63" s="1"/>
      <c r="AT63" s="1"/>
    </row>
    <row r="64" spans="1:46">
      <c r="A64" s="1" t="s">
        <v>302</v>
      </c>
      <c r="B64" s="1">
        <v>77</v>
      </c>
      <c r="C64" s="1" t="s">
        <v>302</v>
      </c>
      <c r="D64" s="1" t="s">
        <v>303</v>
      </c>
      <c r="E64" s="1" t="s">
        <v>47</v>
      </c>
      <c r="F64" s="1" t="s">
        <v>304</v>
      </c>
      <c r="G64" s="1" t="s">
        <v>49</v>
      </c>
      <c r="H64" s="2" t="s">
        <v>305</v>
      </c>
      <c r="I64" s="1">
        <v>43</v>
      </c>
      <c r="J64" s="1">
        <v>0.2</v>
      </c>
      <c r="K64" s="1" t="s">
        <v>52</v>
      </c>
      <c r="L64" s="1" t="s">
        <v>52</v>
      </c>
      <c r="M64" s="1">
        <v>2.64</v>
      </c>
      <c r="N64" s="1">
        <v>48</v>
      </c>
      <c r="O64" s="1">
        <v>68.184799999999996</v>
      </c>
      <c r="P64" s="1">
        <v>-167.30969999999999</v>
      </c>
      <c r="Q64" s="1">
        <v>5.87</v>
      </c>
      <c r="R64" s="1">
        <v>32.363</v>
      </c>
      <c r="S64" s="1">
        <v>328.01600000000002</v>
      </c>
      <c r="T64" s="1">
        <v>148.08000000000001</v>
      </c>
      <c r="U64" s="1">
        <v>25.74</v>
      </c>
      <c r="V64" s="1">
        <v>2000</v>
      </c>
      <c r="W64" s="3">
        <v>9.9500000000000005E-2</v>
      </c>
      <c r="X64" s="1" t="s">
        <v>306</v>
      </c>
      <c r="Y64" s="1">
        <v>0.24</v>
      </c>
      <c r="Z64" s="1">
        <v>0.09</v>
      </c>
      <c r="AA64" s="1">
        <v>0.49199999999999999</v>
      </c>
      <c r="AB64" s="1">
        <v>1.1000000000000001</v>
      </c>
      <c r="AC64" s="1">
        <v>0.1</v>
      </c>
      <c r="AD64" s="1">
        <v>0</v>
      </c>
      <c r="AE64" s="1">
        <v>0.15</v>
      </c>
      <c r="AF64" s="1">
        <v>0.1</v>
      </c>
      <c r="AG64" s="1"/>
      <c r="AH64" s="1" t="s">
        <v>307</v>
      </c>
      <c r="AI64" s="1">
        <v>23</v>
      </c>
      <c r="AJ64" s="1" t="s">
        <v>308</v>
      </c>
      <c r="AK64" s="1">
        <v>8</v>
      </c>
      <c r="AL64" s="1">
        <v>91.422899999999998</v>
      </c>
      <c r="AM64" s="1" t="s">
        <v>306</v>
      </c>
      <c r="AN64" s="1">
        <v>5.7529137529137504</v>
      </c>
      <c r="AO64" s="1">
        <v>0.868364340062453</v>
      </c>
      <c r="AP64" s="1"/>
      <c r="AQ64" s="1"/>
      <c r="AR64" s="1"/>
      <c r="AS64" s="1"/>
      <c r="AT64" s="1"/>
    </row>
    <row r="65" spans="1:46">
      <c r="A65" s="1" t="s">
        <v>309</v>
      </c>
      <c r="B65" s="1">
        <v>80</v>
      </c>
      <c r="C65" s="1" t="s">
        <v>309</v>
      </c>
      <c r="D65" s="1" t="s">
        <v>310</v>
      </c>
      <c r="E65" s="1" t="s">
        <v>47</v>
      </c>
      <c r="F65" s="1" t="s">
        <v>304</v>
      </c>
      <c r="G65" s="1" t="s">
        <v>49</v>
      </c>
      <c r="H65" s="2" t="s">
        <v>305</v>
      </c>
      <c r="I65" s="1">
        <v>43</v>
      </c>
      <c r="J65" s="1">
        <v>3</v>
      </c>
      <c r="K65" s="1" t="s">
        <v>52</v>
      </c>
      <c r="L65" s="1" t="s">
        <v>52</v>
      </c>
      <c r="M65" s="1">
        <v>2.64</v>
      </c>
      <c r="N65" s="1">
        <v>48</v>
      </c>
      <c r="O65" s="1">
        <v>68.184799999999996</v>
      </c>
      <c r="P65" s="1">
        <v>-167.30969999999999</v>
      </c>
      <c r="Q65" s="1">
        <v>5.87</v>
      </c>
      <c r="R65" s="1">
        <v>32.363</v>
      </c>
      <c r="S65" s="1">
        <v>328.01600000000002</v>
      </c>
      <c r="T65" s="1">
        <v>148.08000000000001</v>
      </c>
      <c r="U65" s="1">
        <v>25.74</v>
      </c>
      <c r="V65" s="1">
        <v>2000</v>
      </c>
      <c r="W65" s="3">
        <v>9.9500000000000005E-2</v>
      </c>
      <c r="X65" s="1" t="s">
        <v>306</v>
      </c>
      <c r="Y65" s="1">
        <v>0.24</v>
      </c>
      <c r="Z65" s="1">
        <v>0.09</v>
      </c>
      <c r="AA65" s="1">
        <v>0.49199999999999999</v>
      </c>
      <c r="AB65" s="1">
        <v>1.1000000000000001</v>
      </c>
      <c r="AC65" s="1">
        <v>0.1</v>
      </c>
      <c r="AD65" s="1">
        <v>0</v>
      </c>
      <c r="AE65" s="1">
        <v>0.15</v>
      </c>
      <c r="AF65" s="1">
        <v>0.1</v>
      </c>
      <c r="AG65" s="1"/>
      <c r="AH65" s="1" t="s">
        <v>311</v>
      </c>
      <c r="AI65" s="1">
        <v>23</v>
      </c>
      <c r="AJ65" s="1" t="s">
        <v>308</v>
      </c>
      <c r="AK65" s="1">
        <v>8</v>
      </c>
      <c r="AL65" s="1">
        <v>91.422899999999998</v>
      </c>
      <c r="AM65" s="1" t="s">
        <v>306</v>
      </c>
      <c r="AN65" s="1">
        <v>5.7529137529137504</v>
      </c>
      <c r="AO65" s="1">
        <v>0.868364340062453</v>
      </c>
      <c r="AP65" s="1"/>
      <c r="AQ65" s="1"/>
      <c r="AR65" s="1"/>
      <c r="AS65" s="1"/>
      <c r="AT65" s="1"/>
    </row>
    <row r="66" spans="1:46">
      <c r="A66" s="1" t="s">
        <v>312</v>
      </c>
      <c r="B66" s="1">
        <v>83</v>
      </c>
      <c r="C66" s="1" t="s">
        <v>312</v>
      </c>
      <c r="D66" s="1" t="s">
        <v>313</v>
      </c>
      <c r="E66" s="1" t="s">
        <v>47</v>
      </c>
      <c r="F66" s="1" t="s">
        <v>304</v>
      </c>
      <c r="G66" s="1" t="s">
        <v>49</v>
      </c>
      <c r="H66" s="2" t="s">
        <v>305</v>
      </c>
      <c r="I66" s="1">
        <v>43</v>
      </c>
      <c r="J66" s="1">
        <v>20</v>
      </c>
      <c r="K66" s="1" t="s">
        <v>52</v>
      </c>
      <c r="L66" s="1" t="s">
        <v>52</v>
      </c>
      <c r="M66" s="1">
        <v>2.64</v>
      </c>
      <c r="N66" s="1">
        <v>48</v>
      </c>
      <c r="O66" s="1">
        <v>68.184799999999996</v>
      </c>
      <c r="P66" s="1">
        <v>-167.30969999999999</v>
      </c>
      <c r="Q66" s="1">
        <v>5.87</v>
      </c>
      <c r="R66" s="1">
        <v>32.363</v>
      </c>
      <c r="S66" s="1">
        <v>328.01600000000002</v>
      </c>
      <c r="T66" s="1">
        <v>148.08000000000001</v>
      </c>
      <c r="U66" s="1">
        <v>25.74</v>
      </c>
      <c r="V66" s="1">
        <v>2000</v>
      </c>
      <c r="W66" s="3">
        <v>9.9500000000000005E-2</v>
      </c>
      <c r="X66" s="1" t="s">
        <v>306</v>
      </c>
      <c r="Y66" s="1">
        <v>0.24</v>
      </c>
      <c r="Z66" s="1">
        <v>0.09</v>
      </c>
      <c r="AA66" s="1">
        <v>0.49199999999999999</v>
      </c>
      <c r="AB66" s="1">
        <v>1.1000000000000001</v>
      </c>
      <c r="AC66" s="1">
        <v>0.1</v>
      </c>
      <c r="AD66" s="1">
        <v>0</v>
      </c>
      <c r="AE66" s="1">
        <v>0.15</v>
      </c>
      <c r="AF66" s="1">
        <v>0.1</v>
      </c>
      <c r="AG66" s="1"/>
      <c r="AH66" s="1" t="s">
        <v>314</v>
      </c>
      <c r="AI66" s="1">
        <v>23</v>
      </c>
      <c r="AJ66" s="1" t="s">
        <v>308</v>
      </c>
      <c r="AK66" s="1">
        <v>8</v>
      </c>
      <c r="AL66" s="1">
        <v>91.422899999999998</v>
      </c>
      <c r="AM66" s="1" t="s">
        <v>306</v>
      </c>
      <c r="AN66" s="1">
        <v>5.7529137529137504</v>
      </c>
      <c r="AO66" s="1">
        <v>0.868364340062453</v>
      </c>
      <c r="AP66" s="1"/>
      <c r="AQ66" s="1"/>
      <c r="AR66" s="1"/>
      <c r="AS66" s="1"/>
      <c r="AT66" s="1"/>
    </row>
    <row r="67" spans="1:46">
      <c r="A67" s="1" t="s">
        <v>315</v>
      </c>
      <c r="B67" s="1">
        <v>78</v>
      </c>
      <c r="C67" s="1" t="s">
        <v>315</v>
      </c>
      <c r="D67" s="1" t="s">
        <v>316</v>
      </c>
      <c r="E67" s="1" t="s">
        <v>47</v>
      </c>
      <c r="F67" s="1" t="s">
        <v>304</v>
      </c>
      <c r="G67" s="1" t="s">
        <v>49</v>
      </c>
      <c r="H67" s="2" t="s">
        <v>305</v>
      </c>
      <c r="I67" s="1">
        <v>43</v>
      </c>
      <c r="J67" s="1">
        <v>0.2</v>
      </c>
      <c r="K67" s="1" t="s">
        <v>210</v>
      </c>
      <c r="L67" s="1" t="s">
        <v>65</v>
      </c>
      <c r="M67" s="1">
        <v>16.100000000000001</v>
      </c>
      <c r="N67" s="1">
        <v>48</v>
      </c>
      <c r="O67" s="1">
        <v>68.184799999999996</v>
      </c>
      <c r="P67" s="1">
        <v>-167.30969999999999</v>
      </c>
      <c r="Q67" s="1">
        <v>2.2475000000000001</v>
      </c>
      <c r="R67" s="1">
        <v>32.289000000000001</v>
      </c>
      <c r="S67" s="1">
        <v>375.77199999999999</v>
      </c>
      <c r="T67" s="1"/>
      <c r="U67" s="1"/>
      <c r="V67" s="1"/>
      <c r="W67" s="3">
        <v>0.85540000000000005</v>
      </c>
      <c r="X67" s="1" t="s">
        <v>317</v>
      </c>
      <c r="Y67" s="1">
        <v>0.9</v>
      </c>
      <c r="Z67" s="1">
        <v>0.34</v>
      </c>
      <c r="AA67" s="1">
        <v>0.71499999999999997</v>
      </c>
      <c r="AB67" s="1">
        <v>1.5</v>
      </c>
      <c r="AC67" s="1">
        <v>0.1</v>
      </c>
      <c r="AD67" s="1">
        <v>0.02</v>
      </c>
      <c r="AE67" s="1">
        <v>1.23</v>
      </c>
      <c r="AF67" s="1">
        <v>0.12</v>
      </c>
      <c r="AG67" s="1"/>
      <c r="AH67" s="1" t="s">
        <v>318</v>
      </c>
      <c r="AI67" s="1">
        <v>14</v>
      </c>
      <c r="AJ67" s="1" t="s">
        <v>319</v>
      </c>
      <c r="AK67" s="1">
        <v>9</v>
      </c>
      <c r="AL67" s="1">
        <v>88.2226</v>
      </c>
      <c r="AM67" s="1" t="s">
        <v>317</v>
      </c>
      <c r="AN67" s="1"/>
      <c r="AO67" s="1"/>
      <c r="AP67" s="1"/>
      <c r="AQ67" s="1"/>
      <c r="AR67" s="1"/>
      <c r="AS67" s="1" t="s">
        <v>320</v>
      </c>
      <c r="AT67" s="1"/>
    </row>
    <row r="68" spans="1:46">
      <c r="A68" s="1" t="s">
        <v>321</v>
      </c>
      <c r="B68" s="1">
        <v>81</v>
      </c>
      <c r="C68" s="1" t="s">
        <v>321</v>
      </c>
      <c r="D68" s="1" t="s">
        <v>322</v>
      </c>
      <c r="E68" s="1" t="s">
        <v>47</v>
      </c>
      <c r="F68" s="1" t="s">
        <v>304</v>
      </c>
      <c r="G68" s="1" t="s">
        <v>49</v>
      </c>
      <c r="H68" s="2" t="s">
        <v>305</v>
      </c>
      <c r="I68" s="1">
        <v>43</v>
      </c>
      <c r="J68" s="1">
        <v>3</v>
      </c>
      <c r="K68" s="1" t="s">
        <v>210</v>
      </c>
      <c r="L68" s="1" t="s">
        <v>65</v>
      </c>
      <c r="M68" s="1">
        <v>16.100000000000001</v>
      </c>
      <c r="N68" s="1">
        <v>48</v>
      </c>
      <c r="O68" s="1">
        <v>68.184799999999996</v>
      </c>
      <c r="P68" s="1">
        <v>-167.30969999999999</v>
      </c>
      <c r="Q68" s="1">
        <v>2.2475000000000001</v>
      </c>
      <c r="R68" s="1">
        <v>32.289000000000001</v>
      </c>
      <c r="S68" s="1">
        <v>375.77199999999999</v>
      </c>
      <c r="T68" s="1"/>
      <c r="U68" s="1"/>
      <c r="V68" s="1"/>
      <c r="W68" s="3">
        <v>0.85540000000000005</v>
      </c>
      <c r="X68" s="1" t="s">
        <v>317</v>
      </c>
      <c r="Y68" s="1">
        <v>0.9</v>
      </c>
      <c r="Z68" s="1">
        <v>0.34</v>
      </c>
      <c r="AA68" s="1">
        <v>0.71499999999999997</v>
      </c>
      <c r="AB68" s="1">
        <v>1.5</v>
      </c>
      <c r="AC68" s="1">
        <v>0.1</v>
      </c>
      <c r="AD68" s="1">
        <v>0.02</v>
      </c>
      <c r="AE68" s="1">
        <v>1.23</v>
      </c>
      <c r="AF68" s="1">
        <v>0.12</v>
      </c>
      <c r="AG68" s="1"/>
      <c r="AH68" s="1" t="s">
        <v>323</v>
      </c>
      <c r="AI68" s="1">
        <v>14</v>
      </c>
      <c r="AJ68" s="1" t="s">
        <v>319</v>
      </c>
      <c r="AK68" s="1">
        <v>9</v>
      </c>
      <c r="AL68" s="1">
        <v>88.2226</v>
      </c>
      <c r="AM68" s="1" t="s">
        <v>317</v>
      </c>
      <c r="AN68" s="1"/>
      <c r="AO68" s="1"/>
      <c r="AP68" s="1"/>
      <c r="AQ68" s="1"/>
      <c r="AR68" s="1"/>
      <c r="AS68" s="1" t="s">
        <v>320</v>
      </c>
      <c r="AT68" s="1"/>
    </row>
    <row r="69" spans="1:46">
      <c r="A69" s="1" t="s">
        <v>324</v>
      </c>
      <c r="B69" s="1">
        <v>84</v>
      </c>
      <c r="C69" s="1" t="s">
        <v>324</v>
      </c>
      <c r="D69" s="1" t="s">
        <v>325</v>
      </c>
      <c r="E69" s="1" t="s">
        <v>47</v>
      </c>
      <c r="F69" s="1" t="s">
        <v>304</v>
      </c>
      <c r="G69" s="1" t="s">
        <v>49</v>
      </c>
      <c r="H69" s="2" t="s">
        <v>305</v>
      </c>
      <c r="I69" s="1">
        <v>43</v>
      </c>
      <c r="J69" s="1">
        <v>20</v>
      </c>
      <c r="K69" s="1" t="s">
        <v>210</v>
      </c>
      <c r="L69" s="1" t="s">
        <v>65</v>
      </c>
      <c r="M69" s="1">
        <v>16.100000000000001</v>
      </c>
      <c r="N69" s="1">
        <v>48</v>
      </c>
      <c r="O69" s="1">
        <v>68.184799999999996</v>
      </c>
      <c r="P69" s="1">
        <v>-167.30969999999999</v>
      </c>
      <c r="Q69" s="1">
        <v>2.2475000000000001</v>
      </c>
      <c r="R69" s="1">
        <v>32.289000000000001</v>
      </c>
      <c r="S69" s="1">
        <v>375.77199999999999</v>
      </c>
      <c r="T69" s="1"/>
      <c r="U69" s="1"/>
      <c r="V69" s="1"/>
      <c r="W69" s="3">
        <v>0.85540000000000005</v>
      </c>
      <c r="X69" s="1" t="s">
        <v>317</v>
      </c>
      <c r="Y69" s="1">
        <v>0.9</v>
      </c>
      <c r="Z69" s="1">
        <v>0.34</v>
      </c>
      <c r="AA69" s="1">
        <v>0.71499999999999997</v>
      </c>
      <c r="AB69" s="1">
        <v>1.5</v>
      </c>
      <c r="AC69" s="1">
        <v>0.1</v>
      </c>
      <c r="AD69" s="1">
        <v>0.02</v>
      </c>
      <c r="AE69" s="1">
        <v>1.23</v>
      </c>
      <c r="AF69" s="1">
        <v>0.12</v>
      </c>
      <c r="AG69" s="1"/>
      <c r="AH69" s="1" t="s">
        <v>326</v>
      </c>
      <c r="AI69" s="1">
        <v>14</v>
      </c>
      <c r="AJ69" s="1" t="s">
        <v>319</v>
      </c>
      <c r="AK69" s="1">
        <v>9</v>
      </c>
      <c r="AL69" s="1">
        <v>88.2226</v>
      </c>
      <c r="AM69" s="1" t="s">
        <v>317</v>
      </c>
      <c r="AN69" s="1"/>
      <c r="AO69" s="1"/>
      <c r="AP69" s="1"/>
      <c r="AQ69" s="1"/>
      <c r="AR69" s="1"/>
      <c r="AS69" s="1" t="s">
        <v>320</v>
      </c>
      <c r="AT69" s="1"/>
    </row>
    <row r="70" spans="1:46">
      <c r="A70" s="1" t="s">
        <v>327</v>
      </c>
      <c r="B70" s="1">
        <v>79</v>
      </c>
      <c r="C70" s="1" t="s">
        <v>327</v>
      </c>
      <c r="D70" s="1" t="s">
        <v>328</v>
      </c>
      <c r="E70" s="1" t="s">
        <v>47</v>
      </c>
      <c r="F70" s="1" t="s">
        <v>304</v>
      </c>
      <c r="G70" s="1" t="s">
        <v>49</v>
      </c>
      <c r="H70" s="2" t="s">
        <v>305</v>
      </c>
      <c r="I70" s="1">
        <v>43</v>
      </c>
      <c r="J70" s="1">
        <v>0.2</v>
      </c>
      <c r="K70" s="1" t="s">
        <v>150</v>
      </c>
      <c r="L70" s="1" t="s">
        <v>78</v>
      </c>
      <c r="M70" s="1">
        <v>45.2</v>
      </c>
      <c r="N70" s="1">
        <v>48</v>
      </c>
      <c r="O70" s="1">
        <v>68.184799999999996</v>
      </c>
      <c r="P70" s="1">
        <v>-167.30969999999999</v>
      </c>
      <c r="Q70" s="1">
        <v>1.4875</v>
      </c>
      <c r="R70" s="1">
        <v>32.278500000000001</v>
      </c>
      <c r="S70" s="1">
        <v>382.90100000000001</v>
      </c>
      <c r="T70" s="1">
        <v>184.16</v>
      </c>
      <c r="U70" s="1">
        <v>28.6</v>
      </c>
      <c r="V70" s="1">
        <v>2360</v>
      </c>
      <c r="W70" s="3">
        <v>1.4821</v>
      </c>
      <c r="X70" s="1" t="s">
        <v>329</v>
      </c>
      <c r="Y70" s="1">
        <v>0.96</v>
      </c>
      <c r="Z70" s="1">
        <v>0.5</v>
      </c>
      <c r="AA70" s="1">
        <v>0.72799999999999998</v>
      </c>
      <c r="AB70" s="1">
        <v>2.2000000000000002</v>
      </c>
      <c r="AC70" s="1">
        <v>0.1</v>
      </c>
      <c r="AD70" s="1">
        <v>0.02</v>
      </c>
      <c r="AE70" s="1">
        <v>1.31</v>
      </c>
      <c r="AF70" s="1">
        <v>0.12</v>
      </c>
      <c r="AG70" s="1"/>
      <c r="AH70" s="1" t="s">
        <v>330</v>
      </c>
      <c r="AI70" s="1">
        <v>2</v>
      </c>
      <c r="AJ70" s="1" t="s">
        <v>331</v>
      </c>
      <c r="AK70" s="1">
        <v>9</v>
      </c>
      <c r="AL70" s="1">
        <v>83.949799999999996</v>
      </c>
      <c r="AM70" s="1" t="s">
        <v>329</v>
      </c>
      <c r="AN70" s="1">
        <v>6.4391608391608397</v>
      </c>
      <c r="AO70" s="1">
        <v>0.97194880591107002</v>
      </c>
      <c r="AP70" s="1"/>
      <c r="AQ70" s="1"/>
      <c r="AR70" s="1"/>
      <c r="AS70" s="1"/>
      <c r="AT70" s="1"/>
    </row>
    <row r="71" spans="1:46">
      <c r="A71" s="1" t="s">
        <v>332</v>
      </c>
      <c r="B71" s="1">
        <v>82</v>
      </c>
      <c r="C71" s="1" t="s">
        <v>332</v>
      </c>
      <c r="D71" s="1" t="s">
        <v>333</v>
      </c>
      <c r="E71" s="1" t="s">
        <v>47</v>
      </c>
      <c r="F71" s="1" t="s">
        <v>304</v>
      </c>
      <c r="G71" s="1" t="s">
        <v>49</v>
      </c>
      <c r="H71" s="2" t="s">
        <v>305</v>
      </c>
      <c r="I71" s="1">
        <v>43</v>
      </c>
      <c r="J71" s="1">
        <v>3</v>
      </c>
      <c r="K71" s="1" t="s">
        <v>150</v>
      </c>
      <c r="L71" s="1" t="s">
        <v>78</v>
      </c>
      <c r="M71" s="1">
        <v>45.2</v>
      </c>
      <c r="N71" s="1">
        <v>48</v>
      </c>
      <c r="O71" s="1">
        <v>68.184799999999996</v>
      </c>
      <c r="P71" s="1">
        <v>-167.30969999999999</v>
      </c>
      <c r="Q71" s="1">
        <v>1.4875</v>
      </c>
      <c r="R71" s="1">
        <v>32.278500000000001</v>
      </c>
      <c r="S71" s="1">
        <v>382.90100000000001</v>
      </c>
      <c r="T71" s="1">
        <v>184.16</v>
      </c>
      <c r="U71" s="1">
        <v>28.6</v>
      </c>
      <c r="V71" s="1">
        <v>2360</v>
      </c>
      <c r="W71" s="3">
        <v>1.4821</v>
      </c>
      <c r="X71" s="1" t="s">
        <v>329</v>
      </c>
      <c r="Y71" s="1">
        <v>0.96</v>
      </c>
      <c r="Z71" s="1">
        <v>0.5</v>
      </c>
      <c r="AA71" s="1">
        <v>0.72799999999999998</v>
      </c>
      <c r="AB71" s="1">
        <v>2.2000000000000002</v>
      </c>
      <c r="AC71" s="1">
        <v>0.1</v>
      </c>
      <c r="AD71" s="1">
        <v>0.02</v>
      </c>
      <c r="AE71" s="1">
        <v>1.31</v>
      </c>
      <c r="AF71" s="1">
        <v>0.12</v>
      </c>
      <c r="AG71" s="1"/>
      <c r="AH71" s="1" t="s">
        <v>334</v>
      </c>
      <c r="AI71" s="1">
        <v>2</v>
      </c>
      <c r="AJ71" s="1" t="s">
        <v>331</v>
      </c>
      <c r="AK71" s="1">
        <v>9</v>
      </c>
      <c r="AL71" s="1">
        <v>83.949799999999996</v>
      </c>
      <c r="AM71" s="1" t="s">
        <v>329</v>
      </c>
      <c r="AN71" s="1">
        <v>6.4391608391608397</v>
      </c>
      <c r="AO71" s="1">
        <v>0.97194880591107002</v>
      </c>
      <c r="AP71" s="1"/>
      <c r="AQ71" s="1"/>
      <c r="AR71" s="1"/>
      <c r="AS71" s="1" t="s">
        <v>335</v>
      </c>
      <c r="AT71" s="1"/>
    </row>
    <row r="72" spans="1:46">
      <c r="A72" s="1" t="s">
        <v>336</v>
      </c>
      <c r="B72" s="1">
        <v>85</v>
      </c>
      <c r="C72" s="1" t="s">
        <v>336</v>
      </c>
      <c r="D72" s="1" t="s">
        <v>337</v>
      </c>
      <c r="E72" s="1" t="s">
        <v>47</v>
      </c>
      <c r="F72" s="1" t="s">
        <v>304</v>
      </c>
      <c r="G72" s="1" t="s">
        <v>49</v>
      </c>
      <c r="H72" s="2" t="s">
        <v>305</v>
      </c>
      <c r="I72" s="1">
        <v>43</v>
      </c>
      <c r="J72" s="1">
        <v>20</v>
      </c>
      <c r="K72" s="1" t="s">
        <v>150</v>
      </c>
      <c r="L72" s="1" t="s">
        <v>78</v>
      </c>
      <c r="M72" s="1">
        <v>45.2</v>
      </c>
      <c r="N72" s="1">
        <v>48</v>
      </c>
      <c r="O72" s="1">
        <v>68.184799999999996</v>
      </c>
      <c r="P72" s="1">
        <v>-167.30969999999999</v>
      </c>
      <c r="Q72" s="1">
        <v>1.4875</v>
      </c>
      <c r="R72" s="1">
        <v>32.278500000000001</v>
      </c>
      <c r="S72" s="1">
        <v>382.90100000000001</v>
      </c>
      <c r="T72" s="1">
        <v>184.16</v>
      </c>
      <c r="U72" s="1">
        <v>28.6</v>
      </c>
      <c r="V72" s="1">
        <v>2360</v>
      </c>
      <c r="W72" s="3">
        <v>1.4821</v>
      </c>
      <c r="X72" s="1" t="s">
        <v>329</v>
      </c>
      <c r="Y72" s="1">
        <v>0.96</v>
      </c>
      <c r="Z72" s="1">
        <v>0.5</v>
      </c>
      <c r="AA72" s="1">
        <v>0.72799999999999998</v>
      </c>
      <c r="AB72" s="1">
        <v>2.2000000000000002</v>
      </c>
      <c r="AC72" s="1">
        <v>0.1</v>
      </c>
      <c r="AD72" s="1">
        <v>0.02</v>
      </c>
      <c r="AE72" s="1">
        <v>1.31</v>
      </c>
      <c r="AF72" s="1">
        <v>0.12</v>
      </c>
      <c r="AG72" s="1"/>
      <c r="AH72" s="1" t="s">
        <v>338</v>
      </c>
      <c r="AI72" s="1">
        <v>2</v>
      </c>
      <c r="AJ72" s="1" t="s">
        <v>331</v>
      </c>
      <c r="AK72" s="1">
        <v>9</v>
      </c>
      <c r="AL72" s="1">
        <v>83.949799999999996</v>
      </c>
      <c r="AM72" s="1" t="s">
        <v>329</v>
      </c>
      <c r="AN72" s="1">
        <v>6.4391608391608397</v>
      </c>
      <c r="AO72" s="1">
        <v>0.97194880591107002</v>
      </c>
      <c r="AP72" s="1"/>
      <c r="AQ72" s="1"/>
      <c r="AR72" s="1"/>
      <c r="AS72" s="1"/>
      <c r="AT72" s="1"/>
    </row>
    <row r="73" spans="1:46">
      <c r="A73" s="1" t="s">
        <v>339</v>
      </c>
      <c r="B73" s="1">
        <v>65</v>
      </c>
      <c r="C73" s="1" t="s">
        <v>339</v>
      </c>
      <c r="D73" s="1" t="s">
        <v>340</v>
      </c>
      <c r="E73" s="1" t="s">
        <v>47</v>
      </c>
      <c r="F73" s="1" t="s">
        <v>341</v>
      </c>
      <c r="G73" s="1" t="s">
        <v>49</v>
      </c>
      <c r="H73" s="2" t="s">
        <v>342</v>
      </c>
      <c r="I73" s="1">
        <v>36</v>
      </c>
      <c r="J73" s="1">
        <v>0.2</v>
      </c>
      <c r="K73" s="1" t="s">
        <v>52</v>
      </c>
      <c r="L73" s="1" t="s">
        <v>52</v>
      </c>
      <c r="M73" s="1">
        <v>2.78</v>
      </c>
      <c r="N73" s="1">
        <v>50</v>
      </c>
      <c r="O73" s="1">
        <v>67.670479999999998</v>
      </c>
      <c r="P73" s="1">
        <v>-168.72936000000001</v>
      </c>
      <c r="Q73" s="1">
        <v>2.7244999999999999</v>
      </c>
      <c r="R73" s="1">
        <v>32.840000000000003</v>
      </c>
      <c r="S73" s="1">
        <v>355.01600000000002</v>
      </c>
      <c r="T73" s="1">
        <v>270.26</v>
      </c>
      <c r="U73" s="1">
        <v>55.16</v>
      </c>
      <c r="V73" s="1">
        <v>3540</v>
      </c>
      <c r="W73" s="3">
        <v>1.0311999999999999</v>
      </c>
      <c r="X73" s="1" t="s">
        <v>343</v>
      </c>
      <c r="Y73" s="1">
        <v>3.35</v>
      </c>
      <c r="Z73" s="1">
        <v>0.99</v>
      </c>
      <c r="AA73" s="1">
        <v>1.2110000000000001</v>
      </c>
      <c r="AB73" s="1">
        <v>11.9</v>
      </c>
      <c r="AC73" s="1">
        <v>9.1999999999999993</v>
      </c>
      <c r="AD73" s="1">
        <v>0.17</v>
      </c>
      <c r="AE73" s="1">
        <v>1.06</v>
      </c>
      <c r="AF73" s="1">
        <v>9.3699999999999992</v>
      </c>
      <c r="AG73" s="1"/>
      <c r="AH73" s="1" t="s">
        <v>344</v>
      </c>
      <c r="AI73" s="1">
        <v>24</v>
      </c>
      <c r="AJ73" s="1" t="s">
        <v>345</v>
      </c>
      <c r="AK73" s="1">
        <v>9</v>
      </c>
      <c r="AL73" s="1">
        <v>74.879300000000001</v>
      </c>
      <c r="AM73" s="1" t="s">
        <v>343</v>
      </c>
      <c r="AN73" s="1">
        <v>4.8995649021029699</v>
      </c>
      <c r="AO73" s="1">
        <v>0.73955696635516599</v>
      </c>
      <c r="AP73" s="1"/>
      <c r="AQ73" s="1"/>
      <c r="AR73" s="1"/>
      <c r="AS73" s="1" t="s">
        <v>346</v>
      </c>
      <c r="AT73" s="1"/>
    </row>
    <row r="74" spans="1:46">
      <c r="A74" s="1" t="s">
        <v>347</v>
      </c>
      <c r="B74" s="1">
        <v>68</v>
      </c>
      <c r="C74" s="1" t="s">
        <v>347</v>
      </c>
      <c r="D74" s="1" t="s">
        <v>348</v>
      </c>
      <c r="E74" s="1" t="s">
        <v>47</v>
      </c>
      <c r="F74" s="1" t="s">
        <v>341</v>
      </c>
      <c r="G74" s="1" t="s">
        <v>49</v>
      </c>
      <c r="H74" s="2" t="s">
        <v>342</v>
      </c>
      <c r="I74" s="1">
        <v>36</v>
      </c>
      <c r="J74" s="1">
        <v>3</v>
      </c>
      <c r="K74" s="1" t="s">
        <v>52</v>
      </c>
      <c r="L74" s="1" t="s">
        <v>52</v>
      </c>
      <c r="M74" s="1">
        <v>2.78</v>
      </c>
      <c r="N74" s="1">
        <v>50</v>
      </c>
      <c r="O74" s="1">
        <v>67.670479999999998</v>
      </c>
      <c r="P74" s="1">
        <v>-168.72936000000001</v>
      </c>
      <c r="Q74" s="1">
        <v>2.7244999999999999</v>
      </c>
      <c r="R74" s="1">
        <v>32.840000000000003</v>
      </c>
      <c r="S74" s="1">
        <v>355.01600000000002</v>
      </c>
      <c r="T74" s="1">
        <v>270.26</v>
      </c>
      <c r="U74" s="1">
        <v>55.16</v>
      </c>
      <c r="V74" s="1">
        <v>3540</v>
      </c>
      <c r="W74" s="3">
        <v>1.0311999999999999</v>
      </c>
      <c r="X74" s="1" t="s">
        <v>343</v>
      </c>
      <c r="Y74" s="1">
        <v>3.35</v>
      </c>
      <c r="Z74" s="1">
        <v>0.99</v>
      </c>
      <c r="AA74" s="1">
        <v>1.2110000000000001</v>
      </c>
      <c r="AB74" s="1">
        <v>11.9</v>
      </c>
      <c r="AC74" s="1">
        <v>9.1999999999999993</v>
      </c>
      <c r="AD74" s="1">
        <v>0.17</v>
      </c>
      <c r="AE74" s="1">
        <v>1.06</v>
      </c>
      <c r="AF74" s="1">
        <v>9.3699999999999992</v>
      </c>
      <c r="AG74" s="1"/>
      <c r="AH74" s="1" t="s">
        <v>349</v>
      </c>
      <c r="AI74" s="1">
        <v>24</v>
      </c>
      <c r="AJ74" s="1" t="s">
        <v>345</v>
      </c>
      <c r="AK74" s="1">
        <v>9</v>
      </c>
      <c r="AL74" s="1">
        <v>74.879300000000001</v>
      </c>
      <c r="AM74" s="1" t="s">
        <v>343</v>
      </c>
      <c r="AN74" s="1">
        <v>4.8995649021029699</v>
      </c>
      <c r="AO74" s="1">
        <v>0.73955696635516599</v>
      </c>
      <c r="AP74" s="1"/>
      <c r="AQ74" s="1"/>
      <c r="AR74" s="1"/>
      <c r="AS74" s="1"/>
      <c r="AT74" s="1"/>
    </row>
    <row r="75" spans="1:46">
      <c r="A75" s="1" t="s">
        <v>350</v>
      </c>
      <c r="B75" s="1">
        <v>71</v>
      </c>
      <c r="C75" s="1" t="s">
        <v>350</v>
      </c>
      <c r="D75" s="1" t="s">
        <v>351</v>
      </c>
      <c r="E75" s="1" t="s">
        <v>47</v>
      </c>
      <c r="F75" s="1" t="s">
        <v>341</v>
      </c>
      <c r="G75" s="1" t="s">
        <v>49</v>
      </c>
      <c r="H75" s="2" t="s">
        <v>342</v>
      </c>
      <c r="I75" s="1">
        <v>36</v>
      </c>
      <c r="J75" s="1">
        <v>20</v>
      </c>
      <c r="K75" s="1" t="s">
        <v>52</v>
      </c>
      <c r="L75" s="1" t="s">
        <v>52</v>
      </c>
      <c r="M75" s="1">
        <v>2.78</v>
      </c>
      <c r="N75" s="1">
        <v>50</v>
      </c>
      <c r="O75" s="1">
        <v>67.670479999999998</v>
      </c>
      <c r="P75" s="1">
        <v>-168.72936000000001</v>
      </c>
      <c r="Q75" s="1">
        <v>2.7244999999999999</v>
      </c>
      <c r="R75" s="1">
        <v>32.840000000000003</v>
      </c>
      <c r="S75" s="1">
        <v>355.01600000000002</v>
      </c>
      <c r="T75" s="1">
        <v>270.26</v>
      </c>
      <c r="U75" s="1">
        <v>55.16</v>
      </c>
      <c r="V75" s="1">
        <v>3540</v>
      </c>
      <c r="W75" s="3">
        <v>1.0311999999999999</v>
      </c>
      <c r="X75" s="1" t="s">
        <v>343</v>
      </c>
      <c r="Y75" s="1">
        <v>3.35</v>
      </c>
      <c r="Z75" s="1">
        <v>0.99</v>
      </c>
      <c r="AA75" s="1">
        <v>1.2110000000000001</v>
      </c>
      <c r="AB75" s="1">
        <v>11.9</v>
      </c>
      <c r="AC75" s="1">
        <v>9.1999999999999993</v>
      </c>
      <c r="AD75" s="1">
        <v>0.17</v>
      </c>
      <c r="AE75" s="1">
        <v>1.06</v>
      </c>
      <c r="AF75" s="1">
        <v>9.3699999999999992</v>
      </c>
      <c r="AG75" s="1"/>
      <c r="AH75" s="1" t="s">
        <v>352</v>
      </c>
      <c r="AI75" s="1">
        <v>24</v>
      </c>
      <c r="AJ75" s="1" t="s">
        <v>345</v>
      </c>
      <c r="AK75" s="1">
        <v>9</v>
      </c>
      <c r="AL75" s="1">
        <v>74.879300000000001</v>
      </c>
      <c r="AM75" s="1" t="s">
        <v>343</v>
      </c>
      <c r="AN75" s="1">
        <v>4.8995649021029699</v>
      </c>
      <c r="AO75" s="1">
        <v>0.73955696635516599</v>
      </c>
      <c r="AP75" s="1"/>
      <c r="AQ75" s="1"/>
      <c r="AR75" s="1"/>
      <c r="AS75" s="1"/>
      <c r="AT75" s="1"/>
    </row>
    <row r="76" spans="1:46">
      <c r="A76" s="1" t="s">
        <v>353</v>
      </c>
      <c r="B76" s="1">
        <v>66</v>
      </c>
      <c r="C76" s="1" t="s">
        <v>353</v>
      </c>
      <c r="D76" s="1" t="s">
        <v>354</v>
      </c>
      <c r="E76" s="1" t="s">
        <v>47</v>
      </c>
      <c r="F76" s="1" t="s">
        <v>341</v>
      </c>
      <c r="G76" s="1" t="s">
        <v>49</v>
      </c>
      <c r="H76" s="2" t="s">
        <v>342</v>
      </c>
      <c r="I76" s="1">
        <v>36</v>
      </c>
      <c r="J76" s="1">
        <v>0.2</v>
      </c>
      <c r="K76" s="1" t="s">
        <v>355</v>
      </c>
      <c r="L76" s="1" t="s">
        <v>65</v>
      </c>
      <c r="M76" s="1">
        <v>20.100000000000001</v>
      </c>
      <c r="N76" s="1">
        <v>50</v>
      </c>
      <c r="O76" s="1">
        <v>67.670479999999998</v>
      </c>
      <c r="P76" s="1">
        <v>-168.72936000000001</v>
      </c>
      <c r="Q76" s="1">
        <v>2.1120000000000001</v>
      </c>
      <c r="R76" s="1">
        <v>32.844999999999999</v>
      </c>
      <c r="S76" s="1">
        <v>335.92599999999999</v>
      </c>
      <c r="T76" s="1">
        <v>238.98</v>
      </c>
      <c r="U76" s="1">
        <v>51.94</v>
      </c>
      <c r="V76" s="1">
        <v>5260</v>
      </c>
      <c r="W76" s="3">
        <v>5.0972999999999997</v>
      </c>
      <c r="X76" s="1" t="s">
        <v>356</v>
      </c>
      <c r="Y76" s="1">
        <v>7.05</v>
      </c>
      <c r="Z76" s="1">
        <v>1.77</v>
      </c>
      <c r="AA76" s="1">
        <v>1.274</v>
      </c>
      <c r="AB76" s="1">
        <v>11.6</v>
      </c>
      <c r="AC76" s="1">
        <v>10.1</v>
      </c>
      <c r="AD76" s="1">
        <v>0.16</v>
      </c>
      <c r="AE76" s="1">
        <v>1.61</v>
      </c>
      <c r="AF76" s="1">
        <v>10.26</v>
      </c>
      <c r="AG76" s="1"/>
      <c r="AH76" s="1" t="s">
        <v>357</v>
      </c>
      <c r="AI76" s="1">
        <v>6</v>
      </c>
      <c r="AJ76" s="1" t="s">
        <v>358</v>
      </c>
      <c r="AK76" s="1">
        <v>9</v>
      </c>
      <c r="AL76" s="1">
        <v>66.527799999999999</v>
      </c>
      <c r="AM76" s="1" t="s">
        <v>356</v>
      </c>
      <c r="AN76" s="1">
        <v>4.6010781671159</v>
      </c>
      <c r="AO76" s="1">
        <v>0.69450236484768302</v>
      </c>
      <c r="AP76" s="1"/>
      <c r="AQ76" s="1"/>
      <c r="AR76" s="1"/>
      <c r="AS76" s="1"/>
      <c r="AT76" s="1"/>
    </row>
    <row r="77" spans="1:46">
      <c r="A77" s="1" t="s">
        <v>359</v>
      </c>
      <c r="B77" s="1">
        <v>69</v>
      </c>
      <c r="C77" s="1" t="s">
        <v>359</v>
      </c>
      <c r="D77" s="1" t="s">
        <v>360</v>
      </c>
      <c r="E77" s="1" t="s">
        <v>47</v>
      </c>
      <c r="F77" s="1" t="s">
        <v>341</v>
      </c>
      <c r="G77" s="1" t="s">
        <v>49</v>
      </c>
      <c r="H77" s="2" t="s">
        <v>342</v>
      </c>
      <c r="I77" s="1">
        <v>36</v>
      </c>
      <c r="J77" s="1">
        <v>3</v>
      </c>
      <c r="K77" s="1" t="s">
        <v>355</v>
      </c>
      <c r="L77" s="1" t="s">
        <v>65</v>
      </c>
      <c r="M77" s="1">
        <v>20.100000000000001</v>
      </c>
      <c r="N77" s="1">
        <v>50</v>
      </c>
      <c r="O77" s="1">
        <v>67.670479999999998</v>
      </c>
      <c r="P77" s="1">
        <v>-168.72936000000001</v>
      </c>
      <c r="Q77" s="1">
        <v>2.1120000000000001</v>
      </c>
      <c r="R77" s="1">
        <v>32.844999999999999</v>
      </c>
      <c r="S77" s="1">
        <v>335.92599999999999</v>
      </c>
      <c r="T77" s="1">
        <v>238.98</v>
      </c>
      <c r="U77" s="1">
        <v>51.94</v>
      </c>
      <c r="V77" s="1">
        <v>5260</v>
      </c>
      <c r="W77" s="3">
        <v>5.0972999999999997</v>
      </c>
      <c r="X77" s="1" t="s">
        <v>356</v>
      </c>
      <c r="Y77" s="1">
        <v>7.05</v>
      </c>
      <c r="Z77" s="1">
        <v>1.77</v>
      </c>
      <c r="AA77" s="1">
        <v>1.274</v>
      </c>
      <c r="AB77" s="1">
        <v>11.6</v>
      </c>
      <c r="AC77" s="1">
        <v>10.1</v>
      </c>
      <c r="AD77" s="1">
        <v>0.16</v>
      </c>
      <c r="AE77" s="1">
        <v>1.61</v>
      </c>
      <c r="AF77" s="1">
        <v>10.26</v>
      </c>
      <c r="AG77" s="1"/>
      <c r="AH77" s="1" t="s">
        <v>361</v>
      </c>
      <c r="AI77" s="1">
        <v>6</v>
      </c>
      <c r="AJ77" s="1" t="s">
        <v>358</v>
      </c>
      <c r="AK77" s="1">
        <v>9</v>
      </c>
      <c r="AL77" s="1">
        <v>66.527799999999999</v>
      </c>
      <c r="AM77" s="1" t="s">
        <v>356</v>
      </c>
      <c r="AN77" s="1">
        <v>4.6010781671159</v>
      </c>
      <c r="AO77" s="1">
        <v>0.69450236484768302</v>
      </c>
      <c r="AP77" s="1"/>
      <c r="AQ77" s="1"/>
      <c r="AR77" s="1"/>
      <c r="AS77" s="1"/>
      <c r="AT77" s="1"/>
    </row>
    <row r="78" spans="1:46">
      <c r="A78" s="1" t="s">
        <v>362</v>
      </c>
      <c r="B78" s="1">
        <v>72</v>
      </c>
      <c r="C78" s="1" t="s">
        <v>362</v>
      </c>
      <c r="D78" s="1" t="s">
        <v>363</v>
      </c>
      <c r="E78" s="1" t="s">
        <v>47</v>
      </c>
      <c r="F78" s="1" t="s">
        <v>341</v>
      </c>
      <c r="G78" s="1" t="s">
        <v>49</v>
      </c>
      <c r="H78" s="2" t="s">
        <v>342</v>
      </c>
      <c r="I78" s="1">
        <v>36</v>
      </c>
      <c r="J78" s="1">
        <v>20</v>
      </c>
      <c r="K78" s="1" t="s">
        <v>355</v>
      </c>
      <c r="L78" s="1" t="s">
        <v>65</v>
      </c>
      <c r="M78" s="1">
        <v>20.100000000000001</v>
      </c>
      <c r="N78" s="1">
        <v>50</v>
      </c>
      <c r="O78" s="1">
        <v>67.670479999999998</v>
      </c>
      <c r="P78" s="1">
        <v>-168.72936000000001</v>
      </c>
      <c r="Q78" s="1">
        <v>2.1120000000000001</v>
      </c>
      <c r="R78" s="1">
        <v>32.844999999999999</v>
      </c>
      <c r="S78" s="1">
        <v>335.92599999999999</v>
      </c>
      <c r="T78" s="1">
        <v>238.98</v>
      </c>
      <c r="U78" s="1">
        <v>51.94</v>
      </c>
      <c r="V78" s="1">
        <v>5260</v>
      </c>
      <c r="W78" s="3">
        <v>5.0972999999999997</v>
      </c>
      <c r="X78" s="1" t="s">
        <v>356</v>
      </c>
      <c r="Y78" s="1">
        <v>7.05</v>
      </c>
      <c r="Z78" s="1">
        <v>1.77</v>
      </c>
      <c r="AA78" s="1">
        <v>1.274</v>
      </c>
      <c r="AB78" s="1">
        <v>11.6</v>
      </c>
      <c r="AC78" s="1">
        <v>10.1</v>
      </c>
      <c r="AD78" s="1">
        <v>0.16</v>
      </c>
      <c r="AE78" s="1">
        <v>1.61</v>
      </c>
      <c r="AF78" s="1">
        <v>10.26</v>
      </c>
      <c r="AG78" s="1"/>
      <c r="AH78" s="1" t="s">
        <v>364</v>
      </c>
      <c r="AI78" s="1">
        <v>6</v>
      </c>
      <c r="AJ78" s="1" t="s">
        <v>358</v>
      </c>
      <c r="AK78" s="1">
        <v>9</v>
      </c>
      <c r="AL78" s="1">
        <v>66.527799999999999</v>
      </c>
      <c r="AM78" s="1" t="s">
        <v>356</v>
      </c>
      <c r="AN78" s="1">
        <v>4.6010781671159</v>
      </c>
      <c r="AO78" s="1">
        <v>0.69450236484768302</v>
      </c>
      <c r="AP78" s="1"/>
      <c r="AQ78" s="1"/>
      <c r="AR78" s="1"/>
      <c r="AS78" s="1"/>
      <c r="AT78" s="1"/>
    </row>
    <row r="79" spans="1:46">
      <c r="A79" s="1" t="s">
        <v>365</v>
      </c>
      <c r="B79" s="1">
        <v>67</v>
      </c>
      <c r="C79" s="1" t="s">
        <v>365</v>
      </c>
      <c r="D79" s="1" t="s">
        <v>366</v>
      </c>
      <c r="E79" s="1" t="s">
        <v>47</v>
      </c>
      <c r="F79" s="1" t="s">
        <v>341</v>
      </c>
      <c r="G79" s="1" t="s">
        <v>49</v>
      </c>
      <c r="H79" s="2" t="s">
        <v>342</v>
      </c>
      <c r="I79" s="1">
        <v>36</v>
      </c>
      <c r="J79" s="1">
        <v>0.2</v>
      </c>
      <c r="K79" s="1" t="s">
        <v>150</v>
      </c>
      <c r="L79" s="1" t="s">
        <v>78</v>
      </c>
      <c r="M79" s="1">
        <v>46.94</v>
      </c>
      <c r="N79" s="1">
        <v>50</v>
      </c>
      <c r="O79" s="1">
        <v>67.670479999999998</v>
      </c>
      <c r="P79" s="1">
        <v>-168.72936000000001</v>
      </c>
      <c r="Q79" s="1">
        <v>2.0470000000000002</v>
      </c>
      <c r="R79" s="1">
        <v>32.857500000000002</v>
      </c>
      <c r="S79" s="1">
        <v>320.13299999999998</v>
      </c>
      <c r="T79" s="1">
        <v>261.12</v>
      </c>
      <c r="U79" s="1">
        <v>58.56</v>
      </c>
      <c r="V79" s="1">
        <v>9700</v>
      </c>
      <c r="W79" s="3">
        <v>2.1608999999999998</v>
      </c>
      <c r="X79" s="1" t="s">
        <v>367</v>
      </c>
      <c r="Y79" s="1">
        <v>7.62</v>
      </c>
      <c r="Z79" s="1">
        <v>8.7200000000000006</v>
      </c>
      <c r="AA79" s="1">
        <v>1.41</v>
      </c>
      <c r="AB79" s="1">
        <v>13.2</v>
      </c>
      <c r="AC79" s="1">
        <v>10.1</v>
      </c>
      <c r="AD79" s="1">
        <v>0.17</v>
      </c>
      <c r="AE79" s="1">
        <v>2.97</v>
      </c>
      <c r="AF79" s="1">
        <v>10.27</v>
      </c>
      <c r="AG79" s="1"/>
      <c r="AH79" s="1" t="s">
        <v>368</v>
      </c>
      <c r="AI79" s="1">
        <v>3</v>
      </c>
      <c r="AJ79" s="1" t="s">
        <v>369</v>
      </c>
      <c r="AK79" s="1">
        <v>8</v>
      </c>
      <c r="AL79" s="1">
        <v>36.235599999999998</v>
      </c>
      <c r="AM79" s="1" t="s">
        <v>367</v>
      </c>
      <c r="AN79" s="1">
        <v>4.4590163934426199</v>
      </c>
      <c r="AO79" s="1">
        <v>0.67305907825549005</v>
      </c>
      <c r="AP79" s="1"/>
      <c r="AQ79" s="1"/>
      <c r="AR79" s="1"/>
      <c r="AS79" s="1"/>
      <c r="AT79" s="1"/>
    </row>
    <row r="80" spans="1:46">
      <c r="A80" s="1" t="s">
        <v>370</v>
      </c>
      <c r="B80" s="1">
        <v>70</v>
      </c>
      <c r="C80" s="1" t="s">
        <v>370</v>
      </c>
      <c r="D80" s="1" t="s">
        <v>371</v>
      </c>
      <c r="E80" s="1" t="s">
        <v>47</v>
      </c>
      <c r="F80" s="1" t="s">
        <v>341</v>
      </c>
      <c r="G80" s="1" t="s">
        <v>49</v>
      </c>
      <c r="H80" s="2" t="s">
        <v>342</v>
      </c>
      <c r="I80" s="1">
        <v>36</v>
      </c>
      <c r="J80" s="1">
        <v>3</v>
      </c>
      <c r="K80" s="1" t="s">
        <v>150</v>
      </c>
      <c r="L80" s="1" t="s">
        <v>78</v>
      </c>
      <c r="M80" s="1">
        <v>46.94</v>
      </c>
      <c r="N80" s="1">
        <v>50</v>
      </c>
      <c r="O80" s="1">
        <v>67.670479999999998</v>
      </c>
      <c r="P80" s="1">
        <v>-168.72936000000001</v>
      </c>
      <c r="Q80" s="1">
        <v>2.0470000000000002</v>
      </c>
      <c r="R80" s="1">
        <v>32.857500000000002</v>
      </c>
      <c r="S80" s="1">
        <v>320.13299999999998</v>
      </c>
      <c r="T80" s="1">
        <v>261.12</v>
      </c>
      <c r="U80" s="1">
        <v>58.56</v>
      </c>
      <c r="V80" s="1">
        <v>9700</v>
      </c>
      <c r="W80" s="3">
        <v>2.1608999999999998</v>
      </c>
      <c r="X80" s="1" t="s">
        <v>367</v>
      </c>
      <c r="Y80" s="1">
        <v>7.62</v>
      </c>
      <c r="Z80" s="1">
        <v>8.7200000000000006</v>
      </c>
      <c r="AA80" s="1">
        <v>1.41</v>
      </c>
      <c r="AB80" s="1">
        <v>13.2</v>
      </c>
      <c r="AC80" s="1">
        <v>10.1</v>
      </c>
      <c r="AD80" s="1">
        <v>0.17</v>
      </c>
      <c r="AE80" s="1">
        <v>2.97</v>
      </c>
      <c r="AF80" s="1">
        <v>10.27</v>
      </c>
      <c r="AG80" s="1"/>
      <c r="AH80" s="1" t="s">
        <v>372</v>
      </c>
      <c r="AI80" s="1">
        <v>3</v>
      </c>
      <c r="AJ80" s="1" t="s">
        <v>369</v>
      </c>
      <c r="AK80" s="1">
        <v>8</v>
      </c>
      <c r="AL80" s="1">
        <v>36.235599999999998</v>
      </c>
      <c r="AM80" s="1" t="s">
        <v>367</v>
      </c>
      <c r="AN80" s="1">
        <v>4.4590163934426199</v>
      </c>
      <c r="AO80" s="1">
        <v>0.67305907825549005</v>
      </c>
      <c r="AP80" s="1"/>
      <c r="AQ80" s="1"/>
      <c r="AR80" s="1"/>
      <c r="AS80" s="1"/>
      <c r="AT80" s="1"/>
    </row>
    <row r="81" spans="1:46">
      <c r="A81" s="1" t="s">
        <v>373</v>
      </c>
      <c r="B81" s="1">
        <v>73</v>
      </c>
      <c r="C81" s="1" t="s">
        <v>373</v>
      </c>
      <c r="D81" s="1" t="s">
        <v>374</v>
      </c>
      <c r="E81" s="1" t="s">
        <v>47</v>
      </c>
      <c r="F81" s="1" t="s">
        <v>341</v>
      </c>
      <c r="G81" s="1" t="s">
        <v>49</v>
      </c>
      <c r="H81" s="2" t="s">
        <v>342</v>
      </c>
      <c r="I81" s="1">
        <v>36</v>
      </c>
      <c r="J81" s="1">
        <v>20</v>
      </c>
      <c r="K81" s="1" t="s">
        <v>150</v>
      </c>
      <c r="L81" s="1" t="s">
        <v>78</v>
      </c>
      <c r="M81" s="1">
        <v>46.94</v>
      </c>
      <c r="N81" s="1">
        <v>50</v>
      </c>
      <c r="O81" s="1">
        <v>67.670479999999998</v>
      </c>
      <c r="P81" s="1">
        <v>-168.72936000000001</v>
      </c>
      <c r="Q81" s="1">
        <v>2.0470000000000002</v>
      </c>
      <c r="R81" s="1">
        <v>32.857500000000002</v>
      </c>
      <c r="S81" s="1">
        <v>320.13299999999998</v>
      </c>
      <c r="T81" s="1">
        <v>261.12</v>
      </c>
      <c r="U81" s="1">
        <v>58.56</v>
      </c>
      <c r="V81" s="1">
        <v>9700</v>
      </c>
      <c r="W81" s="3">
        <v>2.1608999999999998</v>
      </c>
      <c r="X81" s="1" t="s">
        <v>367</v>
      </c>
      <c r="Y81" s="1">
        <v>7.62</v>
      </c>
      <c r="Z81" s="1">
        <v>8.7200000000000006</v>
      </c>
      <c r="AA81" s="1">
        <v>1.41</v>
      </c>
      <c r="AB81" s="1">
        <v>13.2</v>
      </c>
      <c r="AC81" s="1">
        <v>10.1</v>
      </c>
      <c r="AD81" s="1">
        <v>0.17</v>
      </c>
      <c r="AE81" s="1">
        <v>2.97</v>
      </c>
      <c r="AF81" s="1">
        <v>10.27</v>
      </c>
      <c r="AG81" s="1"/>
      <c r="AH81" s="1" t="s">
        <v>375</v>
      </c>
      <c r="AI81" s="1">
        <v>3</v>
      </c>
      <c r="AJ81" s="1" t="s">
        <v>369</v>
      </c>
      <c r="AK81" s="1">
        <v>8</v>
      </c>
      <c r="AL81" s="1">
        <v>36.235599999999998</v>
      </c>
      <c r="AM81" s="1" t="s">
        <v>367</v>
      </c>
      <c r="AN81" s="1">
        <v>4.4590163934426199</v>
      </c>
      <c r="AO81" s="1">
        <v>0.67305907825549005</v>
      </c>
      <c r="AP81" s="1"/>
      <c r="AQ81" s="1"/>
      <c r="AR81" s="1"/>
      <c r="AS81" s="1"/>
      <c r="AT81" s="1"/>
    </row>
    <row r="82" spans="1:46">
      <c r="A82" s="1" t="s">
        <v>376</v>
      </c>
      <c r="B82" s="1">
        <v>59</v>
      </c>
      <c r="C82" s="1" t="s">
        <v>376</v>
      </c>
      <c r="D82" s="1" t="s">
        <v>377</v>
      </c>
      <c r="E82" s="1" t="s">
        <v>47</v>
      </c>
      <c r="F82" s="1" t="s">
        <v>378</v>
      </c>
      <c r="G82" s="1" t="s">
        <v>49</v>
      </c>
      <c r="H82" s="2" t="s">
        <v>379</v>
      </c>
      <c r="I82" s="1">
        <v>24</v>
      </c>
      <c r="J82" s="1">
        <v>3</v>
      </c>
      <c r="K82" s="1" t="s">
        <v>52</v>
      </c>
      <c r="L82" s="1" t="s">
        <v>52</v>
      </c>
      <c r="M82" s="1">
        <v>2.75</v>
      </c>
      <c r="N82" s="1">
        <v>25</v>
      </c>
      <c r="O82" s="1">
        <v>67.594700000000003</v>
      </c>
      <c r="P82" s="1">
        <v>-164.52366000000001</v>
      </c>
      <c r="Q82" s="1">
        <v>5.319</v>
      </c>
      <c r="R82" s="1">
        <v>30.406500000000001</v>
      </c>
      <c r="S82" s="1">
        <v>339.113</v>
      </c>
      <c r="T82" s="1"/>
      <c r="U82" s="1"/>
      <c r="V82" s="1"/>
      <c r="W82" s="3">
        <v>6.9599999999999995E-2</v>
      </c>
      <c r="X82" s="1" t="s">
        <v>380</v>
      </c>
      <c r="Y82" s="1">
        <v>0.22</v>
      </c>
      <c r="Z82" s="1">
        <v>0.11</v>
      </c>
      <c r="AA82" s="1">
        <v>0.54700000000000004</v>
      </c>
      <c r="AB82" s="1">
        <v>4.3</v>
      </c>
      <c r="AC82" s="1">
        <v>0.3</v>
      </c>
      <c r="AD82" s="1">
        <v>0</v>
      </c>
      <c r="AE82" s="1">
        <v>0.06</v>
      </c>
      <c r="AF82" s="1">
        <v>0.3</v>
      </c>
      <c r="AG82" s="1"/>
      <c r="AH82" s="1" t="s">
        <v>381</v>
      </c>
      <c r="AI82" s="1">
        <v>10</v>
      </c>
      <c r="AJ82" s="1" t="s">
        <v>382</v>
      </c>
      <c r="AK82" s="1">
        <v>9</v>
      </c>
      <c r="AL82" s="1">
        <v>89.234800000000007</v>
      </c>
      <c r="AM82" s="1" t="s">
        <v>380</v>
      </c>
      <c r="AN82" s="1"/>
      <c r="AO82" s="1"/>
      <c r="AP82" s="1"/>
      <c r="AQ82" s="1"/>
      <c r="AR82" s="1"/>
      <c r="AS82" s="1"/>
      <c r="AT82" s="1"/>
    </row>
    <row r="83" spans="1:46">
      <c r="A83" s="1" t="s">
        <v>383</v>
      </c>
      <c r="B83" s="1">
        <v>62</v>
      </c>
      <c r="C83" s="1" t="s">
        <v>383</v>
      </c>
      <c r="D83" s="1" t="s">
        <v>384</v>
      </c>
      <c r="E83" s="1" t="s">
        <v>47</v>
      </c>
      <c r="F83" s="1" t="s">
        <v>378</v>
      </c>
      <c r="G83" s="1" t="s">
        <v>49</v>
      </c>
      <c r="H83" s="2" t="s">
        <v>379</v>
      </c>
      <c r="I83" s="1">
        <v>24</v>
      </c>
      <c r="J83" s="1">
        <v>20</v>
      </c>
      <c r="K83" s="1" t="s">
        <v>52</v>
      </c>
      <c r="L83" s="1" t="s">
        <v>52</v>
      </c>
      <c r="M83" s="1">
        <v>2.75</v>
      </c>
      <c r="N83" s="1">
        <v>25</v>
      </c>
      <c r="O83" s="1">
        <v>67.594700000000003</v>
      </c>
      <c r="P83" s="1">
        <v>-164.52366000000001</v>
      </c>
      <c r="Q83" s="1">
        <v>5.319</v>
      </c>
      <c r="R83" s="1">
        <v>30.406500000000001</v>
      </c>
      <c r="S83" s="1">
        <v>339.113</v>
      </c>
      <c r="T83" s="1"/>
      <c r="U83" s="1"/>
      <c r="V83" s="1"/>
      <c r="W83" s="3">
        <v>6.9599999999999995E-2</v>
      </c>
      <c r="X83" s="1" t="s">
        <v>380</v>
      </c>
      <c r="Y83" s="1">
        <v>0.22</v>
      </c>
      <c r="Z83" s="1">
        <v>0.11</v>
      </c>
      <c r="AA83" s="1">
        <v>0.54700000000000004</v>
      </c>
      <c r="AB83" s="1">
        <v>4.3</v>
      </c>
      <c r="AC83" s="1">
        <v>0.3</v>
      </c>
      <c r="AD83" s="1">
        <v>0</v>
      </c>
      <c r="AE83" s="1">
        <v>0.06</v>
      </c>
      <c r="AF83" s="1">
        <v>0.3</v>
      </c>
      <c r="AG83" s="1"/>
      <c r="AH83" s="1" t="s">
        <v>385</v>
      </c>
      <c r="AI83" s="1">
        <v>10</v>
      </c>
      <c r="AJ83" s="1" t="s">
        <v>382</v>
      </c>
      <c r="AK83" s="1">
        <v>9</v>
      </c>
      <c r="AL83" s="1">
        <v>89.234800000000007</v>
      </c>
      <c r="AM83" s="1" t="s">
        <v>380</v>
      </c>
      <c r="AN83" s="1"/>
      <c r="AO83" s="1"/>
      <c r="AP83" s="1"/>
      <c r="AQ83" s="1"/>
      <c r="AR83" s="1"/>
      <c r="AS83" s="1"/>
      <c r="AT83" s="1"/>
    </row>
    <row r="84" spans="1:46">
      <c r="A84" s="1" t="s">
        <v>386</v>
      </c>
      <c r="B84" s="1">
        <v>56</v>
      </c>
      <c r="C84" s="1" t="s">
        <v>386</v>
      </c>
      <c r="D84" s="1" t="s">
        <v>387</v>
      </c>
      <c r="E84" s="1" t="s">
        <v>47</v>
      </c>
      <c r="F84" s="1" t="s">
        <v>378</v>
      </c>
      <c r="G84" s="1" t="s">
        <v>49</v>
      </c>
      <c r="H84" s="2" t="s">
        <v>379</v>
      </c>
      <c r="I84" s="1">
        <v>24</v>
      </c>
      <c r="J84" s="1">
        <v>0.2</v>
      </c>
      <c r="K84" s="1"/>
      <c r="L84" s="1" t="s">
        <v>78</v>
      </c>
      <c r="M84" s="1">
        <v>15.95</v>
      </c>
      <c r="N84" s="1">
        <v>25</v>
      </c>
      <c r="O84" s="1">
        <v>67.594700000000003</v>
      </c>
      <c r="P84" s="1">
        <v>-164.52366000000001</v>
      </c>
      <c r="Q84" s="1">
        <v>-0.89</v>
      </c>
      <c r="R84" s="1">
        <v>31.579499999999999</v>
      </c>
      <c r="S84" s="1">
        <v>412.185</v>
      </c>
      <c r="T84" s="1"/>
      <c r="U84" s="1"/>
      <c r="V84" s="1"/>
      <c r="W84" s="3">
        <v>0.99890000000000001</v>
      </c>
      <c r="X84" s="1" t="s">
        <v>388</v>
      </c>
      <c r="Y84" s="1">
        <v>2.95</v>
      </c>
      <c r="Z84" s="1">
        <v>0.63</v>
      </c>
      <c r="AA84" s="1">
        <v>0.98099999999999998</v>
      </c>
      <c r="AB84" s="1">
        <v>15.3</v>
      </c>
      <c r="AC84" s="1">
        <v>1.3</v>
      </c>
      <c r="AD84" s="1">
        <v>0.06</v>
      </c>
      <c r="AE84" s="1">
        <v>0.27</v>
      </c>
      <c r="AF84" s="1">
        <v>1.36</v>
      </c>
      <c r="AG84" s="1"/>
      <c r="AH84" s="1" t="s">
        <v>389</v>
      </c>
      <c r="AI84" s="1">
        <v>5</v>
      </c>
      <c r="AJ84" s="1" t="s">
        <v>390</v>
      </c>
      <c r="AK84" s="1">
        <v>9</v>
      </c>
      <c r="AL84" s="1">
        <v>88.228499999999997</v>
      </c>
      <c r="AM84" s="1" t="s">
        <v>388</v>
      </c>
      <c r="AN84" s="1"/>
      <c r="AO84" s="1"/>
      <c r="AP84" s="1"/>
      <c r="AQ84" s="1"/>
      <c r="AR84" s="1"/>
      <c r="AS84" s="1" t="s">
        <v>391</v>
      </c>
      <c r="AT84" s="1"/>
    </row>
    <row r="85" spans="1:46">
      <c r="A85" s="1" t="s">
        <v>392</v>
      </c>
      <c r="B85" s="1">
        <v>60</v>
      </c>
      <c r="C85" s="1" t="s">
        <v>392</v>
      </c>
      <c r="D85" s="1" t="s">
        <v>393</v>
      </c>
      <c r="E85" s="1" t="s">
        <v>47</v>
      </c>
      <c r="F85" s="1" t="s">
        <v>378</v>
      </c>
      <c r="G85" s="1" t="s">
        <v>49</v>
      </c>
      <c r="H85" s="2" t="s">
        <v>379</v>
      </c>
      <c r="I85" s="1">
        <v>24</v>
      </c>
      <c r="J85" s="1">
        <v>3</v>
      </c>
      <c r="K85" s="1" t="s">
        <v>137</v>
      </c>
      <c r="L85" s="1" t="s">
        <v>78</v>
      </c>
      <c r="M85" s="1">
        <v>15.95</v>
      </c>
      <c r="N85" s="1">
        <v>25</v>
      </c>
      <c r="O85" s="1">
        <v>67.594700000000003</v>
      </c>
      <c r="P85" s="1">
        <v>-164.52366000000001</v>
      </c>
      <c r="Q85" s="1">
        <v>-0.89</v>
      </c>
      <c r="R85" s="1">
        <v>31.579499999999999</v>
      </c>
      <c r="S85" s="1">
        <v>412.185</v>
      </c>
      <c r="T85" s="1"/>
      <c r="U85" s="1"/>
      <c r="V85" s="1"/>
      <c r="W85" s="3">
        <v>0.99890000000000001</v>
      </c>
      <c r="X85" s="1" t="s">
        <v>388</v>
      </c>
      <c r="Y85" s="1">
        <v>2.95</v>
      </c>
      <c r="Z85" s="1">
        <v>0.63</v>
      </c>
      <c r="AA85" s="1">
        <v>0.98099999999999998</v>
      </c>
      <c r="AB85" s="1">
        <v>15.3</v>
      </c>
      <c r="AC85" s="1">
        <v>1.3</v>
      </c>
      <c r="AD85" s="1">
        <v>0.06</v>
      </c>
      <c r="AE85" s="1">
        <v>0.27</v>
      </c>
      <c r="AF85" s="1">
        <v>1.36</v>
      </c>
      <c r="AG85" s="1"/>
      <c r="AH85" s="1" t="s">
        <v>394</v>
      </c>
      <c r="AI85" s="1">
        <v>5</v>
      </c>
      <c r="AJ85" s="1" t="s">
        <v>390</v>
      </c>
      <c r="AK85" s="1">
        <v>9</v>
      </c>
      <c r="AL85" s="1">
        <v>88.228499999999997</v>
      </c>
      <c r="AM85" s="1" t="s">
        <v>388</v>
      </c>
      <c r="AN85" s="1"/>
      <c r="AO85" s="1"/>
      <c r="AP85" s="1"/>
      <c r="AQ85" s="1"/>
      <c r="AR85" s="1"/>
      <c r="AS85" s="1"/>
      <c r="AT85" s="1"/>
    </row>
    <row r="86" spans="1:46">
      <c r="A86" s="1" t="s">
        <v>395</v>
      </c>
      <c r="B86" s="1">
        <v>63</v>
      </c>
      <c r="C86" s="1" t="s">
        <v>395</v>
      </c>
      <c r="D86" s="1" t="s">
        <v>396</v>
      </c>
      <c r="E86" s="1" t="s">
        <v>47</v>
      </c>
      <c r="F86" s="1" t="s">
        <v>378</v>
      </c>
      <c r="G86" s="1" t="s">
        <v>49</v>
      </c>
      <c r="H86" s="2" t="s">
        <v>379</v>
      </c>
      <c r="I86" s="1">
        <v>24</v>
      </c>
      <c r="J86" s="1">
        <v>20</v>
      </c>
      <c r="K86" s="1"/>
      <c r="L86" s="1" t="s">
        <v>78</v>
      </c>
      <c r="M86" s="1">
        <v>15.95</v>
      </c>
      <c r="N86" s="1">
        <v>25</v>
      </c>
      <c r="O86" s="1">
        <v>67.594700000000003</v>
      </c>
      <c r="P86" s="1">
        <v>-164.52366000000001</v>
      </c>
      <c r="Q86" s="1">
        <v>-0.89</v>
      </c>
      <c r="R86" s="1">
        <v>31.579499999999999</v>
      </c>
      <c r="S86" s="1">
        <v>412.185</v>
      </c>
      <c r="T86" s="1"/>
      <c r="U86" s="1"/>
      <c r="V86" s="1"/>
      <c r="W86" s="3">
        <v>0.99890000000000001</v>
      </c>
      <c r="X86" s="1" t="s">
        <v>388</v>
      </c>
      <c r="Y86" s="1">
        <v>2.95</v>
      </c>
      <c r="Z86" s="1">
        <v>0.63</v>
      </c>
      <c r="AA86" s="1">
        <v>0.98099999999999998</v>
      </c>
      <c r="AB86" s="1">
        <v>15.3</v>
      </c>
      <c r="AC86" s="1">
        <v>1.3</v>
      </c>
      <c r="AD86" s="1">
        <v>0.06</v>
      </c>
      <c r="AE86" s="1">
        <v>0.27</v>
      </c>
      <c r="AF86" s="1">
        <v>1.36</v>
      </c>
      <c r="AG86" s="1"/>
      <c r="AH86" s="1" t="s">
        <v>397</v>
      </c>
      <c r="AI86" s="1">
        <v>5</v>
      </c>
      <c r="AJ86" s="1" t="s">
        <v>390</v>
      </c>
      <c r="AK86" s="1">
        <v>9</v>
      </c>
      <c r="AL86" s="1">
        <v>88.228499999999997</v>
      </c>
      <c r="AM86" s="1" t="s">
        <v>388</v>
      </c>
      <c r="AN86" s="1"/>
      <c r="AO86" s="1"/>
      <c r="AP86" s="1"/>
      <c r="AQ86" s="1"/>
      <c r="AR86" s="1"/>
      <c r="AS86" s="1"/>
      <c r="AT86" s="1"/>
    </row>
    <row r="87" spans="1:46">
      <c r="A87" s="1" t="s">
        <v>398</v>
      </c>
      <c r="B87" s="1">
        <v>58</v>
      </c>
      <c r="C87" s="1" t="s">
        <v>398</v>
      </c>
      <c r="D87" s="1" t="s">
        <v>399</v>
      </c>
      <c r="E87" s="1" t="s">
        <v>47</v>
      </c>
      <c r="F87" s="1" t="s">
        <v>378</v>
      </c>
      <c r="G87" s="1" t="s">
        <v>49</v>
      </c>
      <c r="H87" s="2" t="s">
        <v>379</v>
      </c>
      <c r="I87" s="1">
        <v>24</v>
      </c>
      <c r="J87" s="1">
        <v>0.2</v>
      </c>
      <c r="K87" s="1" t="s">
        <v>150</v>
      </c>
      <c r="L87" s="1" t="s">
        <v>78</v>
      </c>
      <c r="M87" s="1">
        <v>22.17</v>
      </c>
      <c r="N87" s="1">
        <v>25</v>
      </c>
      <c r="O87" s="1">
        <v>67.594700000000003</v>
      </c>
      <c r="P87" s="1">
        <v>-164.52366000000001</v>
      </c>
      <c r="Q87" s="1">
        <v>-1.365</v>
      </c>
      <c r="R87" s="1">
        <v>31.689499999999999</v>
      </c>
      <c r="S87" s="1">
        <v>380.88200000000001</v>
      </c>
      <c r="T87" s="1"/>
      <c r="U87" s="1"/>
      <c r="V87" s="1"/>
      <c r="W87" s="3">
        <v>2.9521000000000002</v>
      </c>
      <c r="X87" s="1" t="s">
        <v>400</v>
      </c>
      <c r="Y87" s="1">
        <v>3.47</v>
      </c>
      <c r="Z87" s="1">
        <v>0.16</v>
      </c>
      <c r="AA87" s="1">
        <v>1.036</v>
      </c>
      <c r="AB87" s="1">
        <v>16.8</v>
      </c>
      <c r="AC87" s="1">
        <v>1.6</v>
      </c>
      <c r="AD87" s="1">
        <v>7.0000000000000007E-2</v>
      </c>
      <c r="AE87" s="1">
        <v>0.28999999999999998</v>
      </c>
      <c r="AF87" s="1">
        <v>1.67</v>
      </c>
      <c r="AG87" s="1"/>
      <c r="AH87" s="1" t="s">
        <v>401</v>
      </c>
      <c r="AI87" s="1">
        <v>2</v>
      </c>
      <c r="AJ87" s="1" t="s">
        <v>402</v>
      </c>
      <c r="AK87" s="1">
        <v>9</v>
      </c>
      <c r="AL87" s="1">
        <v>83.5471</v>
      </c>
      <c r="AM87" s="1" t="s">
        <v>400</v>
      </c>
      <c r="AN87" s="1"/>
      <c r="AO87" s="1"/>
      <c r="AP87" s="1"/>
      <c r="AQ87" s="1"/>
      <c r="AR87" s="1"/>
      <c r="AS87" s="1"/>
      <c r="AT87" s="1"/>
    </row>
    <row r="88" spans="1:46">
      <c r="A88" s="1" t="s">
        <v>403</v>
      </c>
      <c r="B88" s="1">
        <v>61</v>
      </c>
      <c r="C88" s="1" t="s">
        <v>403</v>
      </c>
      <c r="D88" s="1" t="s">
        <v>404</v>
      </c>
      <c r="E88" s="1" t="s">
        <v>47</v>
      </c>
      <c r="F88" s="1" t="s">
        <v>378</v>
      </c>
      <c r="G88" s="1" t="s">
        <v>49</v>
      </c>
      <c r="H88" s="2" t="s">
        <v>379</v>
      </c>
      <c r="I88" s="1">
        <v>24</v>
      </c>
      <c r="J88" s="1">
        <v>3</v>
      </c>
      <c r="K88" s="1" t="s">
        <v>150</v>
      </c>
      <c r="L88" s="1" t="s">
        <v>78</v>
      </c>
      <c r="M88" s="1">
        <v>22.17</v>
      </c>
      <c r="N88" s="1">
        <v>25</v>
      </c>
      <c r="O88" s="1">
        <v>67.594700000000003</v>
      </c>
      <c r="P88" s="1">
        <v>-164.52366000000001</v>
      </c>
      <c r="Q88" s="1">
        <v>-1.365</v>
      </c>
      <c r="R88" s="1">
        <v>31.689499999999999</v>
      </c>
      <c r="S88" s="1">
        <v>380.88200000000001</v>
      </c>
      <c r="T88" s="1"/>
      <c r="U88" s="1"/>
      <c r="V88" s="1"/>
      <c r="W88" s="3">
        <v>2.9521000000000002</v>
      </c>
      <c r="X88" s="1" t="s">
        <v>400</v>
      </c>
      <c r="Y88" s="1">
        <v>3.47</v>
      </c>
      <c r="Z88" s="1">
        <v>0.16</v>
      </c>
      <c r="AA88" s="1">
        <v>1.036</v>
      </c>
      <c r="AB88" s="1">
        <v>16.8</v>
      </c>
      <c r="AC88" s="1">
        <v>1.6</v>
      </c>
      <c r="AD88" s="1">
        <v>7.0000000000000007E-2</v>
      </c>
      <c r="AE88" s="1">
        <v>0.28999999999999998</v>
      </c>
      <c r="AF88" s="1">
        <v>1.67</v>
      </c>
      <c r="AG88" s="1"/>
      <c r="AH88" s="1" t="s">
        <v>405</v>
      </c>
      <c r="AI88" s="1">
        <v>2</v>
      </c>
      <c r="AJ88" s="1" t="s">
        <v>402</v>
      </c>
      <c r="AK88" s="1">
        <v>9</v>
      </c>
      <c r="AL88" s="1">
        <v>83.5471</v>
      </c>
      <c r="AM88" s="1" t="s">
        <v>400</v>
      </c>
      <c r="AN88" s="1"/>
      <c r="AO88" s="1"/>
      <c r="AP88" s="1"/>
      <c r="AQ88" s="1"/>
      <c r="AR88" s="1"/>
      <c r="AS88" s="1"/>
      <c r="AT88" s="1"/>
    </row>
    <row r="89" spans="1:46">
      <c r="A89" s="1" t="s">
        <v>406</v>
      </c>
      <c r="B89" s="1">
        <v>64</v>
      </c>
      <c r="C89" s="1" t="s">
        <v>406</v>
      </c>
      <c r="D89" s="1" t="s">
        <v>407</v>
      </c>
      <c r="E89" s="1" t="s">
        <v>47</v>
      </c>
      <c r="F89" s="1" t="s">
        <v>378</v>
      </c>
      <c r="G89" s="1" t="s">
        <v>49</v>
      </c>
      <c r="H89" s="2" t="s">
        <v>379</v>
      </c>
      <c r="I89" s="1">
        <v>24</v>
      </c>
      <c r="J89" s="1">
        <v>20</v>
      </c>
      <c r="K89" s="1" t="s">
        <v>150</v>
      </c>
      <c r="L89" s="1" t="s">
        <v>78</v>
      </c>
      <c r="M89" s="1">
        <v>22.17</v>
      </c>
      <c r="N89" s="1">
        <v>25</v>
      </c>
      <c r="O89" s="1">
        <v>67.594700000000003</v>
      </c>
      <c r="P89" s="1">
        <v>-164.52366000000001</v>
      </c>
      <c r="Q89" s="1">
        <v>-1.365</v>
      </c>
      <c r="R89" s="1">
        <v>31.689499999999999</v>
      </c>
      <c r="S89" s="1">
        <v>380.88200000000001</v>
      </c>
      <c r="T89" s="1"/>
      <c r="U89" s="1"/>
      <c r="V89" s="1"/>
      <c r="W89" s="3">
        <v>2.9521000000000002</v>
      </c>
      <c r="X89" s="1" t="s">
        <v>400</v>
      </c>
      <c r="Y89" s="1">
        <v>3.47</v>
      </c>
      <c r="Z89" s="1">
        <v>0.16</v>
      </c>
      <c r="AA89" s="1">
        <v>1.036</v>
      </c>
      <c r="AB89" s="1">
        <v>16.8</v>
      </c>
      <c r="AC89" s="1">
        <v>1.6</v>
      </c>
      <c r="AD89" s="1">
        <v>7.0000000000000007E-2</v>
      </c>
      <c r="AE89" s="1">
        <v>0.28999999999999998</v>
      </c>
      <c r="AF89" s="1">
        <v>1.67</v>
      </c>
      <c r="AG89" s="1"/>
      <c r="AH89" s="1" t="s">
        <v>408</v>
      </c>
      <c r="AI89" s="1">
        <v>2</v>
      </c>
      <c r="AJ89" s="1" t="s">
        <v>402</v>
      </c>
      <c r="AK89" s="1">
        <v>9</v>
      </c>
      <c r="AL89" s="1">
        <v>83.5471</v>
      </c>
      <c r="AM89" s="1" t="s">
        <v>400</v>
      </c>
      <c r="AN89" s="1"/>
      <c r="AO89" s="1"/>
      <c r="AP89" s="1"/>
      <c r="AQ89" s="1"/>
      <c r="AR89" s="1"/>
      <c r="AS89" s="1"/>
      <c r="AT89" s="1"/>
    </row>
    <row r="90" spans="1:46">
      <c r="A90" s="1" t="s">
        <v>409</v>
      </c>
      <c r="B90" s="1">
        <v>39</v>
      </c>
      <c r="C90" s="1" t="s">
        <v>409</v>
      </c>
      <c r="D90" s="1" t="s">
        <v>410</v>
      </c>
      <c r="E90" s="1" t="s">
        <v>47</v>
      </c>
      <c r="F90" s="1" t="s">
        <v>411</v>
      </c>
      <c r="G90" s="1" t="s">
        <v>49</v>
      </c>
      <c r="H90" s="2" t="s">
        <v>412</v>
      </c>
      <c r="I90" s="1">
        <v>22</v>
      </c>
      <c r="J90" s="1">
        <v>0.2</v>
      </c>
      <c r="K90" s="1" t="s">
        <v>52</v>
      </c>
      <c r="L90" s="1" t="s">
        <v>52</v>
      </c>
      <c r="M90" s="1">
        <v>2.65</v>
      </c>
      <c r="N90" s="1">
        <v>35.5</v>
      </c>
      <c r="O90" s="1">
        <v>67.538960000000003</v>
      </c>
      <c r="P90" s="1">
        <v>-164.87996000000001</v>
      </c>
      <c r="Q90" s="1">
        <v>5.1615000000000002</v>
      </c>
      <c r="R90" s="1">
        <v>31.408999999999999</v>
      </c>
      <c r="S90" s="1">
        <v>340.73</v>
      </c>
      <c r="T90" s="1">
        <v>122.34</v>
      </c>
      <c r="U90" s="1">
        <v>20.36</v>
      </c>
      <c r="V90" s="1">
        <v>2360</v>
      </c>
      <c r="W90" s="3">
        <v>0.18859999999999999</v>
      </c>
      <c r="X90" s="1" t="s">
        <v>413</v>
      </c>
      <c r="Y90" s="1">
        <v>0.09</v>
      </c>
      <c r="Z90" s="1">
        <v>0.15</v>
      </c>
      <c r="AA90" s="1">
        <v>0.42</v>
      </c>
      <c r="AB90" s="1">
        <v>5</v>
      </c>
      <c r="AC90" s="1">
        <v>0.1</v>
      </c>
      <c r="AD90" s="1">
        <v>0</v>
      </c>
      <c r="AE90" s="1">
        <v>7.0000000000000007E-2</v>
      </c>
      <c r="AF90" s="1">
        <v>0.1</v>
      </c>
      <c r="AG90" s="1"/>
      <c r="AH90" s="1" t="s">
        <v>414</v>
      </c>
      <c r="AI90" s="1">
        <v>20</v>
      </c>
      <c r="AJ90" s="1" t="s">
        <v>415</v>
      </c>
      <c r="AK90" s="1">
        <v>8</v>
      </c>
      <c r="AL90" s="1">
        <v>92.324200000000005</v>
      </c>
      <c r="AM90" s="1" t="s">
        <v>413</v>
      </c>
      <c r="AN90" s="1">
        <v>6.0088408644400797</v>
      </c>
      <c r="AO90" s="1">
        <v>0.90699484746265302</v>
      </c>
      <c r="AP90" s="1"/>
      <c r="AQ90" s="1"/>
      <c r="AR90" s="1"/>
      <c r="AS90" s="1" t="s">
        <v>416</v>
      </c>
      <c r="AT90" s="1"/>
    </row>
    <row r="91" spans="1:46">
      <c r="A91" s="1" t="s">
        <v>417</v>
      </c>
      <c r="B91" s="1">
        <v>42</v>
      </c>
      <c r="C91" s="1" t="s">
        <v>417</v>
      </c>
      <c r="D91" s="1" t="s">
        <v>418</v>
      </c>
      <c r="E91" s="1" t="s">
        <v>47</v>
      </c>
      <c r="F91" s="1" t="s">
        <v>411</v>
      </c>
      <c r="G91" s="1" t="s">
        <v>49</v>
      </c>
      <c r="H91" s="2" t="s">
        <v>412</v>
      </c>
      <c r="I91" s="1">
        <v>22</v>
      </c>
      <c r="J91" s="1">
        <v>3</v>
      </c>
      <c r="K91" s="1" t="s">
        <v>52</v>
      </c>
      <c r="L91" s="1" t="s">
        <v>52</v>
      </c>
      <c r="M91" s="1">
        <v>2.65</v>
      </c>
      <c r="N91" s="1">
        <v>35.5</v>
      </c>
      <c r="O91" s="1">
        <v>67.538960000000003</v>
      </c>
      <c r="P91" s="1">
        <v>-164.87996000000001</v>
      </c>
      <c r="Q91" s="1">
        <v>5.1615000000000002</v>
      </c>
      <c r="R91" s="1">
        <v>31.408999999999999</v>
      </c>
      <c r="S91" s="1">
        <v>340.73</v>
      </c>
      <c r="T91" s="1">
        <v>122.34</v>
      </c>
      <c r="U91" s="1">
        <v>20.36</v>
      </c>
      <c r="V91" s="1">
        <v>2360</v>
      </c>
      <c r="W91" s="3">
        <v>0.18859999999999999</v>
      </c>
      <c r="X91" s="1" t="s">
        <v>413</v>
      </c>
      <c r="Y91" s="1">
        <v>0.09</v>
      </c>
      <c r="Z91" s="1">
        <v>0.15</v>
      </c>
      <c r="AA91" s="1">
        <v>0.42</v>
      </c>
      <c r="AB91" s="1">
        <v>5</v>
      </c>
      <c r="AC91" s="1">
        <v>0.1</v>
      </c>
      <c r="AD91" s="1">
        <v>0</v>
      </c>
      <c r="AE91" s="1">
        <v>7.0000000000000007E-2</v>
      </c>
      <c r="AF91" s="1">
        <v>0.1</v>
      </c>
      <c r="AG91" s="1"/>
      <c r="AH91" s="1" t="s">
        <v>419</v>
      </c>
      <c r="AI91" s="1">
        <v>20</v>
      </c>
      <c r="AJ91" s="1" t="s">
        <v>415</v>
      </c>
      <c r="AK91" s="1">
        <v>8</v>
      </c>
      <c r="AL91" s="1">
        <v>92.324200000000005</v>
      </c>
      <c r="AM91" s="1" t="s">
        <v>413</v>
      </c>
      <c r="AN91" s="1">
        <v>6.0088408644400797</v>
      </c>
      <c r="AO91" s="1">
        <v>0.90699484746265302</v>
      </c>
      <c r="AP91" s="1"/>
      <c r="AQ91" s="1"/>
      <c r="AR91" s="1"/>
      <c r="AS91" s="1"/>
      <c r="AT91" s="1"/>
    </row>
    <row r="92" spans="1:46">
      <c r="A92" s="1" t="s">
        <v>420</v>
      </c>
      <c r="B92" s="1">
        <v>45</v>
      </c>
      <c r="C92" s="1" t="s">
        <v>420</v>
      </c>
      <c r="D92" s="1" t="s">
        <v>421</v>
      </c>
      <c r="E92" s="1" t="s">
        <v>47</v>
      </c>
      <c r="F92" s="1" t="s">
        <v>411</v>
      </c>
      <c r="G92" s="1" t="s">
        <v>49</v>
      </c>
      <c r="H92" s="2" t="s">
        <v>412</v>
      </c>
      <c r="I92" s="1">
        <v>22</v>
      </c>
      <c r="J92" s="1">
        <v>20</v>
      </c>
      <c r="K92" s="1" t="s">
        <v>52</v>
      </c>
      <c r="L92" s="1" t="s">
        <v>52</v>
      </c>
      <c r="M92" s="1">
        <v>2.65</v>
      </c>
      <c r="N92" s="1">
        <v>35.5</v>
      </c>
      <c r="O92" s="1">
        <v>67.538960000000003</v>
      </c>
      <c r="P92" s="1">
        <v>-164.87996000000001</v>
      </c>
      <c r="Q92" s="1">
        <v>5.1615000000000002</v>
      </c>
      <c r="R92" s="1">
        <v>31.408999999999999</v>
      </c>
      <c r="S92" s="1">
        <v>340.73</v>
      </c>
      <c r="T92" s="1">
        <v>122.34</v>
      </c>
      <c r="U92" s="1">
        <v>20.36</v>
      </c>
      <c r="V92" s="1">
        <v>2360</v>
      </c>
      <c r="W92" s="3">
        <v>0.18859999999999999</v>
      </c>
      <c r="X92" s="1" t="s">
        <v>413</v>
      </c>
      <c r="Y92" s="1">
        <v>0.09</v>
      </c>
      <c r="Z92" s="1">
        <v>0.15</v>
      </c>
      <c r="AA92" s="1">
        <v>0.42</v>
      </c>
      <c r="AB92" s="1">
        <v>5</v>
      </c>
      <c r="AC92" s="1">
        <v>0.1</v>
      </c>
      <c r="AD92" s="1">
        <v>0</v>
      </c>
      <c r="AE92" s="1">
        <v>7.0000000000000007E-2</v>
      </c>
      <c r="AF92" s="1">
        <v>0.1</v>
      </c>
      <c r="AG92" s="1"/>
      <c r="AH92" s="1" t="s">
        <v>422</v>
      </c>
      <c r="AI92" s="1">
        <v>20</v>
      </c>
      <c r="AJ92" s="1" t="s">
        <v>415</v>
      </c>
      <c r="AK92" s="1">
        <v>8</v>
      </c>
      <c r="AL92" s="1">
        <v>92.324200000000005</v>
      </c>
      <c r="AM92" s="1" t="s">
        <v>413</v>
      </c>
      <c r="AN92" s="1">
        <v>6.0088408644400797</v>
      </c>
      <c r="AO92" s="1">
        <v>0.90699484746265302</v>
      </c>
      <c r="AP92" s="1"/>
      <c r="AQ92" s="1"/>
      <c r="AR92" s="1"/>
      <c r="AS92" s="1"/>
      <c r="AT92" s="1"/>
    </row>
    <row r="93" spans="1:46">
      <c r="A93" s="1" t="s">
        <v>423</v>
      </c>
      <c r="B93" s="1">
        <v>41</v>
      </c>
      <c r="C93" s="1" t="s">
        <v>423</v>
      </c>
      <c r="D93" s="1" t="s">
        <v>424</v>
      </c>
      <c r="E93" s="1" t="s">
        <v>47</v>
      </c>
      <c r="F93" s="1" t="s">
        <v>411</v>
      </c>
      <c r="G93" s="1" t="s">
        <v>49</v>
      </c>
      <c r="H93" s="2" t="s">
        <v>412</v>
      </c>
      <c r="I93" s="1">
        <v>22</v>
      </c>
      <c r="J93" s="1">
        <v>0.2</v>
      </c>
      <c r="K93" s="1" t="s">
        <v>425</v>
      </c>
      <c r="L93" s="1" t="s">
        <v>65</v>
      </c>
      <c r="M93" s="1">
        <v>15.38</v>
      </c>
      <c r="N93" s="1">
        <v>35.5</v>
      </c>
      <c r="O93" s="1">
        <v>67.538939999999997</v>
      </c>
      <c r="P93" s="1">
        <v>-164.87996000000001</v>
      </c>
      <c r="Q93" s="1">
        <v>4.1115000000000004</v>
      </c>
      <c r="R93" s="1">
        <v>31.494</v>
      </c>
      <c r="S93" s="1">
        <v>352.40100000000001</v>
      </c>
      <c r="T93" s="1"/>
      <c r="U93" s="1"/>
      <c r="V93" s="1"/>
      <c r="W93" s="3">
        <v>0.17419999999999999</v>
      </c>
      <c r="X93" s="1" t="s">
        <v>426</v>
      </c>
      <c r="Y93" s="1">
        <v>0.14000000000000001</v>
      </c>
      <c r="Z93" s="1">
        <v>0.06</v>
      </c>
      <c r="AA93" s="1">
        <v>0.39700000000000002</v>
      </c>
      <c r="AB93" s="1">
        <v>1.6</v>
      </c>
      <c r="AC93" s="1">
        <v>0</v>
      </c>
      <c r="AD93" s="1">
        <v>0</v>
      </c>
      <c r="AE93" s="1">
        <v>0</v>
      </c>
      <c r="AF93" s="1">
        <v>0</v>
      </c>
      <c r="AG93" s="1"/>
      <c r="AH93" s="1" t="s">
        <v>427</v>
      </c>
      <c r="AI93" s="1">
        <v>8</v>
      </c>
      <c r="AJ93" s="1" t="s">
        <v>428</v>
      </c>
      <c r="AK93" s="1">
        <v>8</v>
      </c>
      <c r="AL93" s="1">
        <v>92.494900000000001</v>
      </c>
      <c r="AM93" s="1" t="s">
        <v>426</v>
      </c>
      <c r="AN93" s="1"/>
      <c r="AO93" s="1"/>
      <c r="AP93" s="1"/>
      <c r="AQ93" s="1"/>
      <c r="AR93" s="1"/>
      <c r="AS93" s="1"/>
      <c r="AT93" s="1"/>
    </row>
    <row r="94" spans="1:46">
      <c r="A94" s="1" t="s">
        <v>429</v>
      </c>
      <c r="B94" s="1">
        <v>43</v>
      </c>
      <c r="C94" s="1" t="s">
        <v>429</v>
      </c>
      <c r="D94" s="1" t="s">
        <v>430</v>
      </c>
      <c r="E94" s="1" t="s">
        <v>47</v>
      </c>
      <c r="F94" s="1" t="s">
        <v>411</v>
      </c>
      <c r="G94" s="1" t="s">
        <v>49</v>
      </c>
      <c r="H94" s="2" t="s">
        <v>412</v>
      </c>
      <c r="I94" s="1">
        <v>22</v>
      </c>
      <c r="J94" s="1">
        <v>3</v>
      </c>
      <c r="K94" s="1" t="s">
        <v>425</v>
      </c>
      <c r="L94" s="1" t="s">
        <v>65</v>
      </c>
      <c r="M94" s="1">
        <v>15.38</v>
      </c>
      <c r="N94" s="1">
        <v>35.5</v>
      </c>
      <c r="O94" s="1">
        <v>67.538939999999997</v>
      </c>
      <c r="P94" s="1">
        <v>-164.87996000000001</v>
      </c>
      <c r="Q94" s="1">
        <v>4.1115000000000004</v>
      </c>
      <c r="R94" s="1">
        <v>31.494</v>
      </c>
      <c r="S94" s="1">
        <v>352.40100000000001</v>
      </c>
      <c r="T94" s="1"/>
      <c r="U94" s="1"/>
      <c r="V94" s="1"/>
      <c r="W94" s="3">
        <v>0.17419999999999999</v>
      </c>
      <c r="X94" s="1" t="s">
        <v>426</v>
      </c>
      <c r="Y94" s="1">
        <v>0.14000000000000001</v>
      </c>
      <c r="Z94" s="1">
        <v>0.06</v>
      </c>
      <c r="AA94" s="1">
        <v>0.39700000000000002</v>
      </c>
      <c r="AB94" s="1">
        <v>1.6</v>
      </c>
      <c r="AC94" s="1">
        <v>0</v>
      </c>
      <c r="AD94" s="1">
        <v>0</v>
      </c>
      <c r="AE94" s="1">
        <v>0</v>
      </c>
      <c r="AF94" s="1">
        <v>0</v>
      </c>
      <c r="AG94" s="1"/>
      <c r="AH94" s="1" t="s">
        <v>431</v>
      </c>
      <c r="AI94" s="1">
        <v>8</v>
      </c>
      <c r="AJ94" s="1" t="s">
        <v>428</v>
      </c>
      <c r="AK94" s="1">
        <v>8</v>
      </c>
      <c r="AL94" s="1">
        <v>92.494900000000001</v>
      </c>
      <c r="AM94" s="1" t="s">
        <v>426</v>
      </c>
      <c r="AN94" s="1"/>
      <c r="AO94" s="1"/>
      <c r="AP94" s="1"/>
      <c r="AQ94" s="1"/>
      <c r="AR94" s="1"/>
      <c r="AS94" s="1"/>
      <c r="AT94" s="1"/>
    </row>
    <row r="95" spans="1:46">
      <c r="A95" s="1" t="s">
        <v>432</v>
      </c>
      <c r="B95" s="1">
        <v>46</v>
      </c>
      <c r="C95" s="1" t="s">
        <v>432</v>
      </c>
      <c r="D95" s="1" t="s">
        <v>433</v>
      </c>
      <c r="E95" s="1" t="s">
        <v>47</v>
      </c>
      <c r="F95" s="1" t="s">
        <v>411</v>
      </c>
      <c r="G95" s="1" t="s">
        <v>49</v>
      </c>
      <c r="H95" s="2" t="s">
        <v>412</v>
      </c>
      <c r="I95" s="1">
        <v>22</v>
      </c>
      <c r="J95" s="1">
        <v>20</v>
      </c>
      <c r="K95" s="1" t="s">
        <v>425</v>
      </c>
      <c r="L95" s="1" t="s">
        <v>65</v>
      </c>
      <c r="M95" s="1">
        <v>15.38</v>
      </c>
      <c r="N95" s="1">
        <v>35.5</v>
      </c>
      <c r="O95" s="1">
        <v>67.538939999999997</v>
      </c>
      <c r="P95" s="1">
        <v>-164.87996000000001</v>
      </c>
      <c r="Q95" s="1">
        <v>4.1115000000000004</v>
      </c>
      <c r="R95" s="1">
        <v>31.494</v>
      </c>
      <c r="S95" s="1">
        <v>352.40100000000001</v>
      </c>
      <c r="T95" s="1"/>
      <c r="U95" s="1"/>
      <c r="V95" s="1"/>
      <c r="W95" s="3">
        <v>0.17419999999999999</v>
      </c>
      <c r="X95" s="1" t="s">
        <v>426</v>
      </c>
      <c r="Y95" s="1">
        <v>0.14000000000000001</v>
      </c>
      <c r="Z95" s="1">
        <v>0.06</v>
      </c>
      <c r="AA95" s="1">
        <v>0.39700000000000002</v>
      </c>
      <c r="AB95" s="1">
        <v>1.6</v>
      </c>
      <c r="AC95" s="1">
        <v>0</v>
      </c>
      <c r="AD95" s="1">
        <v>0</v>
      </c>
      <c r="AE95" s="1">
        <v>0</v>
      </c>
      <c r="AF95" s="1">
        <v>0</v>
      </c>
      <c r="AG95" s="1"/>
      <c r="AH95" s="1" t="s">
        <v>434</v>
      </c>
      <c r="AI95" s="1">
        <v>8</v>
      </c>
      <c r="AJ95" s="1" t="s">
        <v>428</v>
      </c>
      <c r="AK95" s="1">
        <v>8</v>
      </c>
      <c r="AL95" s="1">
        <v>92.494900000000001</v>
      </c>
      <c r="AM95" s="1" t="s">
        <v>426</v>
      </c>
      <c r="AN95" s="1"/>
      <c r="AO95" s="1"/>
      <c r="AP95" s="1"/>
      <c r="AQ95" s="1"/>
      <c r="AR95" s="1"/>
      <c r="AS95" s="1"/>
      <c r="AT95" s="1"/>
    </row>
    <row r="96" spans="1:46">
      <c r="A96" s="1" t="s">
        <v>435</v>
      </c>
      <c r="B96" s="1">
        <v>40</v>
      </c>
      <c r="C96" s="1" t="s">
        <v>435</v>
      </c>
      <c r="D96" s="1" t="s">
        <v>436</v>
      </c>
      <c r="E96" s="1" t="s">
        <v>47</v>
      </c>
      <c r="F96" s="1" t="s">
        <v>411</v>
      </c>
      <c r="G96" s="1" t="s">
        <v>49</v>
      </c>
      <c r="H96" s="2" t="s">
        <v>412</v>
      </c>
      <c r="I96" s="1">
        <v>22</v>
      </c>
      <c r="J96" s="1">
        <v>0.2</v>
      </c>
      <c r="K96" s="1" t="s">
        <v>261</v>
      </c>
      <c r="L96" s="1" t="s">
        <v>78</v>
      </c>
      <c r="M96" s="1">
        <v>32.67</v>
      </c>
      <c r="N96" s="1">
        <v>35.5</v>
      </c>
      <c r="O96" s="1">
        <v>67.538939999999997</v>
      </c>
      <c r="P96" s="1">
        <v>-164.87996000000001</v>
      </c>
      <c r="Q96" s="1">
        <v>-1.2235</v>
      </c>
      <c r="R96" s="1">
        <v>31.719000000000001</v>
      </c>
      <c r="S96" s="1">
        <v>385.79399999999998</v>
      </c>
      <c r="T96" s="1">
        <v>158.06</v>
      </c>
      <c r="U96" s="1">
        <v>26.42</v>
      </c>
      <c r="V96" s="1">
        <v>1780</v>
      </c>
      <c r="W96" s="3">
        <v>7.8266999999999998</v>
      </c>
      <c r="X96" s="1" t="s">
        <v>437</v>
      </c>
      <c r="Y96" s="1">
        <v>1.53</v>
      </c>
      <c r="Z96" s="1">
        <v>0.24</v>
      </c>
      <c r="AA96" s="1">
        <v>0.99299999999999999</v>
      </c>
      <c r="AB96" s="1">
        <v>11.8</v>
      </c>
      <c r="AC96" s="1">
        <v>2</v>
      </c>
      <c r="AD96" s="1">
        <v>0.08</v>
      </c>
      <c r="AE96" s="1">
        <v>0.46</v>
      </c>
      <c r="AF96" s="1">
        <v>2.08</v>
      </c>
      <c r="AG96" s="1"/>
      <c r="AH96" s="1" t="s">
        <v>438</v>
      </c>
      <c r="AI96" s="1">
        <v>2</v>
      </c>
      <c r="AJ96" s="1" t="s">
        <v>439</v>
      </c>
      <c r="AK96" s="1">
        <v>8</v>
      </c>
      <c r="AL96" s="1">
        <v>70.034300000000002</v>
      </c>
      <c r="AM96" s="1" t="s">
        <v>437</v>
      </c>
      <c r="AN96" s="1">
        <v>5.9825889477668399</v>
      </c>
      <c r="AO96" s="1">
        <v>0.90303229400254204</v>
      </c>
      <c r="AP96" s="1"/>
      <c r="AQ96" s="1"/>
      <c r="AR96" s="1"/>
      <c r="AS96" s="1"/>
      <c r="AT96" s="1"/>
    </row>
    <row r="97" spans="1:46">
      <c r="A97" s="1" t="s">
        <v>440</v>
      </c>
      <c r="B97" s="1">
        <v>44</v>
      </c>
      <c r="C97" s="1" t="s">
        <v>440</v>
      </c>
      <c r="D97" s="1" t="s">
        <v>441</v>
      </c>
      <c r="E97" s="1" t="s">
        <v>47</v>
      </c>
      <c r="F97" s="1" t="s">
        <v>411</v>
      </c>
      <c r="G97" s="1" t="s">
        <v>49</v>
      </c>
      <c r="H97" s="2" t="s">
        <v>412</v>
      </c>
      <c r="I97" s="1">
        <v>22</v>
      </c>
      <c r="J97" s="1">
        <v>3</v>
      </c>
      <c r="K97" s="1" t="s">
        <v>261</v>
      </c>
      <c r="L97" s="1" t="s">
        <v>78</v>
      </c>
      <c r="M97" s="1">
        <v>32.67</v>
      </c>
      <c r="N97" s="1">
        <v>35.5</v>
      </c>
      <c r="O97" s="1">
        <v>67.538939999999997</v>
      </c>
      <c r="P97" s="1">
        <v>-164.87996000000001</v>
      </c>
      <c r="Q97" s="1">
        <v>-1.2235</v>
      </c>
      <c r="R97" s="1">
        <v>31.719000000000001</v>
      </c>
      <c r="S97" s="1">
        <v>385.79399999999998</v>
      </c>
      <c r="T97" s="1">
        <v>158.06</v>
      </c>
      <c r="U97" s="1">
        <v>26.42</v>
      </c>
      <c r="V97" s="1">
        <v>1780</v>
      </c>
      <c r="W97" s="3">
        <v>7.8266999999999998</v>
      </c>
      <c r="X97" s="1" t="s">
        <v>437</v>
      </c>
      <c r="Y97" s="1">
        <v>1.53</v>
      </c>
      <c r="Z97" s="1">
        <v>0.24</v>
      </c>
      <c r="AA97" s="1">
        <v>0.99299999999999999</v>
      </c>
      <c r="AB97" s="1">
        <v>11.8</v>
      </c>
      <c r="AC97" s="1">
        <v>2</v>
      </c>
      <c r="AD97" s="1">
        <v>0.08</v>
      </c>
      <c r="AE97" s="1">
        <v>0.46</v>
      </c>
      <c r="AF97" s="1">
        <v>2.08</v>
      </c>
      <c r="AG97" s="1"/>
      <c r="AH97" s="1" t="s">
        <v>442</v>
      </c>
      <c r="AI97" s="1">
        <v>2</v>
      </c>
      <c r="AJ97" s="1" t="s">
        <v>439</v>
      </c>
      <c r="AK97" s="1">
        <v>8</v>
      </c>
      <c r="AL97" s="1">
        <v>70.034300000000002</v>
      </c>
      <c r="AM97" s="1" t="s">
        <v>437</v>
      </c>
      <c r="AN97" s="1">
        <v>5.9825889477668399</v>
      </c>
      <c r="AO97" s="1">
        <v>0.90303229400254204</v>
      </c>
      <c r="AP97" s="1"/>
      <c r="AQ97" s="1"/>
      <c r="AR97" s="1"/>
      <c r="AS97" s="1"/>
      <c r="AT97" s="1"/>
    </row>
    <row r="98" spans="1:46">
      <c r="A98" s="1" t="s">
        <v>443</v>
      </c>
      <c r="B98" s="1">
        <v>47</v>
      </c>
      <c r="C98" s="1" t="s">
        <v>443</v>
      </c>
      <c r="D98" s="1" t="s">
        <v>444</v>
      </c>
      <c r="E98" s="1" t="s">
        <v>47</v>
      </c>
      <c r="F98" s="1" t="s">
        <v>411</v>
      </c>
      <c r="G98" s="1" t="s">
        <v>49</v>
      </c>
      <c r="H98" s="2" t="s">
        <v>412</v>
      </c>
      <c r="I98" s="1">
        <v>22</v>
      </c>
      <c r="J98" s="1">
        <v>20</v>
      </c>
      <c r="K98" s="1" t="s">
        <v>261</v>
      </c>
      <c r="L98" s="1" t="s">
        <v>78</v>
      </c>
      <c r="M98" s="1">
        <v>32.67</v>
      </c>
      <c r="N98" s="1">
        <v>35.5</v>
      </c>
      <c r="O98" s="1">
        <v>67.538939999999997</v>
      </c>
      <c r="P98" s="1">
        <v>-164.87996000000001</v>
      </c>
      <c r="Q98" s="1">
        <v>-1.2235</v>
      </c>
      <c r="R98" s="1">
        <v>31.719000000000001</v>
      </c>
      <c r="S98" s="1">
        <v>385.79399999999998</v>
      </c>
      <c r="T98" s="1">
        <v>158.06</v>
      </c>
      <c r="U98" s="1">
        <v>26.42</v>
      </c>
      <c r="V98" s="1">
        <v>1780</v>
      </c>
      <c r="W98" s="3">
        <v>7.8266999999999998</v>
      </c>
      <c r="X98" s="1" t="s">
        <v>437</v>
      </c>
      <c r="Y98" s="1">
        <v>1.53</v>
      </c>
      <c r="Z98" s="1">
        <v>0.24</v>
      </c>
      <c r="AA98" s="1">
        <v>0.99299999999999999</v>
      </c>
      <c r="AB98" s="1">
        <v>11.8</v>
      </c>
      <c r="AC98" s="1">
        <v>2</v>
      </c>
      <c r="AD98" s="1">
        <v>0.08</v>
      </c>
      <c r="AE98" s="1">
        <v>0.46</v>
      </c>
      <c r="AF98" s="1">
        <v>2.08</v>
      </c>
      <c r="AG98" s="1"/>
      <c r="AH98" s="1" t="s">
        <v>445</v>
      </c>
      <c r="AI98" s="1">
        <v>2</v>
      </c>
      <c r="AJ98" s="1" t="s">
        <v>439</v>
      </c>
      <c r="AK98" s="1">
        <v>8</v>
      </c>
      <c r="AL98" s="1">
        <v>70.034300000000002</v>
      </c>
      <c r="AM98" s="1" t="s">
        <v>437</v>
      </c>
      <c r="AN98" s="1">
        <v>5.9825889477668399</v>
      </c>
      <c r="AO98" s="1">
        <v>0.90303229400254204</v>
      </c>
      <c r="AP98" s="1"/>
      <c r="AQ98" s="1"/>
      <c r="AR98" s="1"/>
      <c r="AS98" s="1"/>
      <c r="AT98" s="1"/>
    </row>
    <row r="99" spans="1:46">
      <c r="A99" s="1" t="s">
        <v>446</v>
      </c>
      <c r="B99" s="1">
        <v>247</v>
      </c>
      <c r="C99" s="1" t="s">
        <v>446</v>
      </c>
      <c r="D99" s="1" t="s">
        <v>447</v>
      </c>
      <c r="E99" s="1" t="s">
        <v>47</v>
      </c>
      <c r="F99" s="1" t="s">
        <v>448</v>
      </c>
      <c r="G99" s="1" t="s">
        <v>49</v>
      </c>
      <c r="H99" s="2"/>
      <c r="I99" s="1"/>
      <c r="J99" s="1">
        <v>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3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 t="s">
        <v>449</v>
      </c>
      <c r="AI99" s="1"/>
      <c r="AJ99" s="1"/>
      <c r="AK99" s="1">
        <v>1</v>
      </c>
      <c r="AL99" s="1"/>
      <c r="AM99" s="1"/>
      <c r="AN99" s="1"/>
      <c r="AO99" s="1"/>
      <c r="AP99" s="1"/>
      <c r="AQ99" s="1"/>
      <c r="AR99" s="1"/>
      <c r="AS99" s="1"/>
      <c r="AT99" s="1"/>
    </row>
    <row r="100" spans="1:46">
      <c r="A100" s="1" t="s">
        <v>450</v>
      </c>
      <c r="B100" s="1">
        <v>246</v>
      </c>
      <c r="C100" s="1" t="s">
        <v>450</v>
      </c>
      <c r="D100" s="1" t="s">
        <v>451</v>
      </c>
      <c r="E100" s="1" t="s">
        <v>47</v>
      </c>
      <c r="F100" s="1" t="s">
        <v>448</v>
      </c>
      <c r="G100" s="1" t="s">
        <v>49</v>
      </c>
      <c r="H100" s="2"/>
      <c r="I100" s="1"/>
      <c r="J100" s="1">
        <v>20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452</v>
      </c>
      <c r="AI100" s="1"/>
      <c r="AJ100" s="1"/>
      <c r="AK100" s="1">
        <v>1</v>
      </c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>
      <c r="A101" s="1" t="s">
        <v>453</v>
      </c>
      <c r="B101" s="1">
        <v>28</v>
      </c>
      <c r="C101" s="1" t="s">
        <v>453</v>
      </c>
      <c r="D101" s="1" t="s">
        <v>454</v>
      </c>
      <c r="E101" s="1" t="s">
        <v>47</v>
      </c>
      <c r="F101" s="1" t="s">
        <v>455</v>
      </c>
      <c r="G101" s="1" t="s">
        <v>456</v>
      </c>
      <c r="H101" s="2" t="s">
        <v>457</v>
      </c>
      <c r="I101" s="1">
        <v>13</v>
      </c>
      <c r="J101" s="1">
        <v>0.2</v>
      </c>
      <c r="K101" s="1" t="s">
        <v>52</v>
      </c>
      <c r="L101" s="1" t="s">
        <v>52</v>
      </c>
      <c r="M101" s="1">
        <v>3.89</v>
      </c>
      <c r="N101" s="1">
        <v>49</v>
      </c>
      <c r="O101" s="1">
        <v>64.145060000000001</v>
      </c>
      <c r="P101" s="1">
        <v>-171.8913</v>
      </c>
      <c r="Q101" s="1">
        <v>5.1275000000000004</v>
      </c>
      <c r="R101" s="1">
        <v>32.692999999999998</v>
      </c>
      <c r="S101" s="1">
        <v>322.55200000000002</v>
      </c>
      <c r="T101" s="1"/>
      <c r="U101" s="1"/>
      <c r="V101" s="1"/>
      <c r="W101" s="3">
        <v>0.24840000000000001</v>
      </c>
      <c r="X101" s="1" t="s">
        <v>458</v>
      </c>
      <c r="Y101" s="1"/>
      <c r="Z101" s="1"/>
      <c r="AA101" s="1">
        <v>0.56599999999999995</v>
      </c>
      <c r="AB101" s="1">
        <v>8</v>
      </c>
      <c r="AC101" s="1">
        <v>4.2</v>
      </c>
      <c r="AD101" s="1">
        <v>0.05</v>
      </c>
      <c r="AE101" s="1">
        <v>0.78</v>
      </c>
      <c r="AF101" s="1">
        <v>4.25</v>
      </c>
      <c r="AG101" s="1"/>
      <c r="AH101" s="1" t="s">
        <v>459</v>
      </c>
      <c r="AI101" s="1">
        <v>6</v>
      </c>
      <c r="AJ101" s="1" t="s">
        <v>458</v>
      </c>
      <c r="AK101" s="1">
        <v>1.3</v>
      </c>
      <c r="AL101" s="1">
        <v>89.534000000000006</v>
      </c>
      <c r="AM101" s="1" t="s">
        <v>458</v>
      </c>
      <c r="AN101" s="1"/>
      <c r="AO101" s="1"/>
      <c r="AP101" s="1"/>
      <c r="AQ101" s="1"/>
      <c r="AR101" s="1"/>
      <c r="AS101" s="1" t="s">
        <v>460</v>
      </c>
      <c r="AT101" s="1"/>
    </row>
    <row r="102" spans="1:46">
      <c r="A102" s="1" t="s">
        <v>461</v>
      </c>
      <c r="B102" s="1">
        <v>29</v>
      </c>
      <c r="C102" s="1" t="s">
        <v>461</v>
      </c>
      <c r="D102" s="1" t="s">
        <v>462</v>
      </c>
      <c r="E102" s="1" t="s">
        <v>47</v>
      </c>
      <c r="F102" s="1" t="s">
        <v>455</v>
      </c>
      <c r="G102" s="1" t="s">
        <v>456</v>
      </c>
      <c r="H102" s="2" t="s">
        <v>457</v>
      </c>
      <c r="I102" s="1">
        <v>13</v>
      </c>
      <c r="J102" s="1">
        <v>0.2</v>
      </c>
      <c r="K102" s="1" t="s">
        <v>150</v>
      </c>
      <c r="L102" s="1" t="s">
        <v>78</v>
      </c>
      <c r="M102" s="1">
        <v>45.81</v>
      </c>
      <c r="N102" s="1">
        <v>49</v>
      </c>
      <c r="O102" s="1">
        <v>64.145060000000001</v>
      </c>
      <c r="P102" s="1">
        <v>-171.89138</v>
      </c>
      <c r="Q102" s="1">
        <v>2.3069999999999999</v>
      </c>
      <c r="R102" s="1">
        <v>32.843499999999999</v>
      </c>
      <c r="S102" s="1">
        <v>312.35599999999999</v>
      </c>
      <c r="T102" s="1"/>
      <c r="U102" s="1"/>
      <c r="V102" s="1"/>
      <c r="W102" s="3">
        <v>0.1928</v>
      </c>
      <c r="X102" s="1" t="s">
        <v>463</v>
      </c>
      <c r="Y102" s="1"/>
      <c r="Z102" s="1"/>
      <c r="AA102" s="1">
        <v>1.708</v>
      </c>
      <c r="AB102" s="1">
        <v>27.8</v>
      </c>
      <c r="AC102" s="1">
        <v>17</v>
      </c>
      <c r="AD102" s="1">
        <v>0.19</v>
      </c>
      <c r="AE102" s="1">
        <v>1.99</v>
      </c>
      <c r="AF102" s="1">
        <v>17.190000000000001</v>
      </c>
      <c r="AG102" s="1"/>
      <c r="AH102" s="1" t="s">
        <v>464</v>
      </c>
      <c r="AI102" s="1">
        <v>1</v>
      </c>
      <c r="AJ102" s="1" t="s">
        <v>463</v>
      </c>
      <c r="AK102" s="1">
        <v>1.3</v>
      </c>
      <c r="AL102" s="1">
        <v>82.1755</v>
      </c>
      <c r="AM102" s="1" t="s">
        <v>463</v>
      </c>
      <c r="AN102" s="1"/>
      <c r="AO102" s="1"/>
      <c r="AP102" s="1"/>
      <c r="AQ102" s="1"/>
      <c r="AR102" s="1"/>
      <c r="AS102" s="1"/>
      <c r="AT102" s="1"/>
    </row>
    <row r="103" spans="1:46">
      <c r="A103" s="1" t="s">
        <v>465</v>
      </c>
      <c r="B103" s="1">
        <v>268</v>
      </c>
      <c r="C103" s="1" t="s">
        <v>465</v>
      </c>
      <c r="D103" s="1" t="s">
        <v>466</v>
      </c>
      <c r="E103" s="1" t="s">
        <v>47</v>
      </c>
      <c r="F103" s="1" t="s">
        <v>48</v>
      </c>
      <c r="G103" s="1" t="s">
        <v>456</v>
      </c>
      <c r="H103" s="2" t="s">
        <v>467</v>
      </c>
      <c r="I103" s="1">
        <v>160</v>
      </c>
      <c r="J103" s="1">
        <v>0.2</v>
      </c>
      <c r="K103" s="1" t="s">
        <v>52</v>
      </c>
      <c r="L103" s="1" t="s">
        <v>52</v>
      </c>
      <c r="M103" s="1">
        <v>3.86</v>
      </c>
      <c r="N103" s="1">
        <v>40</v>
      </c>
      <c r="O103" s="1">
        <v>63.295560000000002</v>
      </c>
      <c r="P103" s="1">
        <v>-168.45084</v>
      </c>
      <c r="Q103" s="1">
        <v>3.669</v>
      </c>
      <c r="R103" s="1">
        <v>32.0535</v>
      </c>
      <c r="S103" s="1">
        <v>332.07799999999997</v>
      </c>
      <c r="T103" s="1">
        <v>51.52</v>
      </c>
      <c r="U103" s="1">
        <v>44.84</v>
      </c>
      <c r="V103" s="1">
        <v>3620</v>
      </c>
      <c r="W103" s="3">
        <v>5.1014999999999997</v>
      </c>
      <c r="X103" s="1" t="s">
        <v>468</v>
      </c>
      <c r="Y103" s="1">
        <v>6.43</v>
      </c>
      <c r="Z103" s="1">
        <v>1.1399999999999999</v>
      </c>
      <c r="AA103" s="1">
        <v>1.006</v>
      </c>
      <c r="AB103" s="1">
        <v>4.5</v>
      </c>
      <c r="AC103" s="1">
        <v>3.8</v>
      </c>
      <c r="AD103" s="1">
        <v>0.09</v>
      </c>
      <c r="AE103" s="1">
        <v>1.1000000000000001</v>
      </c>
      <c r="AF103" s="1">
        <v>3.89</v>
      </c>
      <c r="AG103" s="1"/>
      <c r="AH103" s="1" t="s">
        <v>469</v>
      </c>
      <c r="AI103" s="1">
        <v>5</v>
      </c>
      <c r="AJ103" s="1" t="s">
        <v>468</v>
      </c>
      <c r="AK103" s="1">
        <v>1.8</v>
      </c>
      <c r="AL103" s="1">
        <v>79.691299999999998</v>
      </c>
      <c r="AM103" s="1" t="s">
        <v>468</v>
      </c>
      <c r="AN103" s="1">
        <v>1.14897413024086</v>
      </c>
      <c r="AO103" s="1">
        <v>0.17343005739484599</v>
      </c>
      <c r="AP103" s="1"/>
      <c r="AQ103" s="1"/>
      <c r="AR103" s="1"/>
      <c r="AS103" s="1"/>
      <c r="AT103" s="1"/>
    </row>
    <row r="104" spans="1:46">
      <c r="A104" s="1" t="s">
        <v>470</v>
      </c>
      <c r="B104" s="1">
        <v>269</v>
      </c>
      <c r="C104" s="1" t="s">
        <v>470</v>
      </c>
      <c r="D104" s="1" t="s">
        <v>471</v>
      </c>
      <c r="E104" s="1" t="s">
        <v>47</v>
      </c>
      <c r="F104" s="1" t="s">
        <v>48</v>
      </c>
      <c r="G104" s="1" t="s">
        <v>456</v>
      </c>
      <c r="H104" s="2" t="s">
        <v>467</v>
      </c>
      <c r="I104" s="1">
        <v>160</v>
      </c>
      <c r="J104" s="1">
        <v>0.2</v>
      </c>
      <c r="K104" s="1" t="s">
        <v>65</v>
      </c>
      <c r="L104" s="1" t="s">
        <v>65</v>
      </c>
      <c r="M104" s="1">
        <v>10.199999999999999</v>
      </c>
      <c r="N104" s="1">
        <v>40</v>
      </c>
      <c r="O104" s="1">
        <v>63.295560000000002</v>
      </c>
      <c r="P104" s="1">
        <v>-168.45084</v>
      </c>
      <c r="Q104" s="1">
        <v>1.1294999999999999</v>
      </c>
      <c r="R104" s="1">
        <v>32.3765</v>
      </c>
      <c r="S104" s="1">
        <v>313.77100000000002</v>
      </c>
      <c r="T104" s="1"/>
      <c r="U104" s="1"/>
      <c r="V104" s="1"/>
      <c r="W104" s="3">
        <v>5.4040999999999997</v>
      </c>
      <c r="X104" s="1" t="s">
        <v>472</v>
      </c>
      <c r="Y104" s="1">
        <v>8.89</v>
      </c>
      <c r="Z104" s="1">
        <v>1.25</v>
      </c>
      <c r="AA104" s="1">
        <v>1.3080000000000001</v>
      </c>
      <c r="AB104" s="1">
        <v>5.5</v>
      </c>
      <c r="AC104" s="1">
        <v>7.5</v>
      </c>
      <c r="AD104" s="1">
        <v>0.12</v>
      </c>
      <c r="AE104" s="1">
        <v>2.2200000000000002</v>
      </c>
      <c r="AF104" s="1">
        <v>7.62</v>
      </c>
      <c r="AG104" s="1"/>
      <c r="AH104" s="1" t="s">
        <v>473</v>
      </c>
      <c r="AI104" s="1">
        <v>4</v>
      </c>
      <c r="AJ104" s="1" t="s">
        <v>472</v>
      </c>
      <c r="AK104" s="1">
        <v>1.8</v>
      </c>
      <c r="AL104" s="1">
        <v>75.210999999999999</v>
      </c>
      <c r="AM104" s="1" t="s">
        <v>472</v>
      </c>
      <c r="AN104" s="1"/>
      <c r="AO104" s="1"/>
      <c r="AP104" s="1"/>
      <c r="AQ104" s="1"/>
      <c r="AR104" s="1"/>
      <c r="AS104" s="1"/>
      <c r="AT104" s="1"/>
    </row>
    <row r="105" spans="1:46">
      <c r="A105" s="1" t="s">
        <v>474</v>
      </c>
      <c r="B105" s="1">
        <v>270</v>
      </c>
      <c r="C105" s="1" t="s">
        <v>474</v>
      </c>
      <c r="D105" s="1" t="s">
        <v>475</v>
      </c>
      <c r="E105" s="1" t="s">
        <v>47</v>
      </c>
      <c r="F105" s="1" t="s">
        <v>48</v>
      </c>
      <c r="G105" s="1" t="s">
        <v>456</v>
      </c>
      <c r="H105" s="2" t="s">
        <v>467</v>
      </c>
      <c r="I105" s="1">
        <v>160</v>
      </c>
      <c r="J105" s="1">
        <v>0.2</v>
      </c>
      <c r="K105" s="1" t="s">
        <v>150</v>
      </c>
      <c r="L105" s="1" t="s">
        <v>78</v>
      </c>
      <c r="M105" s="1">
        <v>35.83</v>
      </c>
      <c r="N105" s="1">
        <v>40</v>
      </c>
      <c r="O105" s="1">
        <v>63.295560000000002</v>
      </c>
      <c r="P105" s="1">
        <v>-168.45084</v>
      </c>
      <c r="Q105" s="1">
        <v>0.63800000000000001</v>
      </c>
      <c r="R105" s="1">
        <v>32.418999999999997</v>
      </c>
      <c r="S105" s="1">
        <v>306.67700000000002</v>
      </c>
      <c r="T105" s="1">
        <v>473.46</v>
      </c>
      <c r="U105" s="1">
        <v>68.58</v>
      </c>
      <c r="V105" s="1">
        <v>8400.0000000000091</v>
      </c>
      <c r="W105" s="3">
        <v>6.1977000000000002</v>
      </c>
      <c r="X105" s="1" t="s">
        <v>476</v>
      </c>
      <c r="Y105" s="1">
        <v>10.220000000000001</v>
      </c>
      <c r="Z105" s="1">
        <v>1.86</v>
      </c>
      <c r="AA105" s="1">
        <v>1.4279999999999999</v>
      </c>
      <c r="AB105" s="1">
        <v>5.6</v>
      </c>
      <c r="AC105" s="1">
        <v>8.3000000000000007</v>
      </c>
      <c r="AD105" s="1">
        <v>0.13</v>
      </c>
      <c r="AE105" s="1">
        <v>2.7</v>
      </c>
      <c r="AF105" s="1">
        <v>8.43</v>
      </c>
      <c r="AG105" s="1"/>
      <c r="AH105" s="1" t="s">
        <v>477</v>
      </c>
      <c r="AI105" s="1">
        <v>1</v>
      </c>
      <c r="AJ105" s="1" t="s">
        <v>476</v>
      </c>
      <c r="AK105" s="1">
        <v>1.8</v>
      </c>
      <c r="AL105" s="1">
        <v>70.223600000000005</v>
      </c>
      <c r="AM105" s="1" t="s">
        <v>476</v>
      </c>
      <c r="AN105" s="1">
        <v>6.9037620297462796</v>
      </c>
      <c r="AO105" s="1">
        <v>1.04207728750887</v>
      </c>
      <c r="AP105" s="1"/>
      <c r="AQ105" s="1"/>
      <c r="AR105" s="1"/>
      <c r="AS105" s="1"/>
      <c r="AT105" s="1"/>
    </row>
    <row r="106" spans="1:46">
      <c r="A106" s="1" t="s">
        <v>478</v>
      </c>
      <c r="B106" s="1">
        <v>256</v>
      </c>
      <c r="C106" s="1" t="s">
        <v>478</v>
      </c>
      <c r="D106" s="1" t="s">
        <v>479</v>
      </c>
      <c r="E106" s="1" t="s">
        <v>47</v>
      </c>
      <c r="F106" s="1" t="s">
        <v>480</v>
      </c>
      <c r="G106" s="1" t="s">
        <v>456</v>
      </c>
      <c r="H106" s="2" t="s">
        <v>481</v>
      </c>
      <c r="I106" s="1">
        <v>151</v>
      </c>
      <c r="J106" s="1">
        <v>0.2</v>
      </c>
      <c r="K106" s="1" t="s">
        <v>52</v>
      </c>
      <c r="L106" s="1" t="s">
        <v>52</v>
      </c>
      <c r="M106" s="1">
        <v>3.55</v>
      </c>
      <c r="N106" s="1">
        <v>27</v>
      </c>
      <c r="O106" s="1">
        <v>64.525260000000003</v>
      </c>
      <c r="P106" s="1">
        <v>-166.87968000000001</v>
      </c>
      <c r="Q106" s="1">
        <v>8.7065000000000001</v>
      </c>
      <c r="R106" s="1">
        <v>30.890499999999999</v>
      </c>
      <c r="S106" s="1">
        <v>285.94400000000002</v>
      </c>
      <c r="T106" s="1">
        <v>130.91999999999999</v>
      </c>
      <c r="U106" s="1">
        <v>20.059999999999999</v>
      </c>
      <c r="V106" s="1">
        <v>2520.00000000001</v>
      </c>
      <c r="W106" s="3">
        <v>0.43609999999999999</v>
      </c>
      <c r="X106" s="1" t="s">
        <v>482</v>
      </c>
      <c r="Y106" s="1">
        <v>0.33</v>
      </c>
      <c r="Z106" s="1">
        <v>0.15</v>
      </c>
      <c r="AA106" s="1">
        <v>0.38100000000000001</v>
      </c>
      <c r="AB106" s="1">
        <v>2.4</v>
      </c>
      <c r="AC106" s="1">
        <v>0</v>
      </c>
      <c r="AD106" s="1">
        <v>0</v>
      </c>
      <c r="AE106" s="1">
        <v>0.08</v>
      </c>
      <c r="AF106" s="1">
        <v>0</v>
      </c>
      <c r="AG106" s="1"/>
      <c r="AH106" s="1" t="s">
        <v>483</v>
      </c>
      <c r="AI106" s="1">
        <v>3</v>
      </c>
      <c r="AJ106" s="1" t="s">
        <v>482</v>
      </c>
      <c r="AK106" s="1">
        <v>2</v>
      </c>
      <c r="AL106" s="1">
        <v>91.621300000000005</v>
      </c>
      <c r="AM106" s="1" t="s">
        <v>482</v>
      </c>
      <c r="AN106" s="1">
        <v>6.5264207377866397</v>
      </c>
      <c r="AO106" s="1">
        <v>0.985120111364021</v>
      </c>
      <c r="AP106" s="1"/>
      <c r="AQ106" s="1"/>
      <c r="AR106" s="1"/>
      <c r="AS106" s="1"/>
      <c r="AT106" s="1"/>
    </row>
    <row r="107" spans="1:46">
      <c r="A107" s="1" t="s">
        <v>484</v>
      </c>
      <c r="B107" s="1">
        <v>257</v>
      </c>
      <c r="C107" s="1" t="s">
        <v>484</v>
      </c>
      <c r="D107" s="1" t="s">
        <v>485</v>
      </c>
      <c r="E107" s="1" t="s">
        <v>47</v>
      </c>
      <c r="F107" s="1" t="s">
        <v>480</v>
      </c>
      <c r="G107" s="1" t="s">
        <v>456</v>
      </c>
      <c r="H107" s="2" t="s">
        <v>481</v>
      </c>
      <c r="I107" s="1">
        <v>151</v>
      </c>
      <c r="J107" s="1">
        <v>0.2</v>
      </c>
      <c r="K107" s="1" t="s">
        <v>486</v>
      </c>
      <c r="L107" s="1" t="s">
        <v>65</v>
      </c>
      <c r="M107" s="1">
        <v>10</v>
      </c>
      <c r="N107" s="1">
        <v>27</v>
      </c>
      <c r="O107" s="1">
        <v>64.525260000000003</v>
      </c>
      <c r="P107" s="1">
        <v>-166.87968000000001</v>
      </c>
      <c r="Q107" s="1">
        <v>2.6110000000000002</v>
      </c>
      <c r="R107" s="1">
        <v>31.766500000000001</v>
      </c>
      <c r="S107" s="1">
        <v>392.69200000000001</v>
      </c>
      <c r="T107" s="1"/>
      <c r="U107" s="1"/>
      <c r="V107" s="1"/>
      <c r="W107" s="3">
        <v>0.99229999999999996</v>
      </c>
      <c r="X107" s="1" t="s">
        <v>487</v>
      </c>
      <c r="Y107" s="1">
        <v>0.74</v>
      </c>
      <c r="Z107" s="1">
        <v>0.65</v>
      </c>
      <c r="AA107" s="1">
        <v>0.754</v>
      </c>
      <c r="AB107" s="1">
        <v>1.9</v>
      </c>
      <c r="AC107" s="1">
        <v>0</v>
      </c>
      <c r="AD107" s="1">
        <v>0.01</v>
      </c>
      <c r="AE107" s="1">
        <v>0.26</v>
      </c>
      <c r="AF107" s="1">
        <v>0.01</v>
      </c>
      <c r="AG107" s="1"/>
      <c r="AH107" s="1" t="s">
        <v>488</v>
      </c>
      <c r="AI107" s="1">
        <v>2</v>
      </c>
      <c r="AJ107" s="1" t="s">
        <v>487</v>
      </c>
      <c r="AK107" s="1">
        <v>2</v>
      </c>
      <c r="AL107" s="1">
        <v>79.027900000000002</v>
      </c>
      <c r="AM107" s="1" t="s">
        <v>487</v>
      </c>
      <c r="AN107" s="1"/>
      <c r="AO107" s="1"/>
      <c r="AP107" s="1"/>
      <c r="AQ107" s="1"/>
      <c r="AR107" s="1"/>
      <c r="AS107" s="1" t="s">
        <v>489</v>
      </c>
      <c r="AT107" s="1"/>
    </row>
    <row r="108" spans="1:46">
      <c r="A108" s="1" t="s">
        <v>490</v>
      </c>
      <c r="B108" s="1">
        <v>258</v>
      </c>
      <c r="C108" s="1" t="s">
        <v>490</v>
      </c>
      <c r="D108" s="1" t="s">
        <v>491</v>
      </c>
      <c r="E108" s="1" t="s">
        <v>47</v>
      </c>
      <c r="F108" s="1" t="s">
        <v>480</v>
      </c>
      <c r="G108" s="1" t="s">
        <v>456</v>
      </c>
      <c r="H108" s="2" t="s">
        <v>481</v>
      </c>
      <c r="I108" s="1">
        <v>151</v>
      </c>
      <c r="J108" s="1">
        <v>0.2</v>
      </c>
      <c r="K108" s="1" t="s">
        <v>150</v>
      </c>
      <c r="L108" s="1" t="s">
        <v>78</v>
      </c>
      <c r="M108" s="1">
        <v>22.97</v>
      </c>
      <c r="N108" s="1">
        <v>27</v>
      </c>
      <c r="O108" s="1">
        <v>64.525260000000003</v>
      </c>
      <c r="P108" s="1">
        <v>-166.87968000000001</v>
      </c>
      <c r="Q108" s="1">
        <v>1.5109999999999999</v>
      </c>
      <c r="R108" s="1">
        <v>31.936</v>
      </c>
      <c r="S108" s="1">
        <v>404.19200000000001</v>
      </c>
      <c r="T108" s="1">
        <v>157.26</v>
      </c>
      <c r="U108" s="1">
        <v>23.46</v>
      </c>
      <c r="V108" s="1">
        <v>4840</v>
      </c>
      <c r="W108" s="3">
        <v>0.99470000000000003</v>
      </c>
      <c r="X108" s="1" t="s">
        <v>492</v>
      </c>
      <c r="Y108" s="1">
        <v>0.96</v>
      </c>
      <c r="Z108" s="1">
        <v>0.59</v>
      </c>
      <c r="AA108" s="1">
        <v>0.77900000000000003</v>
      </c>
      <c r="AB108" s="1">
        <v>1.9</v>
      </c>
      <c r="AC108" s="1">
        <v>0</v>
      </c>
      <c r="AD108" s="1">
        <v>0.01</v>
      </c>
      <c r="AE108" s="1">
        <v>0.3</v>
      </c>
      <c r="AF108" s="1">
        <v>0.01</v>
      </c>
      <c r="AG108" s="1"/>
      <c r="AH108" s="1" t="s">
        <v>493</v>
      </c>
      <c r="AI108" s="1">
        <v>1</v>
      </c>
      <c r="AJ108" s="1" t="s">
        <v>492</v>
      </c>
      <c r="AK108" s="1">
        <v>2</v>
      </c>
      <c r="AL108" s="1">
        <v>74.046899999999994</v>
      </c>
      <c r="AM108" s="1" t="s">
        <v>492</v>
      </c>
      <c r="AN108" s="1">
        <v>6.7033248081841403</v>
      </c>
      <c r="AO108" s="1">
        <v>1.0118226125561001</v>
      </c>
      <c r="AP108" s="1"/>
      <c r="AQ108" s="1"/>
      <c r="AR108" s="1"/>
      <c r="AS108" s="1"/>
      <c r="AT108" s="1"/>
    </row>
    <row r="109" spans="1:46">
      <c r="A109" s="1" t="s">
        <v>494</v>
      </c>
      <c r="B109" s="1">
        <v>255</v>
      </c>
      <c r="C109" s="1" t="s">
        <v>494</v>
      </c>
      <c r="D109" s="1" t="s">
        <v>495</v>
      </c>
      <c r="E109" s="1" t="s">
        <v>47</v>
      </c>
      <c r="F109" s="1" t="s">
        <v>496</v>
      </c>
      <c r="G109" s="1" t="s">
        <v>456</v>
      </c>
      <c r="H109" s="2" t="s">
        <v>497</v>
      </c>
      <c r="I109" s="1">
        <v>150</v>
      </c>
      <c r="J109" s="1">
        <v>0.2</v>
      </c>
      <c r="K109" s="1" t="s">
        <v>52</v>
      </c>
      <c r="L109" s="1" t="s">
        <v>52</v>
      </c>
      <c r="M109" s="1">
        <v>3.37</v>
      </c>
      <c r="N109" s="1">
        <v>22</v>
      </c>
      <c r="O109" s="1">
        <v>64.670439999999999</v>
      </c>
      <c r="P109" s="1">
        <v>-166.69994</v>
      </c>
      <c r="Q109" s="1">
        <v>7.8869999999999996</v>
      </c>
      <c r="R109" s="1">
        <v>30.187999999999999</v>
      </c>
      <c r="S109" s="1">
        <v>294.98099999999999</v>
      </c>
      <c r="T109" s="1">
        <v>159.6</v>
      </c>
      <c r="U109" s="1">
        <v>25.24</v>
      </c>
      <c r="V109" s="1">
        <v>14120</v>
      </c>
      <c r="W109" s="3">
        <v>0.64480000000000004</v>
      </c>
      <c r="X109" s="1" t="s">
        <v>498</v>
      </c>
      <c r="Y109" s="1">
        <v>0.55000000000000004</v>
      </c>
      <c r="Z109" s="1">
        <v>0.37</v>
      </c>
      <c r="AA109" s="1">
        <v>0.57899999999999996</v>
      </c>
      <c r="AB109" s="1">
        <v>3.9</v>
      </c>
      <c r="AC109" s="1">
        <v>0.1</v>
      </c>
      <c r="AD109" s="1">
        <v>0.01</v>
      </c>
      <c r="AE109" s="1">
        <v>0.14000000000000001</v>
      </c>
      <c r="AF109" s="1">
        <v>0.11</v>
      </c>
      <c r="AG109" s="1"/>
      <c r="AH109" s="1" t="s">
        <v>499</v>
      </c>
      <c r="AI109" s="1">
        <v>3</v>
      </c>
      <c r="AJ109" s="1" t="s">
        <v>498</v>
      </c>
      <c r="AK109" s="1">
        <v>2</v>
      </c>
      <c r="AL109" s="1">
        <v>86.464299999999994</v>
      </c>
      <c r="AM109" s="1" t="s">
        <v>498</v>
      </c>
      <c r="AN109" s="1">
        <v>6.3232963549920802</v>
      </c>
      <c r="AO109" s="1">
        <v>0.95445982716861499</v>
      </c>
      <c r="AP109" s="1"/>
      <c r="AQ109" s="1"/>
      <c r="AR109" s="1"/>
      <c r="AS109" s="1"/>
      <c r="AT109" s="1"/>
    </row>
    <row r="110" spans="1:46">
      <c r="A110" s="1" t="s">
        <v>500</v>
      </c>
      <c r="B110" s="1">
        <v>254</v>
      </c>
      <c r="C110" s="1" t="s">
        <v>500</v>
      </c>
      <c r="D110" s="1" t="s">
        <v>501</v>
      </c>
      <c r="E110" s="1" t="s">
        <v>47</v>
      </c>
      <c r="F110" s="1" t="s">
        <v>496</v>
      </c>
      <c r="G110" s="1" t="s">
        <v>456</v>
      </c>
      <c r="H110" s="2" t="s">
        <v>497</v>
      </c>
      <c r="I110" s="1">
        <v>150</v>
      </c>
      <c r="J110" s="1">
        <v>0.2</v>
      </c>
      <c r="K110" s="1" t="s">
        <v>150</v>
      </c>
      <c r="L110" s="1" t="s">
        <v>78</v>
      </c>
      <c r="M110" s="1">
        <v>19.72</v>
      </c>
      <c r="N110" s="1">
        <v>22</v>
      </c>
      <c r="O110" s="1">
        <v>64.670439999999999</v>
      </c>
      <c r="P110" s="1">
        <v>-166.69996</v>
      </c>
      <c r="Q110" s="1">
        <v>7.327</v>
      </c>
      <c r="R110" s="1">
        <v>30.126000000000001</v>
      </c>
      <c r="S110" s="1">
        <v>297.99299999999999</v>
      </c>
      <c r="T110" s="1">
        <v>184.4</v>
      </c>
      <c r="U110" s="1">
        <v>28.94</v>
      </c>
      <c r="V110" s="1">
        <v>3699.99999999999</v>
      </c>
      <c r="W110" s="3">
        <v>0.74590000000000001</v>
      </c>
      <c r="X110" s="1" t="s">
        <v>502</v>
      </c>
      <c r="Y110" s="1">
        <v>0.91</v>
      </c>
      <c r="Z110" s="1">
        <v>0.56000000000000005</v>
      </c>
      <c r="AA110" s="1">
        <v>0.61699999999999999</v>
      </c>
      <c r="AB110" s="1">
        <v>4.8</v>
      </c>
      <c r="AC110" s="1">
        <v>0.1</v>
      </c>
      <c r="AD110" s="1">
        <v>0.01</v>
      </c>
      <c r="AE110" s="1">
        <v>0.14000000000000001</v>
      </c>
      <c r="AF110" s="1">
        <v>0.11</v>
      </c>
      <c r="AG110" s="1"/>
      <c r="AH110" s="1" t="s">
        <v>503</v>
      </c>
      <c r="AI110" s="1">
        <v>1</v>
      </c>
      <c r="AJ110" s="1" t="s">
        <v>502</v>
      </c>
      <c r="AK110" s="1">
        <v>2</v>
      </c>
      <c r="AL110" s="1">
        <v>79.330299999999994</v>
      </c>
      <c r="AM110" s="1" t="s">
        <v>502</v>
      </c>
      <c r="AN110" s="1">
        <v>6.3718037318590204</v>
      </c>
      <c r="AO110" s="1">
        <v>0.96178169537494596</v>
      </c>
      <c r="AP110" s="1"/>
      <c r="AQ110" s="1"/>
      <c r="AR110" s="1"/>
      <c r="AS110" s="1"/>
      <c r="AT110" s="1"/>
    </row>
    <row r="111" spans="1:46">
      <c r="A111" s="1" t="s">
        <v>504</v>
      </c>
      <c r="B111" s="1">
        <v>265</v>
      </c>
      <c r="C111" s="1" t="s">
        <v>504</v>
      </c>
      <c r="D111" s="1" t="s">
        <v>505</v>
      </c>
      <c r="E111" s="1" t="s">
        <v>47</v>
      </c>
      <c r="F111" s="1" t="s">
        <v>506</v>
      </c>
      <c r="G111" s="1" t="s">
        <v>456</v>
      </c>
      <c r="H111" s="2" t="s">
        <v>507</v>
      </c>
      <c r="I111" s="1">
        <v>159</v>
      </c>
      <c r="J111" s="1">
        <v>0.2</v>
      </c>
      <c r="K111" s="1" t="s">
        <v>52</v>
      </c>
      <c r="L111" s="1" t="s">
        <v>52</v>
      </c>
      <c r="M111" s="1">
        <v>4.09</v>
      </c>
      <c r="N111" s="1">
        <v>39</v>
      </c>
      <c r="O111" s="1">
        <v>63.369199999999999</v>
      </c>
      <c r="P111" s="1">
        <v>-168.35952</v>
      </c>
      <c r="Q111" s="1">
        <v>6.4154999999999998</v>
      </c>
      <c r="R111" s="1">
        <v>31.5595</v>
      </c>
      <c r="S111" s="1">
        <v>324.64800000000002</v>
      </c>
      <c r="T111" s="1">
        <v>35.5</v>
      </c>
      <c r="U111" s="1">
        <v>30.9</v>
      </c>
      <c r="V111" s="1">
        <v>2980</v>
      </c>
      <c r="W111" s="3">
        <v>1.2972999999999999</v>
      </c>
      <c r="X111" s="1" t="s">
        <v>508</v>
      </c>
      <c r="Y111" s="1">
        <v>2.06</v>
      </c>
      <c r="Z111" s="1">
        <v>0.28000000000000003</v>
      </c>
      <c r="AA111" s="1">
        <v>0.498</v>
      </c>
      <c r="AB111" s="1">
        <v>1.9</v>
      </c>
      <c r="AC111" s="1">
        <v>0.1</v>
      </c>
      <c r="AD111" s="1">
        <v>0.01</v>
      </c>
      <c r="AE111" s="1">
        <v>0.13</v>
      </c>
      <c r="AF111" s="1">
        <v>0.11</v>
      </c>
      <c r="AG111" s="1"/>
      <c r="AH111" s="1" t="s">
        <v>509</v>
      </c>
      <c r="AI111" s="1">
        <v>7</v>
      </c>
      <c r="AJ111" s="1" t="s">
        <v>508</v>
      </c>
      <c r="AK111" s="1">
        <v>1</v>
      </c>
      <c r="AL111" s="1">
        <v>86.515000000000001</v>
      </c>
      <c r="AM111" s="1" t="s">
        <v>508</v>
      </c>
      <c r="AN111" s="1">
        <v>1.1488673139158601</v>
      </c>
      <c r="AO111" s="1">
        <v>0.173413934175979</v>
      </c>
      <c r="AP111" s="1"/>
      <c r="AQ111" s="1"/>
      <c r="AR111" s="1"/>
      <c r="AS111" s="1"/>
      <c r="AT111" s="1"/>
    </row>
    <row r="112" spans="1:46">
      <c r="A112" s="1" t="s">
        <v>510</v>
      </c>
      <c r="B112" s="1">
        <v>266</v>
      </c>
      <c r="C112" s="1" t="s">
        <v>510</v>
      </c>
      <c r="D112" s="1" t="s">
        <v>511</v>
      </c>
      <c r="E112" s="1" t="s">
        <v>47</v>
      </c>
      <c r="F112" s="1" t="s">
        <v>506</v>
      </c>
      <c r="G112" s="1" t="s">
        <v>456</v>
      </c>
      <c r="H112" s="2" t="s">
        <v>507</v>
      </c>
      <c r="I112" s="1">
        <v>159</v>
      </c>
      <c r="J112" s="1">
        <v>0.2</v>
      </c>
      <c r="K112" s="1" t="s">
        <v>512</v>
      </c>
      <c r="L112" s="1" t="s">
        <v>65</v>
      </c>
      <c r="M112" s="1">
        <v>11.4</v>
      </c>
      <c r="N112" s="1">
        <v>39</v>
      </c>
      <c r="O112" s="1">
        <v>63.369199999999999</v>
      </c>
      <c r="P112" s="1">
        <v>-168.35952</v>
      </c>
      <c r="Q112" s="1">
        <v>3.1745000000000001</v>
      </c>
      <c r="R112" s="1">
        <v>32.055999999999997</v>
      </c>
      <c r="S112" s="1">
        <v>360.66899999999998</v>
      </c>
      <c r="T112" s="1">
        <v>69.959999999999994</v>
      </c>
      <c r="U112" s="1">
        <v>52.96</v>
      </c>
      <c r="V112" s="1">
        <v>4540</v>
      </c>
      <c r="W112" s="3">
        <v>20.860399999999998</v>
      </c>
      <c r="X112" s="1" t="s">
        <v>513</v>
      </c>
      <c r="Y112" s="1">
        <v>13.87</v>
      </c>
      <c r="Z112" s="1">
        <v>1.3</v>
      </c>
      <c r="AA112" s="1">
        <v>1.0149999999999999</v>
      </c>
      <c r="AB112" s="1">
        <v>3.5</v>
      </c>
      <c r="AC112" s="1">
        <v>3.8</v>
      </c>
      <c r="AD112" s="1">
        <v>7.0000000000000007E-2</v>
      </c>
      <c r="AE112" s="1">
        <v>1.01</v>
      </c>
      <c r="AF112" s="1">
        <v>3.87</v>
      </c>
      <c r="AG112" s="1"/>
      <c r="AH112" s="1" t="s">
        <v>514</v>
      </c>
      <c r="AI112" s="1">
        <v>4</v>
      </c>
      <c r="AJ112" s="1" t="s">
        <v>513</v>
      </c>
      <c r="AK112" s="1">
        <v>1</v>
      </c>
      <c r="AL112" s="1">
        <v>59.789000000000001</v>
      </c>
      <c r="AM112" s="1" t="s">
        <v>513</v>
      </c>
      <c r="AN112" s="1">
        <v>1.32099697885196</v>
      </c>
      <c r="AO112" s="1">
        <v>0.199395770392749</v>
      </c>
      <c r="AP112" s="1"/>
      <c r="AQ112" s="1"/>
      <c r="AR112" s="1"/>
      <c r="AS112" s="1"/>
      <c r="AT112" s="1"/>
    </row>
    <row r="113" spans="1:46">
      <c r="A113" s="1" t="s">
        <v>515</v>
      </c>
      <c r="B113" s="1">
        <v>267</v>
      </c>
      <c r="C113" s="1" t="s">
        <v>515</v>
      </c>
      <c r="D113" s="1" t="s">
        <v>516</v>
      </c>
      <c r="E113" s="1" t="s">
        <v>47</v>
      </c>
      <c r="F113" s="1" t="s">
        <v>506</v>
      </c>
      <c r="G113" s="1" t="s">
        <v>456</v>
      </c>
      <c r="H113" s="2" t="s">
        <v>507</v>
      </c>
      <c r="I113" s="1">
        <v>159</v>
      </c>
      <c r="J113" s="1">
        <v>0.2</v>
      </c>
      <c r="K113" s="1" t="s">
        <v>150</v>
      </c>
      <c r="L113" s="1" t="s">
        <v>78</v>
      </c>
      <c r="M113" s="1">
        <v>34.909999999999997</v>
      </c>
      <c r="N113" s="1">
        <v>39</v>
      </c>
      <c r="O113" s="1">
        <v>63.369199999999999</v>
      </c>
      <c r="P113" s="1">
        <v>-168.35952</v>
      </c>
      <c r="Q113" s="1">
        <v>0.47599999999999998</v>
      </c>
      <c r="R113" s="1">
        <v>32.3675</v>
      </c>
      <c r="S113" s="1">
        <v>324.58499999999998</v>
      </c>
      <c r="T113" s="1">
        <v>30.72</v>
      </c>
      <c r="U113" s="1">
        <v>28.74</v>
      </c>
      <c r="V113" s="1">
        <v>4820.00000000001</v>
      </c>
      <c r="W113" s="3">
        <v>6.5266000000000002</v>
      </c>
      <c r="X113" s="1" t="s">
        <v>517</v>
      </c>
      <c r="Y113" s="1">
        <v>8.09</v>
      </c>
      <c r="Z113" s="1">
        <v>1.35</v>
      </c>
      <c r="AA113" s="1">
        <v>1.4039999999999999</v>
      </c>
      <c r="AB113" s="1">
        <v>6.2</v>
      </c>
      <c r="AC113" s="1">
        <v>6.7</v>
      </c>
      <c r="AD113" s="1">
        <v>0.13</v>
      </c>
      <c r="AE113" s="1">
        <v>1.93</v>
      </c>
      <c r="AF113" s="1">
        <v>6.83</v>
      </c>
      <c r="AG113" s="1"/>
      <c r="AH113" s="1" t="s">
        <v>518</v>
      </c>
      <c r="AI113" s="1">
        <v>1</v>
      </c>
      <c r="AJ113" s="1" t="s">
        <v>517</v>
      </c>
      <c r="AK113" s="1">
        <v>1</v>
      </c>
      <c r="AL113" s="1">
        <v>75.799800000000005</v>
      </c>
      <c r="AM113" s="1" t="s">
        <v>517</v>
      </c>
      <c r="AN113" s="1">
        <v>1.06889352818372</v>
      </c>
      <c r="AO113" s="1">
        <v>0.16134241934848501</v>
      </c>
      <c r="AP113" s="1"/>
      <c r="AQ113" s="1"/>
      <c r="AR113" s="1"/>
      <c r="AS113" s="1"/>
      <c r="AT113" s="1"/>
    </row>
    <row r="114" spans="1:46">
      <c r="A114" s="1" t="s">
        <v>519</v>
      </c>
      <c r="B114" s="1">
        <v>262</v>
      </c>
      <c r="C114" s="1" t="s">
        <v>519</v>
      </c>
      <c r="D114" s="1" t="s">
        <v>520</v>
      </c>
      <c r="E114" s="1" t="s">
        <v>47</v>
      </c>
      <c r="F114" s="1" t="s">
        <v>521</v>
      </c>
      <c r="G114" s="1" t="s">
        <v>456</v>
      </c>
      <c r="H114" s="2" t="s">
        <v>522</v>
      </c>
      <c r="I114" s="1">
        <v>158</v>
      </c>
      <c r="J114" s="1">
        <v>0.2</v>
      </c>
      <c r="K114" s="1" t="s">
        <v>52</v>
      </c>
      <c r="L114" s="1" t="s">
        <v>52</v>
      </c>
      <c r="M114" s="1">
        <v>3.79</v>
      </c>
      <c r="N114" s="1">
        <v>32</v>
      </c>
      <c r="O114" s="1">
        <v>63.513339999999999</v>
      </c>
      <c r="P114" s="1">
        <v>-168.17920000000001</v>
      </c>
      <c r="Q114" s="1">
        <v>5.9580000000000002</v>
      </c>
      <c r="R114" s="1">
        <v>31.752500000000001</v>
      </c>
      <c r="S114" s="1">
        <v>328.75799999999998</v>
      </c>
      <c r="T114" s="1">
        <v>30.96</v>
      </c>
      <c r="U114" s="1">
        <v>26.5</v>
      </c>
      <c r="V114" s="1">
        <v>3000</v>
      </c>
      <c r="W114" s="3">
        <v>0.40329999999999999</v>
      </c>
      <c r="X114" s="1" t="s">
        <v>523</v>
      </c>
      <c r="Y114" s="1">
        <v>1.1499999999999999</v>
      </c>
      <c r="Z114" s="1">
        <v>0.19</v>
      </c>
      <c r="AA114" s="1">
        <v>0.42299999999999999</v>
      </c>
      <c r="AB114" s="1">
        <v>1.7</v>
      </c>
      <c r="AC114" s="1">
        <v>0.1</v>
      </c>
      <c r="AD114" s="1">
        <v>0.01</v>
      </c>
      <c r="AE114" s="1">
        <v>0.53</v>
      </c>
      <c r="AF114" s="1">
        <v>0.11</v>
      </c>
      <c r="AG114" s="1"/>
      <c r="AH114" s="1" t="s">
        <v>524</v>
      </c>
      <c r="AI114" s="1">
        <v>5</v>
      </c>
      <c r="AJ114" s="1" t="s">
        <v>523</v>
      </c>
      <c r="AK114" s="1">
        <v>1</v>
      </c>
      <c r="AL114" s="1">
        <v>88.047700000000006</v>
      </c>
      <c r="AM114" s="1" t="s">
        <v>523</v>
      </c>
      <c r="AN114" s="1">
        <v>1.16830188679245</v>
      </c>
      <c r="AO114" s="1">
        <v>0.176347454610182</v>
      </c>
      <c r="AP114" s="1"/>
      <c r="AQ114" s="1"/>
      <c r="AR114" s="1"/>
      <c r="AS114" s="1"/>
      <c r="AT114" s="1"/>
    </row>
    <row r="115" spans="1:46">
      <c r="A115" s="1" t="s">
        <v>525</v>
      </c>
      <c r="B115" s="1">
        <v>263</v>
      </c>
      <c r="C115" s="1" t="s">
        <v>525</v>
      </c>
      <c r="D115" s="1" t="s">
        <v>526</v>
      </c>
      <c r="E115" s="1" t="s">
        <v>47</v>
      </c>
      <c r="F115" s="1" t="s">
        <v>521</v>
      </c>
      <c r="G115" s="1" t="s">
        <v>456</v>
      </c>
      <c r="H115" s="2" t="s">
        <v>522</v>
      </c>
      <c r="I115" s="1">
        <v>158</v>
      </c>
      <c r="J115" s="1">
        <v>0.2</v>
      </c>
      <c r="K115" s="1" t="s">
        <v>512</v>
      </c>
      <c r="L115" s="1" t="s">
        <v>65</v>
      </c>
      <c r="M115" s="1">
        <v>16.23</v>
      </c>
      <c r="N115" s="1">
        <v>32</v>
      </c>
      <c r="O115" s="1">
        <v>63.513339999999999</v>
      </c>
      <c r="P115" s="1">
        <v>-168.17920000000001</v>
      </c>
      <c r="Q115" s="1">
        <v>1.2230000000000001</v>
      </c>
      <c r="R115" s="1">
        <v>32.329000000000001</v>
      </c>
      <c r="S115" s="1">
        <v>329.40199999999999</v>
      </c>
      <c r="T115" s="1"/>
      <c r="U115" s="1"/>
      <c r="V115" s="1"/>
      <c r="W115" s="3">
        <v>3.1244000000000001</v>
      </c>
      <c r="X115" s="1" t="s">
        <v>527</v>
      </c>
      <c r="Y115" s="1">
        <v>4.4400000000000004</v>
      </c>
      <c r="Z115" s="1">
        <v>0.92</v>
      </c>
      <c r="AA115" s="1">
        <v>1.0880000000000001</v>
      </c>
      <c r="AB115" s="1">
        <v>7</v>
      </c>
      <c r="AC115" s="1">
        <v>4.4000000000000004</v>
      </c>
      <c r="AD115" s="1">
        <v>0.09</v>
      </c>
      <c r="AE115" s="1">
        <v>1.51</v>
      </c>
      <c r="AF115" s="1">
        <v>4.49</v>
      </c>
      <c r="AG115" s="1"/>
      <c r="AH115" s="1" t="s">
        <v>528</v>
      </c>
      <c r="AI115" s="1">
        <v>3</v>
      </c>
      <c r="AJ115" s="1" t="s">
        <v>527</v>
      </c>
      <c r="AK115" s="1">
        <v>1</v>
      </c>
      <c r="AL115" s="1">
        <v>78.680199999999999</v>
      </c>
      <c r="AM115" s="1" t="s">
        <v>527</v>
      </c>
      <c r="AN115" s="1"/>
      <c r="AO115" s="1"/>
      <c r="AP115" s="1"/>
      <c r="AQ115" s="1"/>
      <c r="AR115" s="1"/>
      <c r="AS115" s="1"/>
      <c r="AT115" s="1"/>
    </row>
    <row r="116" spans="1:46">
      <c r="A116" s="1" t="s">
        <v>529</v>
      </c>
      <c r="B116" s="1">
        <v>264</v>
      </c>
      <c r="C116" s="1" t="s">
        <v>529</v>
      </c>
      <c r="D116" s="1" t="s">
        <v>530</v>
      </c>
      <c r="E116" s="1" t="s">
        <v>47</v>
      </c>
      <c r="F116" s="1" t="s">
        <v>521</v>
      </c>
      <c r="G116" s="1" t="s">
        <v>456</v>
      </c>
      <c r="H116" s="2" t="s">
        <v>522</v>
      </c>
      <c r="I116" s="1">
        <v>158</v>
      </c>
      <c r="J116" s="1">
        <v>0.2</v>
      </c>
      <c r="K116" s="1" t="s">
        <v>150</v>
      </c>
      <c r="L116" s="1" t="s">
        <v>78</v>
      </c>
      <c r="M116" s="1">
        <v>28</v>
      </c>
      <c r="N116" s="1">
        <v>32</v>
      </c>
      <c r="O116" s="1">
        <v>63.513339999999999</v>
      </c>
      <c r="P116" s="1">
        <v>-168.17920000000001</v>
      </c>
      <c r="Q116" s="1">
        <v>0.90749999999999997</v>
      </c>
      <c r="R116" s="1">
        <v>32.359499999999997</v>
      </c>
      <c r="S116" s="1">
        <v>322.87700000000001</v>
      </c>
      <c r="T116" s="1">
        <v>30.88</v>
      </c>
      <c r="U116" s="1">
        <v>27.32</v>
      </c>
      <c r="V116" s="1">
        <v>4980</v>
      </c>
      <c r="W116" s="3">
        <v>3.8359999999999999</v>
      </c>
      <c r="X116" s="1" t="s">
        <v>531</v>
      </c>
      <c r="Y116" s="1">
        <v>4.03</v>
      </c>
      <c r="Z116" s="1">
        <v>1.91</v>
      </c>
      <c r="AA116" s="1">
        <v>1.2210000000000001</v>
      </c>
      <c r="AB116" s="1">
        <v>9.1999999999999993</v>
      </c>
      <c r="AC116" s="1">
        <v>5.9</v>
      </c>
      <c r="AD116" s="1">
        <v>0.11</v>
      </c>
      <c r="AE116" s="1">
        <v>2.15</v>
      </c>
      <c r="AF116" s="1">
        <v>6.01</v>
      </c>
      <c r="AG116" s="1"/>
      <c r="AH116" s="1" t="s">
        <v>532</v>
      </c>
      <c r="AI116" s="1">
        <v>1</v>
      </c>
      <c r="AJ116" s="1" t="s">
        <v>531</v>
      </c>
      <c r="AK116" s="1">
        <v>1</v>
      </c>
      <c r="AL116" s="1">
        <v>74.376999999999995</v>
      </c>
      <c r="AM116" s="1" t="s">
        <v>531</v>
      </c>
      <c r="AN116" s="1">
        <v>1.1303074670571001</v>
      </c>
      <c r="AO116" s="1">
        <v>0.17061244785767599</v>
      </c>
      <c r="AP116" s="1"/>
      <c r="AQ116" s="1"/>
      <c r="AR116" s="1"/>
      <c r="AS116" s="1"/>
      <c r="AT116" s="1"/>
    </row>
    <row r="117" spans="1:46">
      <c r="A117" s="1" t="s">
        <v>533</v>
      </c>
      <c r="B117" s="1">
        <v>259</v>
      </c>
      <c r="C117" s="1" t="s">
        <v>533</v>
      </c>
      <c r="D117" s="1" t="s">
        <v>534</v>
      </c>
      <c r="E117" s="1" t="s">
        <v>47</v>
      </c>
      <c r="F117" s="1" t="s">
        <v>535</v>
      </c>
      <c r="G117" s="1" t="s">
        <v>456</v>
      </c>
      <c r="H117" s="2" t="s">
        <v>536</v>
      </c>
      <c r="I117" s="1">
        <v>156</v>
      </c>
      <c r="J117" s="1">
        <v>0.2</v>
      </c>
      <c r="K117" s="1" t="s">
        <v>52</v>
      </c>
      <c r="L117" s="1" t="s">
        <v>52</v>
      </c>
      <c r="M117" s="1">
        <v>3.09</v>
      </c>
      <c r="N117" s="1">
        <v>32</v>
      </c>
      <c r="O117" s="1">
        <v>63.803199999999997</v>
      </c>
      <c r="P117" s="1">
        <v>-167.81088</v>
      </c>
      <c r="Q117" s="1">
        <v>7.0865</v>
      </c>
      <c r="R117" s="1">
        <v>31.968</v>
      </c>
      <c r="S117" s="1">
        <v>300.99</v>
      </c>
      <c r="T117" s="1">
        <v>163.5</v>
      </c>
      <c r="U117" s="1">
        <v>26.54</v>
      </c>
      <c r="V117" s="1">
        <v>2100</v>
      </c>
      <c r="W117" s="3">
        <v>0.1497</v>
      </c>
      <c r="X117" s="1" t="s">
        <v>537</v>
      </c>
      <c r="Y117" s="1">
        <v>0.49</v>
      </c>
      <c r="Z117" s="1">
        <v>0.2</v>
      </c>
      <c r="AA117" s="1">
        <v>0.36799999999999999</v>
      </c>
      <c r="AB117" s="1">
        <v>2.6</v>
      </c>
      <c r="AC117" s="1">
        <v>0.1</v>
      </c>
      <c r="AD117" s="1">
        <v>0.01</v>
      </c>
      <c r="AE117" s="1">
        <v>0.23</v>
      </c>
      <c r="AF117" s="1">
        <v>0.11</v>
      </c>
      <c r="AG117" s="1"/>
      <c r="AH117" s="1" t="s">
        <v>538</v>
      </c>
      <c r="AI117" s="1">
        <v>4</v>
      </c>
      <c r="AJ117" s="1" t="s">
        <v>537</v>
      </c>
      <c r="AK117" s="1">
        <v>1.5</v>
      </c>
      <c r="AL117" s="1">
        <v>90.604900000000001</v>
      </c>
      <c r="AM117" s="1" t="s">
        <v>537</v>
      </c>
      <c r="AN117" s="1">
        <v>6.1605124340617898</v>
      </c>
      <c r="AO117" s="1">
        <v>0.92988866929234604</v>
      </c>
      <c r="AP117" s="1"/>
      <c r="AQ117" s="1"/>
      <c r="AR117" s="1"/>
      <c r="AS117" s="1"/>
      <c r="AT117" s="1"/>
    </row>
    <row r="118" spans="1:46">
      <c r="A118" s="1" t="s">
        <v>539</v>
      </c>
      <c r="B118" s="1">
        <v>260</v>
      </c>
      <c r="C118" s="1" t="s">
        <v>539</v>
      </c>
      <c r="D118" s="1" t="s">
        <v>540</v>
      </c>
      <c r="E118" s="1" t="s">
        <v>47</v>
      </c>
      <c r="F118" s="1" t="s">
        <v>535</v>
      </c>
      <c r="G118" s="1" t="s">
        <v>456</v>
      </c>
      <c r="H118" s="2" t="s">
        <v>536</v>
      </c>
      <c r="I118" s="1">
        <v>156</v>
      </c>
      <c r="J118" s="1">
        <v>0.2</v>
      </c>
      <c r="K118" s="1" t="s">
        <v>65</v>
      </c>
      <c r="L118" s="1" t="s">
        <v>65</v>
      </c>
      <c r="M118" s="1">
        <v>20.190000000000001</v>
      </c>
      <c r="N118" s="1">
        <v>32</v>
      </c>
      <c r="O118" s="1">
        <v>63.803199999999997</v>
      </c>
      <c r="P118" s="1">
        <v>-167.81088</v>
      </c>
      <c r="Q118" s="1">
        <v>1.3320000000000001</v>
      </c>
      <c r="R118" s="1">
        <v>32.337499999999999</v>
      </c>
      <c r="S118" s="1">
        <v>326.86</v>
      </c>
      <c r="T118" s="1"/>
      <c r="U118" s="1"/>
      <c r="V118" s="1"/>
      <c r="W118" s="3">
        <v>2.2069000000000001</v>
      </c>
      <c r="X118" s="1" t="s">
        <v>541</v>
      </c>
      <c r="Y118" s="1">
        <v>1.43</v>
      </c>
      <c r="Z118" s="1">
        <v>1.0900000000000001</v>
      </c>
      <c r="AA118" s="1">
        <v>1.107</v>
      </c>
      <c r="AB118" s="1">
        <v>11.8</v>
      </c>
      <c r="AC118" s="1">
        <v>4.0999999999999996</v>
      </c>
      <c r="AD118" s="1">
        <v>0.08</v>
      </c>
      <c r="AE118" s="1">
        <v>1.95</v>
      </c>
      <c r="AF118" s="1">
        <v>4.18</v>
      </c>
      <c r="AG118" s="1"/>
      <c r="AH118" s="1" t="s">
        <v>542</v>
      </c>
      <c r="AI118" s="1">
        <v>2</v>
      </c>
      <c r="AJ118" s="1" t="s">
        <v>541</v>
      </c>
      <c r="AK118" s="1">
        <v>1.5</v>
      </c>
      <c r="AL118" s="1">
        <v>79.099900000000005</v>
      </c>
      <c r="AM118" s="1" t="s">
        <v>541</v>
      </c>
      <c r="AN118" s="1"/>
      <c r="AO118" s="1"/>
      <c r="AP118" s="1"/>
      <c r="AQ118" s="1"/>
      <c r="AR118" s="1"/>
      <c r="AS118" s="1"/>
      <c r="AT118" s="1"/>
    </row>
    <row r="119" spans="1:46">
      <c r="A119" s="1" t="s">
        <v>543</v>
      </c>
      <c r="B119" s="1">
        <v>261</v>
      </c>
      <c r="C119" s="1" t="s">
        <v>543</v>
      </c>
      <c r="D119" s="1" t="s">
        <v>544</v>
      </c>
      <c r="E119" s="1" t="s">
        <v>47</v>
      </c>
      <c r="F119" s="1" t="s">
        <v>535</v>
      </c>
      <c r="G119" s="1" t="s">
        <v>456</v>
      </c>
      <c r="H119" s="2" t="s">
        <v>536</v>
      </c>
      <c r="I119" s="1">
        <v>156</v>
      </c>
      <c r="J119" s="1">
        <v>0.2</v>
      </c>
      <c r="K119" s="1" t="s">
        <v>150</v>
      </c>
      <c r="L119" s="1" t="s">
        <v>78</v>
      </c>
      <c r="M119" s="1">
        <v>27.94</v>
      </c>
      <c r="N119" s="1">
        <v>32</v>
      </c>
      <c r="O119" s="1">
        <v>63.803199999999997</v>
      </c>
      <c r="P119" s="1">
        <v>-167.81088</v>
      </c>
      <c r="Q119" s="1">
        <v>1.218</v>
      </c>
      <c r="R119" s="1">
        <v>32.344999999999999</v>
      </c>
      <c r="S119" s="1">
        <v>326.47699999999998</v>
      </c>
      <c r="T119" s="1">
        <v>223.9</v>
      </c>
      <c r="U119" s="1">
        <v>46.4</v>
      </c>
      <c r="V119" s="1">
        <v>2620</v>
      </c>
      <c r="W119" s="3">
        <v>2.0024000000000002</v>
      </c>
      <c r="X119" s="1" t="s">
        <v>545</v>
      </c>
      <c r="Y119" s="1">
        <v>1.49</v>
      </c>
      <c r="Z119" s="1">
        <v>1.04</v>
      </c>
      <c r="AA119" s="1">
        <v>1.155</v>
      </c>
      <c r="AB119" s="1">
        <v>13.8</v>
      </c>
      <c r="AC119" s="1">
        <v>4.9000000000000004</v>
      </c>
      <c r="AD119" s="1">
        <v>0.1</v>
      </c>
      <c r="AE119" s="1">
        <v>2.09</v>
      </c>
      <c r="AF119" s="1">
        <v>5</v>
      </c>
      <c r="AG119" s="1"/>
      <c r="AH119" s="1" t="s">
        <v>546</v>
      </c>
      <c r="AI119" s="1">
        <v>1</v>
      </c>
      <c r="AJ119" s="1" t="s">
        <v>545</v>
      </c>
      <c r="AK119" s="1">
        <v>1.5</v>
      </c>
      <c r="AL119" s="1">
        <v>79.282799999999995</v>
      </c>
      <c r="AM119" s="1" t="s">
        <v>545</v>
      </c>
      <c r="AN119" s="1">
        <v>4.8254310344827598</v>
      </c>
      <c r="AO119" s="1">
        <v>0.72836694860117102</v>
      </c>
      <c r="AP119" s="1"/>
      <c r="AQ119" s="1"/>
      <c r="AR119" s="1"/>
      <c r="AS119" s="1"/>
      <c r="AT119" s="1"/>
    </row>
    <row r="120" spans="1:46">
      <c r="A120" s="1" t="s">
        <v>547</v>
      </c>
      <c r="B120" s="1">
        <v>215</v>
      </c>
      <c r="C120" s="1" t="s">
        <v>547</v>
      </c>
      <c r="D120" s="1" t="s">
        <v>548</v>
      </c>
      <c r="E120" s="1" t="s">
        <v>47</v>
      </c>
      <c r="F120" s="1" t="s">
        <v>549</v>
      </c>
      <c r="G120" s="1" t="s">
        <v>456</v>
      </c>
      <c r="H120" s="2" t="s">
        <v>550</v>
      </c>
      <c r="I120" s="1">
        <v>127</v>
      </c>
      <c r="J120" s="1">
        <v>0.2</v>
      </c>
      <c r="K120" s="1" t="s">
        <v>52</v>
      </c>
      <c r="L120" s="1" t="s">
        <v>52</v>
      </c>
      <c r="M120" s="1">
        <v>4.05</v>
      </c>
      <c r="N120" s="1">
        <v>52</v>
      </c>
      <c r="O120" s="1">
        <v>65.095920000000007</v>
      </c>
      <c r="P120" s="1">
        <v>-169.61766</v>
      </c>
      <c r="Q120" s="1">
        <v>3.125</v>
      </c>
      <c r="R120" s="1">
        <v>32.898499999999999</v>
      </c>
      <c r="S120" s="1">
        <v>317.05900000000003</v>
      </c>
      <c r="T120" s="1">
        <v>226.5</v>
      </c>
      <c r="U120" s="1">
        <v>36.24</v>
      </c>
      <c r="V120" s="1">
        <v>3680</v>
      </c>
      <c r="W120" s="3">
        <v>1.4964999999999999</v>
      </c>
      <c r="X120" s="1" t="s">
        <v>551</v>
      </c>
      <c r="Y120" s="1">
        <v>1.87</v>
      </c>
      <c r="Z120" s="1">
        <v>0.26</v>
      </c>
      <c r="AA120" s="1">
        <v>1.6240000000000001</v>
      </c>
      <c r="AB120" s="1">
        <v>28</v>
      </c>
      <c r="AC120" s="1">
        <v>16.2</v>
      </c>
      <c r="AD120" s="1">
        <v>0.2</v>
      </c>
      <c r="AE120" s="1">
        <v>2.0499999999999998</v>
      </c>
      <c r="AF120" s="1">
        <v>16.399999999999999</v>
      </c>
      <c r="AG120" s="1"/>
      <c r="AH120" s="1" t="s">
        <v>552</v>
      </c>
      <c r="AI120" s="1">
        <v>6</v>
      </c>
      <c r="AJ120" s="1" t="s">
        <v>551</v>
      </c>
      <c r="AK120" s="1">
        <v>1.5</v>
      </c>
      <c r="AL120" s="1">
        <v>76.058499999999995</v>
      </c>
      <c r="AM120" s="1" t="s">
        <v>551</v>
      </c>
      <c r="AN120" s="1">
        <v>6.25</v>
      </c>
      <c r="AO120" s="1">
        <v>0.94339622641509402</v>
      </c>
      <c r="AP120" s="1"/>
      <c r="AQ120" s="1"/>
      <c r="AR120" s="1"/>
      <c r="AS120" s="1"/>
      <c r="AT120" s="1"/>
    </row>
    <row r="121" spans="1:46">
      <c r="A121" s="1" t="s">
        <v>553</v>
      </c>
      <c r="B121" s="1">
        <v>216</v>
      </c>
      <c r="C121" s="1" t="s">
        <v>553</v>
      </c>
      <c r="D121" s="1" t="s">
        <v>554</v>
      </c>
      <c r="E121" s="1" t="s">
        <v>47</v>
      </c>
      <c r="F121" s="1" t="s">
        <v>549</v>
      </c>
      <c r="G121" s="1" t="s">
        <v>456</v>
      </c>
      <c r="H121" s="2" t="s">
        <v>550</v>
      </c>
      <c r="I121" s="1">
        <v>127</v>
      </c>
      <c r="J121" s="1">
        <v>0.2</v>
      </c>
      <c r="K121" s="1" t="s">
        <v>150</v>
      </c>
      <c r="L121" s="1" t="s">
        <v>78</v>
      </c>
      <c r="M121" s="1">
        <v>48.12</v>
      </c>
      <c r="N121" s="1">
        <v>52</v>
      </c>
      <c r="O121" s="1">
        <v>65.096119999999999</v>
      </c>
      <c r="P121" s="1">
        <v>-169.61928</v>
      </c>
      <c r="Q121" s="1">
        <v>3.1240000000000001</v>
      </c>
      <c r="R121" s="1">
        <v>32.899500000000003</v>
      </c>
      <c r="S121" s="1">
        <v>316.29199999999997</v>
      </c>
      <c r="T121" s="1">
        <v>206.84</v>
      </c>
      <c r="U121" s="1">
        <v>35.78</v>
      </c>
      <c r="V121" s="1">
        <v>3680</v>
      </c>
      <c r="W121" s="3">
        <v>1.2853000000000001</v>
      </c>
      <c r="X121" s="1" t="s">
        <v>555</v>
      </c>
      <c r="Y121" s="1">
        <v>0.55000000000000004</v>
      </c>
      <c r="Z121" s="1">
        <v>2.12</v>
      </c>
      <c r="AA121" s="1">
        <v>1.63</v>
      </c>
      <c r="AB121" s="1">
        <v>27.6</v>
      </c>
      <c r="AC121" s="1">
        <v>16.100000000000001</v>
      </c>
      <c r="AD121" s="1">
        <v>0.2</v>
      </c>
      <c r="AE121" s="1">
        <v>2.0099999999999998</v>
      </c>
      <c r="AF121" s="1">
        <v>16.3</v>
      </c>
      <c r="AG121" s="1"/>
      <c r="AH121" s="1" t="s">
        <v>556</v>
      </c>
      <c r="AI121" s="1">
        <v>1</v>
      </c>
      <c r="AJ121" s="1" t="s">
        <v>555</v>
      </c>
      <c r="AK121" s="1">
        <v>1.5</v>
      </c>
      <c r="AL121" s="1">
        <v>75.245199999999997</v>
      </c>
      <c r="AM121" s="1" t="s">
        <v>555</v>
      </c>
      <c r="AN121" s="1">
        <v>5.7808831749580802</v>
      </c>
      <c r="AO121" s="1">
        <v>0.87258613961631404</v>
      </c>
      <c r="AP121" s="1"/>
      <c r="AQ121" s="1"/>
      <c r="AR121" s="1"/>
      <c r="AS121" s="1"/>
      <c r="AT121" s="1"/>
    </row>
    <row r="122" spans="1:46">
      <c r="A122" s="1" t="s">
        <v>557</v>
      </c>
      <c r="B122" s="1">
        <v>213</v>
      </c>
      <c r="C122" s="1" t="s">
        <v>557</v>
      </c>
      <c r="D122" s="1" t="s">
        <v>558</v>
      </c>
      <c r="E122" s="1" t="s">
        <v>47</v>
      </c>
      <c r="F122" s="1" t="s">
        <v>559</v>
      </c>
      <c r="G122" s="1" t="s">
        <v>456</v>
      </c>
      <c r="H122" s="2" t="s">
        <v>560</v>
      </c>
      <c r="I122" s="1">
        <v>125</v>
      </c>
      <c r="J122" s="1">
        <v>0.2</v>
      </c>
      <c r="K122" s="1" t="s">
        <v>52</v>
      </c>
      <c r="L122" s="1" t="s">
        <v>52</v>
      </c>
      <c r="M122" s="1">
        <v>4.9000000000000004</v>
      </c>
      <c r="N122" s="1">
        <v>52</v>
      </c>
      <c r="O122" s="1">
        <v>65.367379999999997</v>
      </c>
      <c r="P122" s="1">
        <v>-169.07947999999999</v>
      </c>
      <c r="Q122" s="1">
        <v>3.0935000000000001</v>
      </c>
      <c r="R122" s="1">
        <v>32.841500000000003</v>
      </c>
      <c r="S122" s="1">
        <v>310.61799999999999</v>
      </c>
      <c r="T122" s="1">
        <v>221.46</v>
      </c>
      <c r="U122" s="1">
        <v>34.24</v>
      </c>
      <c r="V122" s="1">
        <v>6340</v>
      </c>
      <c r="W122" s="3">
        <v>1.0694999999999999</v>
      </c>
      <c r="X122" s="1" t="s">
        <v>561</v>
      </c>
      <c r="Y122" s="1">
        <v>2.08</v>
      </c>
      <c r="Z122" s="1">
        <v>0.69</v>
      </c>
      <c r="AA122" s="1">
        <v>1.5309999999999999</v>
      </c>
      <c r="AB122" s="1">
        <v>26.1</v>
      </c>
      <c r="AC122" s="1">
        <v>14.6</v>
      </c>
      <c r="AD122" s="1">
        <v>0.19</v>
      </c>
      <c r="AE122" s="1">
        <v>2.64</v>
      </c>
      <c r="AF122" s="1">
        <v>14.79</v>
      </c>
      <c r="AG122" s="1"/>
      <c r="AH122" s="1" t="s">
        <v>562</v>
      </c>
      <c r="AI122" s="1">
        <v>6</v>
      </c>
      <c r="AJ122" s="1" t="s">
        <v>561</v>
      </c>
      <c r="AK122" s="1">
        <v>2</v>
      </c>
      <c r="AL122" s="1">
        <v>69.3399</v>
      </c>
      <c r="AM122" s="1" t="s">
        <v>561</v>
      </c>
      <c r="AN122" s="1">
        <v>6.4678738317756999</v>
      </c>
      <c r="AO122" s="1">
        <v>0.97628284253218101</v>
      </c>
      <c r="AP122" s="1"/>
      <c r="AQ122" s="1"/>
      <c r="AR122" s="1"/>
      <c r="AS122" s="1"/>
      <c r="AT122" s="1"/>
    </row>
    <row r="123" spans="1:46">
      <c r="A123" s="1" t="s">
        <v>563</v>
      </c>
      <c r="B123" s="1">
        <v>214</v>
      </c>
      <c r="C123" s="1" t="s">
        <v>563</v>
      </c>
      <c r="D123" s="1" t="s">
        <v>564</v>
      </c>
      <c r="E123" s="1" t="s">
        <v>47</v>
      </c>
      <c r="F123" s="1" t="s">
        <v>559</v>
      </c>
      <c r="G123" s="1" t="s">
        <v>456</v>
      </c>
      <c r="H123" s="2" t="s">
        <v>560</v>
      </c>
      <c r="I123" s="1">
        <v>125</v>
      </c>
      <c r="J123" s="1">
        <v>0.2</v>
      </c>
      <c r="K123" s="1" t="s">
        <v>150</v>
      </c>
      <c r="L123" s="1" t="s">
        <v>78</v>
      </c>
      <c r="M123" s="1">
        <v>47.77</v>
      </c>
      <c r="N123" s="1">
        <v>52</v>
      </c>
      <c r="O123" s="1">
        <v>65.367360000000005</v>
      </c>
      <c r="P123" s="1">
        <v>-169.07951</v>
      </c>
      <c r="Q123" s="1">
        <v>3.0924999999999998</v>
      </c>
      <c r="R123" s="1">
        <v>32.840499999999999</v>
      </c>
      <c r="S123" s="1">
        <v>310.36900000000003</v>
      </c>
      <c r="T123" s="1">
        <v>212.04</v>
      </c>
      <c r="U123" s="1">
        <v>31.86</v>
      </c>
      <c r="V123" s="1">
        <v>4940</v>
      </c>
      <c r="W123" s="3">
        <v>1.4138999999999999</v>
      </c>
      <c r="X123" s="1" t="s">
        <v>565</v>
      </c>
      <c r="Y123" s="1">
        <v>1.99</v>
      </c>
      <c r="Z123" s="1">
        <v>0.99</v>
      </c>
      <c r="AA123" s="1">
        <v>1.536</v>
      </c>
      <c r="AB123" s="1">
        <v>26.9</v>
      </c>
      <c r="AC123" s="1">
        <v>14.6</v>
      </c>
      <c r="AD123" s="1">
        <v>0.19</v>
      </c>
      <c r="AE123" s="1">
        <v>3.02</v>
      </c>
      <c r="AF123" s="1">
        <v>14.79</v>
      </c>
      <c r="AG123" s="1"/>
      <c r="AH123" s="1" t="s">
        <v>566</v>
      </c>
      <c r="AI123" s="1">
        <v>1</v>
      </c>
      <c r="AJ123" s="1" t="s">
        <v>565</v>
      </c>
      <c r="AK123" s="1">
        <v>2</v>
      </c>
      <c r="AL123" s="1">
        <v>69.197999999999993</v>
      </c>
      <c r="AM123" s="1" t="s">
        <v>565</v>
      </c>
      <c r="AN123" s="1">
        <v>6.6553672316384196</v>
      </c>
      <c r="AO123" s="1">
        <v>1.0045837330775</v>
      </c>
      <c r="AP123" s="1"/>
      <c r="AQ123" s="1"/>
      <c r="AR123" s="1"/>
      <c r="AS123" s="1"/>
      <c r="AT123" s="1"/>
    </row>
    <row r="124" spans="1:46">
      <c r="A124" s="1" t="s">
        <v>567</v>
      </c>
      <c r="B124" s="1">
        <v>211</v>
      </c>
      <c r="C124" s="1" t="s">
        <v>567</v>
      </c>
      <c r="D124" s="1" t="s">
        <v>568</v>
      </c>
      <c r="E124" s="1" t="s">
        <v>47</v>
      </c>
      <c r="F124" s="1" t="s">
        <v>569</v>
      </c>
      <c r="G124" s="1" t="s">
        <v>456</v>
      </c>
      <c r="H124" s="2" t="s">
        <v>570</v>
      </c>
      <c r="I124" s="1">
        <v>124</v>
      </c>
      <c r="J124" s="1">
        <v>0.2</v>
      </c>
      <c r="K124" s="1" t="s">
        <v>52</v>
      </c>
      <c r="L124" s="1" t="s">
        <v>52</v>
      </c>
      <c r="M124" s="1">
        <v>4.92</v>
      </c>
      <c r="N124" s="1">
        <v>58</v>
      </c>
      <c r="O124" s="1">
        <v>65.501980000000003</v>
      </c>
      <c r="P124" s="1">
        <v>-168.80876000000001</v>
      </c>
      <c r="Q124" s="1">
        <v>3.097</v>
      </c>
      <c r="R124" s="1">
        <v>32.753500000000003</v>
      </c>
      <c r="S124" s="1">
        <v>303.87799999999999</v>
      </c>
      <c r="T124" s="1"/>
      <c r="U124" s="1"/>
      <c r="V124" s="1"/>
      <c r="W124" s="3">
        <v>1.7554000000000001</v>
      </c>
      <c r="X124" s="1" t="s">
        <v>571</v>
      </c>
      <c r="Y124" s="1">
        <v>1.91</v>
      </c>
      <c r="Z124" s="1">
        <v>0.98</v>
      </c>
      <c r="AA124" s="1">
        <v>1.552</v>
      </c>
      <c r="AB124" s="1">
        <v>26.8</v>
      </c>
      <c r="AC124" s="1">
        <v>15.6</v>
      </c>
      <c r="AD124" s="1">
        <v>0.2</v>
      </c>
      <c r="AE124" s="1">
        <v>1.52</v>
      </c>
      <c r="AF124" s="1">
        <v>15.8</v>
      </c>
      <c r="AG124" s="1"/>
      <c r="AH124" s="1" t="s">
        <v>572</v>
      </c>
      <c r="AI124" s="1">
        <v>6</v>
      </c>
      <c r="AJ124" s="1" t="s">
        <v>571</v>
      </c>
      <c r="AK124" s="1">
        <v>1.5</v>
      </c>
      <c r="AL124" s="1">
        <v>76.945300000000003</v>
      </c>
      <c r="AM124" s="1" t="s">
        <v>571</v>
      </c>
      <c r="AN124" s="1"/>
      <c r="AO124" s="1"/>
      <c r="AP124" s="1"/>
      <c r="AQ124" s="1"/>
      <c r="AR124" s="1"/>
      <c r="AS124" s="1" t="s">
        <v>573</v>
      </c>
      <c r="AT124" s="1"/>
    </row>
    <row r="125" spans="1:46">
      <c r="A125" s="1" t="s">
        <v>574</v>
      </c>
      <c r="B125" s="1">
        <v>212</v>
      </c>
      <c r="C125" s="1" t="s">
        <v>574</v>
      </c>
      <c r="D125" s="1" t="s">
        <v>575</v>
      </c>
      <c r="E125" s="1" t="s">
        <v>47</v>
      </c>
      <c r="F125" s="1" t="s">
        <v>569</v>
      </c>
      <c r="G125" s="1" t="s">
        <v>456</v>
      </c>
      <c r="H125" s="2" t="s">
        <v>570</v>
      </c>
      <c r="I125" s="1">
        <v>124</v>
      </c>
      <c r="J125" s="1">
        <v>0.2</v>
      </c>
      <c r="K125" s="1" t="s">
        <v>150</v>
      </c>
      <c r="L125" s="1" t="s">
        <v>78</v>
      </c>
      <c r="M125" s="1">
        <v>54.91</v>
      </c>
      <c r="N125" s="1">
        <v>58</v>
      </c>
      <c r="O125" s="1">
        <v>65.502009999999999</v>
      </c>
      <c r="P125" s="1">
        <v>-168.80889999999999</v>
      </c>
      <c r="Q125" s="1">
        <v>3.08</v>
      </c>
      <c r="R125" s="1">
        <v>32.750999999999998</v>
      </c>
      <c r="S125" s="1">
        <v>303.291</v>
      </c>
      <c r="T125" s="1"/>
      <c r="U125" s="1"/>
      <c r="V125" s="1"/>
      <c r="W125" s="3">
        <v>1.8499000000000001</v>
      </c>
      <c r="X125" s="1" t="s">
        <v>576</v>
      </c>
      <c r="Y125" s="1">
        <v>2.2000000000000002</v>
      </c>
      <c r="Z125" s="1">
        <v>0.42</v>
      </c>
      <c r="AA125" s="1">
        <v>1.554</v>
      </c>
      <c r="AB125" s="1">
        <v>26.5</v>
      </c>
      <c r="AC125" s="1">
        <v>15.6</v>
      </c>
      <c r="AD125" s="1">
        <v>0.2</v>
      </c>
      <c r="AE125" s="1">
        <v>1.63</v>
      </c>
      <c r="AF125" s="1">
        <v>15.8</v>
      </c>
      <c r="AG125" s="1"/>
      <c r="AH125" s="1" t="s">
        <v>577</v>
      </c>
      <c r="AI125" s="1">
        <v>1</v>
      </c>
      <c r="AJ125" s="1" t="s">
        <v>576</v>
      </c>
      <c r="AK125" s="1">
        <v>1.5</v>
      </c>
      <c r="AL125" s="1">
        <v>76.464299999999994</v>
      </c>
      <c r="AM125" s="1" t="s">
        <v>576</v>
      </c>
      <c r="AN125" s="1"/>
      <c r="AO125" s="1"/>
      <c r="AP125" s="1"/>
      <c r="AQ125" s="1"/>
      <c r="AR125" s="1"/>
      <c r="AS125" s="1"/>
      <c r="AT125" s="1"/>
    </row>
    <row r="126" spans="1:46">
      <c r="A126" s="1" t="s">
        <v>578</v>
      </c>
      <c r="B126" s="1">
        <v>235</v>
      </c>
      <c r="C126" s="1" t="s">
        <v>578</v>
      </c>
      <c r="D126" s="1" t="s">
        <v>579</v>
      </c>
      <c r="E126" s="1" t="s">
        <v>47</v>
      </c>
      <c r="F126" s="1" t="s">
        <v>580</v>
      </c>
      <c r="G126" s="1" t="s">
        <v>456</v>
      </c>
      <c r="H126" s="2" t="s">
        <v>581</v>
      </c>
      <c r="I126" s="1">
        <v>139</v>
      </c>
      <c r="J126" s="1">
        <v>0.2</v>
      </c>
      <c r="K126" s="1" t="s">
        <v>52</v>
      </c>
      <c r="L126" s="1" t="s">
        <v>52</v>
      </c>
      <c r="M126" s="1">
        <v>4.26</v>
      </c>
      <c r="N126" s="1">
        <v>47</v>
      </c>
      <c r="O126" s="1">
        <v>63.875320000000002</v>
      </c>
      <c r="P126" s="1">
        <v>-172.04872</v>
      </c>
      <c r="Q126" s="1">
        <v>6.9210000000000003</v>
      </c>
      <c r="R126" s="1">
        <v>32.344000000000001</v>
      </c>
      <c r="S126" s="1">
        <v>314.98500000000001</v>
      </c>
      <c r="T126" s="1">
        <v>109.74</v>
      </c>
      <c r="U126" s="1">
        <v>16.28</v>
      </c>
      <c r="V126" s="1">
        <v>1879.99999999999</v>
      </c>
      <c r="W126" s="3">
        <v>0.15090000000000001</v>
      </c>
      <c r="X126" s="1" t="s">
        <v>582</v>
      </c>
      <c r="Y126" s="1">
        <v>0.28999999999999998</v>
      </c>
      <c r="Z126" s="1">
        <v>0.12</v>
      </c>
      <c r="AA126" s="1">
        <v>0.1</v>
      </c>
      <c r="AB126" s="1">
        <v>1.5</v>
      </c>
      <c r="AC126" s="1">
        <v>0.1</v>
      </c>
      <c r="AD126" s="1">
        <v>0</v>
      </c>
      <c r="AE126" s="1">
        <v>0.23</v>
      </c>
      <c r="AF126" s="1">
        <v>0.1</v>
      </c>
      <c r="AG126" s="1"/>
      <c r="AH126" s="1" t="s">
        <v>583</v>
      </c>
      <c r="AI126" s="1">
        <v>7</v>
      </c>
      <c r="AJ126" s="1" t="s">
        <v>582</v>
      </c>
      <c r="AK126" s="1">
        <v>2</v>
      </c>
      <c r="AL126" s="1">
        <v>95.401899999999998</v>
      </c>
      <c r="AM126" s="1" t="s">
        <v>582</v>
      </c>
      <c r="AN126" s="1">
        <v>6.7407862407862398</v>
      </c>
      <c r="AO126" s="1">
        <v>1.0174771684205599</v>
      </c>
      <c r="AP126" s="1"/>
      <c r="AQ126" s="1"/>
      <c r="AR126" s="1"/>
      <c r="AS126" s="1"/>
      <c r="AT126" s="1"/>
    </row>
    <row r="127" spans="1:46">
      <c r="A127" s="1" t="s">
        <v>584</v>
      </c>
      <c r="B127" s="1">
        <v>236</v>
      </c>
      <c r="C127" s="1" t="s">
        <v>584</v>
      </c>
      <c r="D127" s="1" t="s">
        <v>585</v>
      </c>
      <c r="E127" s="1" t="s">
        <v>47</v>
      </c>
      <c r="F127" s="1" t="s">
        <v>580</v>
      </c>
      <c r="G127" s="1" t="s">
        <v>456</v>
      </c>
      <c r="H127" s="2" t="s">
        <v>581</v>
      </c>
      <c r="I127" s="1">
        <v>139</v>
      </c>
      <c r="J127" s="1">
        <v>0.2</v>
      </c>
      <c r="K127" s="1" t="s">
        <v>486</v>
      </c>
      <c r="L127" s="1" t="s">
        <v>65</v>
      </c>
      <c r="M127" s="1">
        <v>20.73</v>
      </c>
      <c r="N127" s="1">
        <v>47</v>
      </c>
      <c r="O127" s="1">
        <v>63.875320000000002</v>
      </c>
      <c r="P127" s="1">
        <v>-172.04872</v>
      </c>
      <c r="Q127" s="1">
        <v>2.5739999999999998</v>
      </c>
      <c r="R127" s="1">
        <v>32.677</v>
      </c>
      <c r="S127" s="1">
        <v>365.28899999999999</v>
      </c>
      <c r="T127" s="1"/>
      <c r="U127" s="1"/>
      <c r="V127" s="1"/>
      <c r="W127" s="3">
        <v>2.6686000000000001</v>
      </c>
      <c r="X127" s="1" t="s">
        <v>586</v>
      </c>
      <c r="Y127" s="1">
        <v>2.2999999999999998</v>
      </c>
      <c r="Z127" s="1">
        <v>0.19</v>
      </c>
      <c r="AA127" s="1">
        <v>0.82</v>
      </c>
      <c r="AB127" s="1">
        <v>15.1</v>
      </c>
      <c r="AC127" s="1">
        <v>7.9</v>
      </c>
      <c r="AD127" s="1">
        <v>0.11</v>
      </c>
      <c r="AE127" s="1">
        <v>0.87</v>
      </c>
      <c r="AF127" s="1">
        <v>8.01</v>
      </c>
      <c r="AG127" s="1"/>
      <c r="AH127" s="1" t="s">
        <v>587</v>
      </c>
      <c r="AI127" s="1">
        <v>5</v>
      </c>
      <c r="AJ127" s="1" t="s">
        <v>586</v>
      </c>
      <c r="AK127" s="1">
        <v>2</v>
      </c>
      <c r="AL127" s="1">
        <v>83.825999999999993</v>
      </c>
      <c r="AM127" s="1" t="s">
        <v>586</v>
      </c>
      <c r="AN127" s="1"/>
      <c r="AO127" s="1"/>
      <c r="AP127" s="1"/>
      <c r="AQ127" s="1"/>
      <c r="AR127" s="1"/>
      <c r="AS127" s="1" t="s">
        <v>588</v>
      </c>
      <c r="AT127" s="1"/>
    </row>
    <row r="128" spans="1:46">
      <c r="A128" s="1" t="s">
        <v>589</v>
      </c>
      <c r="B128" s="1">
        <v>237</v>
      </c>
      <c r="C128" s="1" t="s">
        <v>589</v>
      </c>
      <c r="D128" s="1" t="s">
        <v>590</v>
      </c>
      <c r="E128" s="1" t="s">
        <v>47</v>
      </c>
      <c r="F128" s="1" t="s">
        <v>580</v>
      </c>
      <c r="G128" s="1" t="s">
        <v>456</v>
      </c>
      <c r="H128" s="2" t="s">
        <v>581</v>
      </c>
      <c r="I128" s="1">
        <v>139</v>
      </c>
      <c r="J128" s="1">
        <v>0.2</v>
      </c>
      <c r="K128" s="1" t="s">
        <v>512</v>
      </c>
      <c r="L128" s="1" t="s">
        <v>65</v>
      </c>
      <c r="M128" s="1">
        <v>24.97</v>
      </c>
      <c r="N128" s="1">
        <v>47</v>
      </c>
      <c r="O128" s="1">
        <v>63.875320000000002</v>
      </c>
      <c r="P128" s="1">
        <v>-172.04872</v>
      </c>
      <c r="Q128" s="1">
        <v>1.9185000000000001</v>
      </c>
      <c r="R128" s="1">
        <v>32.8155</v>
      </c>
      <c r="S128" s="1">
        <v>326.76600000000002</v>
      </c>
      <c r="T128" s="1">
        <v>304.95999999999998</v>
      </c>
      <c r="U128" s="1">
        <v>56.56</v>
      </c>
      <c r="V128" s="1">
        <v>3559.99999999999</v>
      </c>
      <c r="W128" s="3">
        <v>3.5573000000000001</v>
      </c>
      <c r="X128" s="1" t="s">
        <v>591</v>
      </c>
      <c r="Y128" s="1">
        <v>4.0599999999999996</v>
      </c>
      <c r="Z128" s="1">
        <v>0.15</v>
      </c>
      <c r="AA128" s="1">
        <v>1.425</v>
      </c>
      <c r="AB128" s="1">
        <v>23.7</v>
      </c>
      <c r="AC128" s="1">
        <v>14.3</v>
      </c>
      <c r="AD128" s="1">
        <v>0.18</v>
      </c>
      <c r="AE128" s="1">
        <v>1.71</v>
      </c>
      <c r="AF128" s="1">
        <v>14.48</v>
      </c>
      <c r="AG128" s="1"/>
      <c r="AH128" s="1" t="s">
        <v>592</v>
      </c>
      <c r="AI128" s="1">
        <v>4</v>
      </c>
      <c r="AJ128" s="1" t="s">
        <v>591</v>
      </c>
      <c r="AK128" s="1">
        <v>2</v>
      </c>
      <c r="AL128" s="1">
        <v>80.153199999999998</v>
      </c>
      <c r="AM128" s="1" t="s">
        <v>591</v>
      </c>
      <c r="AN128" s="1">
        <v>5.3917963224893901</v>
      </c>
      <c r="AO128" s="1">
        <v>0.81385604867764405</v>
      </c>
      <c r="AP128" s="1"/>
      <c r="AQ128" s="1"/>
      <c r="AR128" s="1"/>
      <c r="AS128" s="1"/>
      <c r="AT128" s="1"/>
    </row>
    <row r="129" spans="1:46">
      <c r="A129" s="1" t="s">
        <v>593</v>
      </c>
      <c r="B129" s="1">
        <v>238</v>
      </c>
      <c r="C129" s="1" t="s">
        <v>593</v>
      </c>
      <c r="D129" s="1" t="s">
        <v>594</v>
      </c>
      <c r="E129" s="1" t="s">
        <v>47</v>
      </c>
      <c r="F129" s="1" t="s">
        <v>580</v>
      </c>
      <c r="G129" s="1" t="s">
        <v>456</v>
      </c>
      <c r="H129" s="2" t="s">
        <v>581</v>
      </c>
      <c r="I129" s="1">
        <v>139</v>
      </c>
      <c r="J129" s="1">
        <v>0.2</v>
      </c>
      <c r="K129" s="1" t="s">
        <v>150</v>
      </c>
      <c r="L129" s="1" t="s">
        <v>78</v>
      </c>
      <c r="M129" s="1">
        <v>44.74</v>
      </c>
      <c r="N129" s="1">
        <v>47</v>
      </c>
      <c r="O129" s="1">
        <v>63.875320000000002</v>
      </c>
      <c r="P129" s="1">
        <v>-172.04872</v>
      </c>
      <c r="Q129" s="1">
        <v>1.8294999999999999</v>
      </c>
      <c r="R129" s="1">
        <v>32.817999999999998</v>
      </c>
      <c r="S129" s="1">
        <v>324.08600000000001</v>
      </c>
      <c r="T129" s="1">
        <v>253.78</v>
      </c>
      <c r="U129" s="1">
        <v>41.24</v>
      </c>
      <c r="V129" s="1">
        <v>4080</v>
      </c>
      <c r="W129" s="3">
        <v>2.6722000000000001</v>
      </c>
      <c r="X129" s="1" t="s">
        <v>595</v>
      </c>
      <c r="Y129" s="1">
        <v>2.78</v>
      </c>
      <c r="Z129" s="1">
        <v>0.61</v>
      </c>
      <c r="AA129" s="1">
        <v>1.5680000000000001</v>
      </c>
      <c r="AB129" s="1">
        <v>24.6</v>
      </c>
      <c r="AC129" s="1">
        <v>15.7</v>
      </c>
      <c r="AD129" s="1">
        <v>0.2</v>
      </c>
      <c r="AE129" s="1">
        <v>1.79</v>
      </c>
      <c r="AF129" s="1">
        <v>15.9</v>
      </c>
      <c r="AG129" s="1"/>
      <c r="AH129" s="1" t="s">
        <v>596</v>
      </c>
      <c r="AI129" s="1">
        <v>1</v>
      </c>
      <c r="AJ129" s="1" t="s">
        <v>595</v>
      </c>
      <c r="AK129" s="1">
        <v>2</v>
      </c>
      <c r="AL129" s="1">
        <v>78.7607</v>
      </c>
      <c r="AM129" s="1" t="s">
        <v>595</v>
      </c>
      <c r="AN129" s="1">
        <v>6.1537342386032998</v>
      </c>
      <c r="AO129" s="1">
        <v>0.92886554544955402</v>
      </c>
      <c r="AP129" s="1"/>
      <c r="AQ129" s="1"/>
      <c r="AR129" s="1"/>
      <c r="AS129" s="1"/>
      <c r="AT129" s="1"/>
    </row>
    <row r="130" spans="1:46">
      <c r="A130" s="1" t="s">
        <v>597</v>
      </c>
      <c r="B130" s="1">
        <v>232</v>
      </c>
      <c r="C130" s="1" t="s">
        <v>597</v>
      </c>
      <c r="D130" s="1" t="s">
        <v>598</v>
      </c>
      <c r="E130" s="1" t="s">
        <v>47</v>
      </c>
      <c r="F130" s="1" t="s">
        <v>127</v>
      </c>
      <c r="G130" s="1" t="s">
        <v>456</v>
      </c>
      <c r="H130" s="2" t="s">
        <v>599</v>
      </c>
      <c r="I130" s="1">
        <v>136</v>
      </c>
      <c r="J130" s="1">
        <v>0.2</v>
      </c>
      <c r="K130" s="1" t="s">
        <v>52</v>
      </c>
      <c r="L130" s="1" t="s">
        <v>52</v>
      </c>
      <c r="M130" s="1">
        <v>3.72</v>
      </c>
      <c r="N130" s="1">
        <v>46</v>
      </c>
      <c r="O130" s="1">
        <v>64.146379999999994</v>
      </c>
      <c r="P130" s="1">
        <v>-171.50935999999999</v>
      </c>
      <c r="Q130" s="1">
        <v>4.47</v>
      </c>
      <c r="R130" s="1">
        <v>32.8095</v>
      </c>
      <c r="S130" s="1">
        <v>305.125</v>
      </c>
      <c r="T130" s="1">
        <v>162.06</v>
      </c>
      <c r="U130" s="1">
        <v>24.76</v>
      </c>
      <c r="V130" s="1">
        <v>2059.99999999999</v>
      </c>
      <c r="W130" s="3">
        <v>0.94930000000000003</v>
      </c>
      <c r="X130" s="1" t="s">
        <v>600</v>
      </c>
      <c r="Y130" s="1">
        <v>1.07</v>
      </c>
      <c r="Z130" s="1">
        <v>0.34</v>
      </c>
      <c r="AA130" s="1">
        <v>1.069</v>
      </c>
      <c r="AB130" s="1">
        <v>18.100000000000001</v>
      </c>
      <c r="AC130" s="1">
        <v>10.1</v>
      </c>
      <c r="AD130" s="1">
        <v>0.11</v>
      </c>
      <c r="AE130" s="1">
        <v>1.39</v>
      </c>
      <c r="AF130" s="1">
        <v>10.210000000000001</v>
      </c>
      <c r="AG130" s="1"/>
      <c r="AH130" s="1" t="s">
        <v>601</v>
      </c>
      <c r="AI130" s="1">
        <v>7</v>
      </c>
      <c r="AJ130" s="1" t="s">
        <v>600</v>
      </c>
      <c r="AK130" s="1">
        <v>2</v>
      </c>
      <c r="AL130" s="1">
        <v>89.376599999999996</v>
      </c>
      <c r="AM130" s="1" t="s">
        <v>600</v>
      </c>
      <c r="AN130" s="1">
        <v>6.5452342487883701</v>
      </c>
      <c r="AO130" s="1">
        <v>0.98795988660956502</v>
      </c>
      <c r="AP130" s="1"/>
      <c r="AQ130" s="1"/>
      <c r="AR130" s="1"/>
      <c r="AS130" s="1" t="s">
        <v>602</v>
      </c>
      <c r="AT130" s="1"/>
    </row>
    <row r="131" spans="1:46">
      <c r="A131" s="1" t="s">
        <v>603</v>
      </c>
      <c r="B131" s="1">
        <v>233</v>
      </c>
      <c r="C131" s="1" t="s">
        <v>603</v>
      </c>
      <c r="D131" s="1" t="s">
        <v>604</v>
      </c>
      <c r="E131" s="1" t="s">
        <v>47</v>
      </c>
      <c r="F131" s="1" t="s">
        <v>127</v>
      </c>
      <c r="G131" s="1" t="s">
        <v>456</v>
      </c>
      <c r="H131" s="2" t="s">
        <v>599</v>
      </c>
      <c r="I131" s="1">
        <v>136</v>
      </c>
      <c r="J131" s="1">
        <v>0.2</v>
      </c>
      <c r="K131" s="1" t="s">
        <v>65</v>
      </c>
      <c r="L131" s="1" t="s">
        <v>65</v>
      </c>
      <c r="M131" s="1">
        <v>9.8000000000000007</v>
      </c>
      <c r="N131" s="1">
        <v>46</v>
      </c>
      <c r="O131" s="1">
        <v>64.146379999999994</v>
      </c>
      <c r="P131" s="1">
        <v>-171.50935999999999</v>
      </c>
      <c r="Q131" s="1">
        <v>3.59</v>
      </c>
      <c r="R131" s="1">
        <v>32.827500000000001</v>
      </c>
      <c r="S131" s="1">
        <v>309.87700000000001</v>
      </c>
      <c r="T131" s="1"/>
      <c r="U131" s="1"/>
      <c r="V131" s="1"/>
      <c r="W131" s="3">
        <v>0.96299999999999997</v>
      </c>
      <c r="X131" s="1" t="s">
        <v>605</v>
      </c>
      <c r="Y131" s="1">
        <v>1.24</v>
      </c>
      <c r="Z131" s="1">
        <v>0.25</v>
      </c>
      <c r="AA131" s="1">
        <v>1.2330000000000001</v>
      </c>
      <c r="AB131" s="1">
        <v>19.5</v>
      </c>
      <c r="AC131" s="1">
        <v>12.2</v>
      </c>
      <c r="AD131" s="1">
        <v>0.14000000000000001</v>
      </c>
      <c r="AE131" s="1">
        <v>1.56</v>
      </c>
      <c r="AF131" s="1">
        <v>12.34</v>
      </c>
      <c r="AG131" s="1"/>
      <c r="AH131" s="1" t="s">
        <v>606</v>
      </c>
      <c r="AI131" s="1">
        <v>5</v>
      </c>
      <c r="AJ131" s="1" t="s">
        <v>607</v>
      </c>
      <c r="AK131" s="1">
        <v>2</v>
      </c>
      <c r="AL131" s="1">
        <v>86.520799999999994</v>
      </c>
      <c r="AM131" s="1" t="s">
        <v>605</v>
      </c>
      <c r="AN131" s="1"/>
      <c r="AO131" s="1"/>
      <c r="AP131" s="1"/>
      <c r="AQ131" s="1"/>
      <c r="AR131" s="1"/>
      <c r="AS131" s="1" t="s">
        <v>608</v>
      </c>
      <c r="AT131" s="1"/>
    </row>
    <row r="132" spans="1:46">
      <c r="A132" s="1" t="s">
        <v>609</v>
      </c>
      <c r="B132" s="1">
        <v>234</v>
      </c>
      <c r="C132" s="1" t="s">
        <v>609</v>
      </c>
      <c r="D132" s="1" t="s">
        <v>610</v>
      </c>
      <c r="E132" s="1" t="s">
        <v>47</v>
      </c>
      <c r="F132" s="1" t="s">
        <v>127</v>
      </c>
      <c r="G132" s="1" t="s">
        <v>456</v>
      </c>
      <c r="H132" s="2" t="s">
        <v>599</v>
      </c>
      <c r="I132" s="1">
        <v>136</v>
      </c>
      <c r="J132" s="1">
        <v>0.2</v>
      </c>
      <c r="K132" s="1" t="s">
        <v>150</v>
      </c>
      <c r="L132" s="1" t="s">
        <v>78</v>
      </c>
      <c r="M132" s="1">
        <v>41.79</v>
      </c>
      <c r="N132" s="1">
        <v>46</v>
      </c>
      <c r="O132" s="1">
        <v>64.146360000000001</v>
      </c>
      <c r="P132" s="1">
        <v>-171.50935999999999</v>
      </c>
      <c r="Q132" s="1">
        <v>2.8515000000000001</v>
      </c>
      <c r="R132" s="1">
        <v>32.831499999999998</v>
      </c>
      <c r="S132" s="1">
        <v>315.351</v>
      </c>
      <c r="T132" s="1">
        <v>178.12</v>
      </c>
      <c r="U132" s="1">
        <v>26.42</v>
      </c>
      <c r="V132" s="1">
        <v>3100.00000000001</v>
      </c>
      <c r="W132" s="3">
        <v>1.3559000000000001</v>
      </c>
      <c r="X132" s="1" t="s">
        <v>611</v>
      </c>
      <c r="Y132" s="1">
        <v>1.06</v>
      </c>
      <c r="Z132" s="1">
        <v>0.78</v>
      </c>
      <c r="AA132" s="1">
        <v>1.4419999999999999</v>
      </c>
      <c r="AB132" s="1">
        <v>24.6</v>
      </c>
      <c r="AC132" s="1">
        <v>14.7</v>
      </c>
      <c r="AD132" s="1">
        <v>0.17</v>
      </c>
      <c r="AE132" s="1">
        <v>1.68</v>
      </c>
      <c r="AF132" s="1">
        <v>14.87</v>
      </c>
      <c r="AG132" s="1"/>
      <c r="AH132" s="1" t="s">
        <v>612</v>
      </c>
      <c r="AI132" s="1">
        <v>1</v>
      </c>
      <c r="AJ132" s="1" t="s">
        <v>611</v>
      </c>
      <c r="AK132" s="1">
        <v>2</v>
      </c>
      <c r="AL132" s="1">
        <v>83.029300000000006</v>
      </c>
      <c r="AM132" s="1" t="s">
        <v>611</v>
      </c>
      <c r="AN132" s="1">
        <v>6.7418622255866802</v>
      </c>
      <c r="AO132" s="1">
        <v>1.01763958122063</v>
      </c>
      <c r="AP132" s="1"/>
      <c r="AQ132" s="1"/>
      <c r="AR132" s="1"/>
      <c r="AS132" s="1"/>
      <c r="AT132" s="1"/>
    </row>
    <row r="133" spans="1:46">
      <c r="A133" s="1" t="s">
        <v>613</v>
      </c>
      <c r="B133" s="1">
        <v>229</v>
      </c>
      <c r="C133" s="1" t="s">
        <v>613</v>
      </c>
      <c r="D133" s="1" t="s">
        <v>614</v>
      </c>
      <c r="E133" s="1" t="s">
        <v>47</v>
      </c>
      <c r="F133" s="1" t="s">
        <v>615</v>
      </c>
      <c r="G133" s="1" t="s">
        <v>456</v>
      </c>
      <c r="H133" s="2" t="s">
        <v>616</v>
      </c>
      <c r="I133" s="1">
        <v>132</v>
      </c>
      <c r="J133" s="1">
        <v>0.2</v>
      </c>
      <c r="K133" s="1" t="s">
        <v>52</v>
      </c>
      <c r="L133" s="1" t="s">
        <v>52</v>
      </c>
      <c r="M133" s="1">
        <v>3.3</v>
      </c>
      <c r="N133" s="1">
        <v>49</v>
      </c>
      <c r="O133" s="1">
        <v>64.689279999999997</v>
      </c>
      <c r="P133" s="1">
        <v>-170.42949999999999</v>
      </c>
      <c r="Q133" s="1">
        <v>3.2709999999999999</v>
      </c>
      <c r="R133" s="1">
        <v>32.8855</v>
      </c>
      <c r="S133" s="1">
        <v>309.67599999999999</v>
      </c>
      <c r="T133" s="1">
        <v>164.08</v>
      </c>
      <c r="U133" s="1">
        <v>25.8</v>
      </c>
      <c r="V133" s="1">
        <v>2699.99999999999</v>
      </c>
      <c r="W133" s="3">
        <v>0.78959999999999997</v>
      </c>
      <c r="X133" s="1" t="s">
        <v>617</v>
      </c>
      <c r="Y133" s="1">
        <v>0.96</v>
      </c>
      <c r="Z133" s="1">
        <v>0.18</v>
      </c>
      <c r="AA133" s="1">
        <v>1.4950000000000001</v>
      </c>
      <c r="AB133" s="1">
        <v>26.4</v>
      </c>
      <c r="AC133" s="1">
        <v>15.9</v>
      </c>
      <c r="AD133" s="1">
        <v>0.17</v>
      </c>
      <c r="AE133" s="1">
        <v>1.98</v>
      </c>
      <c r="AF133" s="1">
        <v>16.07</v>
      </c>
      <c r="AG133" s="1"/>
      <c r="AH133" s="1" t="s">
        <v>618</v>
      </c>
      <c r="AI133" s="1">
        <v>5</v>
      </c>
      <c r="AJ133" s="1" t="s">
        <v>617</v>
      </c>
      <c r="AK133" s="1">
        <v>2</v>
      </c>
      <c r="AL133" s="1">
        <v>83.538600000000002</v>
      </c>
      <c r="AM133" s="1" t="s">
        <v>617</v>
      </c>
      <c r="AN133" s="1">
        <v>6.3596899224806203</v>
      </c>
      <c r="AO133" s="1">
        <v>0.95995319584613104</v>
      </c>
      <c r="AP133" s="1"/>
      <c r="AQ133" s="1"/>
      <c r="AR133" s="1"/>
      <c r="AS133" s="1" t="s">
        <v>619</v>
      </c>
      <c r="AT133" s="1"/>
    </row>
    <row r="134" spans="1:46">
      <c r="A134" s="1" t="s">
        <v>620</v>
      </c>
      <c r="B134" s="1">
        <v>230</v>
      </c>
      <c r="C134" s="1" t="s">
        <v>620</v>
      </c>
      <c r="D134" s="1" t="s">
        <v>621</v>
      </c>
      <c r="E134" s="1" t="s">
        <v>47</v>
      </c>
      <c r="F134" s="1" t="s">
        <v>615</v>
      </c>
      <c r="G134" s="1" t="s">
        <v>456</v>
      </c>
      <c r="H134" s="2" t="s">
        <v>616</v>
      </c>
      <c r="I134" s="1">
        <v>132</v>
      </c>
      <c r="J134" s="1">
        <v>0.2</v>
      </c>
      <c r="K134" s="1" t="s">
        <v>65</v>
      </c>
      <c r="L134" s="1" t="s">
        <v>65</v>
      </c>
      <c r="M134" s="1">
        <v>20.100000000000001</v>
      </c>
      <c r="N134" s="1">
        <v>49</v>
      </c>
      <c r="O134" s="1">
        <v>64.689279999999997</v>
      </c>
      <c r="P134" s="1">
        <v>-170.42949999999999</v>
      </c>
      <c r="Q134" s="1">
        <v>2.89</v>
      </c>
      <c r="R134" s="1">
        <v>32.880499999999998</v>
      </c>
      <c r="S134" s="1">
        <v>309.56700000000001</v>
      </c>
      <c r="T134" s="1"/>
      <c r="U134" s="1"/>
      <c r="V134" s="1"/>
      <c r="W134" s="3">
        <v>1.0414000000000001</v>
      </c>
      <c r="X134" s="1" t="s">
        <v>622</v>
      </c>
      <c r="Y134" s="1">
        <v>1.35</v>
      </c>
      <c r="Z134" s="1">
        <v>0.38</v>
      </c>
      <c r="AA134" s="1">
        <v>1.5389999999999999</v>
      </c>
      <c r="AB134" s="1">
        <v>27.1</v>
      </c>
      <c r="AC134" s="1">
        <v>15.8</v>
      </c>
      <c r="AD134" s="1">
        <v>0.18</v>
      </c>
      <c r="AE134" s="1">
        <v>1.91</v>
      </c>
      <c r="AF134" s="1">
        <v>15.98</v>
      </c>
      <c r="AG134" s="1"/>
      <c r="AH134" s="1" t="s">
        <v>623</v>
      </c>
      <c r="AI134" s="1">
        <v>3</v>
      </c>
      <c r="AJ134" s="1" t="s">
        <v>622</v>
      </c>
      <c r="AK134" s="1">
        <v>2</v>
      </c>
      <c r="AL134" s="1">
        <v>82.346100000000007</v>
      </c>
      <c r="AM134" s="1" t="s">
        <v>622</v>
      </c>
      <c r="AN134" s="1"/>
      <c r="AO134" s="1"/>
      <c r="AP134" s="1"/>
      <c r="AQ134" s="1"/>
      <c r="AR134" s="1"/>
      <c r="AS134" s="1"/>
      <c r="AT134" s="1"/>
    </row>
    <row r="135" spans="1:46">
      <c r="A135" s="1" t="s">
        <v>624</v>
      </c>
      <c r="B135" s="1">
        <v>231</v>
      </c>
      <c r="C135" s="1" t="s">
        <v>624</v>
      </c>
      <c r="D135" s="1" t="s">
        <v>625</v>
      </c>
      <c r="E135" s="1" t="s">
        <v>47</v>
      </c>
      <c r="F135" s="1" t="s">
        <v>615</v>
      </c>
      <c r="G135" s="1" t="s">
        <v>456</v>
      </c>
      <c r="H135" s="2" t="s">
        <v>616</v>
      </c>
      <c r="I135" s="1">
        <v>132</v>
      </c>
      <c r="J135" s="1">
        <v>0.2</v>
      </c>
      <c r="K135" s="1" t="s">
        <v>150</v>
      </c>
      <c r="L135" s="1" t="s">
        <v>78</v>
      </c>
      <c r="M135" s="1">
        <v>44.58</v>
      </c>
      <c r="N135" s="1">
        <v>49</v>
      </c>
      <c r="O135" s="1">
        <v>64.689279999999997</v>
      </c>
      <c r="P135" s="1">
        <v>-170.42948000000001</v>
      </c>
      <c r="Q135" s="1">
        <v>2.8395000000000001</v>
      </c>
      <c r="R135" s="1">
        <v>32.877000000000002</v>
      </c>
      <c r="S135" s="1">
        <v>307.69900000000001</v>
      </c>
      <c r="T135" s="1">
        <v>196.58</v>
      </c>
      <c r="U135" s="1">
        <v>30.54</v>
      </c>
      <c r="V135" s="1">
        <v>4640.00000000001</v>
      </c>
      <c r="W135" s="3">
        <v>1.1855</v>
      </c>
      <c r="X135" s="1" t="s">
        <v>626</v>
      </c>
      <c r="Y135" s="1">
        <v>0.98</v>
      </c>
      <c r="Z135" s="1">
        <v>1.29</v>
      </c>
      <c r="AA135" s="1">
        <v>1.5</v>
      </c>
      <c r="AB135" s="1">
        <v>26.4</v>
      </c>
      <c r="AC135" s="1">
        <v>15.1</v>
      </c>
      <c r="AD135" s="1">
        <v>0.18</v>
      </c>
      <c r="AE135" s="1">
        <v>1.93</v>
      </c>
      <c r="AF135" s="1">
        <v>15.28</v>
      </c>
      <c r="AG135" s="1"/>
      <c r="AH135" s="1" t="s">
        <v>627</v>
      </c>
      <c r="AI135" s="1">
        <v>1</v>
      </c>
      <c r="AJ135" s="1" t="s">
        <v>626</v>
      </c>
      <c r="AK135" s="1">
        <v>2</v>
      </c>
      <c r="AL135" s="1">
        <v>69.353200000000001</v>
      </c>
      <c r="AM135" s="1" t="s">
        <v>626</v>
      </c>
      <c r="AN135" s="1">
        <v>6.4368041912246197</v>
      </c>
      <c r="AO135" s="1">
        <v>0.97159308546786805</v>
      </c>
      <c r="AP135" s="1"/>
      <c r="AQ135" s="1"/>
      <c r="AR135" s="1"/>
      <c r="AS135" s="1"/>
      <c r="AT135" s="1"/>
    </row>
    <row r="136" spans="1:46">
      <c r="A136" s="1" t="s">
        <v>628</v>
      </c>
      <c r="B136" s="1">
        <v>105</v>
      </c>
      <c r="C136" s="1" t="s">
        <v>628</v>
      </c>
      <c r="D136" s="1" t="s">
        <v>629</v>
      </c>
      <c r="E136" s="1" t="s">
        <v>47</v>
      </c>
      <c r="F136" s="1" t="s">
        <v>630</v>
      </c>
      <c r="G136" s="1" t="s">
        <v>456</v>
      </c>
      <c r="H136" s="2" t="s">
        <v>631</v>
      </c>
      <c r="I136" s="1">
        <v>70</v>
      </c>
      <c r="J136" s="1">
        <v>0.2</v>
      </c>
      <c r="K136" s="1" t="s">
        <v>52</v>
      </c>
      <c r="L136" s="1" t="s">
        <v>52</v>
      </c>
      <c r="M136" s="1">
        <v>3.12</v>
      </c>
      <c r="N136" s="1">
        <v>31</v>
      </c>
      <c r="O136" s="1">
        <v>68.898560000000003</v>
      </c>
      <c r="P136" s="1">
        <v>-166.41962000000001</v>
      </c>
      <c r="Q136" s="1">
        <v>2.4950000000000001</v>
      </c>
      <c r="R136" s="1">
        <v>30.407</v>
      </c>
      <c r="S136" s="1">
        <v>357.15199999999999</v>
      </c>
      <c r="T136" s="1">
        <v>154.62</v>
      </c>
      <c r="U136" s="1">
        <v>26.56</v>
      </c>
      <c r="V136" s="1">
        <v>2740.00000000001</v>
      </c>
      <c r="W136" s="3">
        <v>0.45229999999999998</v>
      </c>
      <c r="X136" s="1" t="s">
        <v>632</v>
      </c>
      <c r="Y136" s="1">
        <v>0.56000000000000005</v>
      </c>
      <c r="Z136" s="1">
        <v>0.15</v>
      </c>
      <c r="AA136" s="1">
        <v>0.69899999999999995</v>
      </c>
      <c r="AB136" s="1">
        <v>6.9</v>
      </c>
      <c r="AC136" s="1">
        <v>0</v>
      </c>
      <c r="AD136" s="1">
        <v>0</v>
      </c>
      <c r="AE136" s="1">
        <v>0.56999999999999995</v>
      </c>
      <c r="AF136" s="1">
        <v>0</v>
      </c>
      <c r="AG136" s="1"/>
      <c r="AH136" s="1" t="s">
        <v>633</v>
      </c>
      <c r="AI136" s="1">
        <v>4</v>
      </c>
      <c r="AJ136" s="1" t="s">
        <v>632</v>
      </c>
      <c r="AK136" s="1">
        <v>2</v>
      </c>
      <c r="AL136" s="1">
        <v>82.149299999999997</v>
      </c>
      <c r="AM136" s="1" t="s">
        <v>632</v>
      </c>
      <c r="AN136" s="1">
        <v>5.8215361445783103</v>
      </c>
      <c r="AO136" s="1">
        <v>0.87872243691748098</v>
      </c>
      <c r="AP136" s="1"/>
      <c r="AQ136" s="1"/>
      <c r="AR136" s="1"/>
      <c r="AS136" s="1"/>
      <c r="AT136" s="1"/>
    </row>
    <row r="137" spans="1:46">
      <c r="A137" s="1" t="s">
        <v>634</v>
      </c>
      <c r="B137" s="1">
        <v>104</v>
      </c>
      <c r="C137" s="1" t="s">
        <v>634</v>
      </c>
      <c r="D137" s="1" t="s">
        <v>635</v>
      </c>
      <c r="E137" s="1" t="s">
        <v>47</v>
      </c>
      <c r="F137" s="1" t="s">
        <v>630</v>
      </c>
      <c r="G137" s="1" t="s">
        <v>456</v>
      </c>
      <c r="H137" s="2" t="s">
        <v>631</v>
      </c>
      <c r="I137" s="1">
        <v>70</v>
      </c>
      <c r="J137" s="1">
        <v>0.2</v>
      </c>
      <c r="K137" s="1" t="s">
        <v>65</v>
      </c>
      <c r="L137" s="1" t="s">
        <v>65</v>
      </c>
      <c r="M137" s="1">
        <v>19.78</v>
      </c>
      <c r="N137" s="1">
        <v>31</v>
      </c>
      <c r="O137" s="1">
        <v>68.898560000000003</v>
      </c>
      <c r="P137" s="1">
        <v>-166.4196</v>
      </c>
      <c r="Q137" s="1">
        <v>0.92900000000000005</v>
      </c>
      <c r="R137" s="1">
        <v>31.5045</v>
      </c>
      <c r="S137" s="1">
        <v>389.49099999999999</v>
      </c>
      <c r="T137" s="1"/>
      <c r="U137" s="1"/>
      <c r="V137" s="1"/>
      <c r="W137" s="3">
        <v>0.83989999999999998</v>
      </c>
      <c r="X137" s="1" t="s">
        <v>636</v>
      </c>
      <c r="Y137" s="1">
        <v>0.52</v>
      </c>
      <c r="Z137" s="1">
        <v>0.33</v>
      </c>
      <c r="AA137" s="1">
        <v>0.78500000000000003</v>
      </c>
      <c r="AB137" s="1">
        <v>6.2</v>
      </c>
      <c r="AC137" s="1">
        <v>0.1</v>
      </c>
      <c r="AD137" s="1">
        <v>0.01</v>
      </c>
      <c r="AE137" s="1">
        <v>0.78</v>
      </c>
      <c r="AF137" s="1">
        <v>0.11</v>
      </c>
      <c r="AG137" s="1"/>
      <c r="AH137" s="1" t="s">
        <v>637</v>
      </c>
      <c r="AI137" s="1">
        <v>2</v>
      </c>
      <c r="AJ137" s="1" t="s">
        <v>636</v>
      </c>
      <c r="AK137" s="1">
        <v>2</v>
      </c>
      <c r="AL137" s="1">
        <v>90.225099999999998</v>
      </c>
      <c r="AM137" s="1" t="s">
        <v>636</v>
      </c>
      <c r="AN137" s="1"/>
      <c r="AO137" s="1"/>
      <c r="AP137" s="1"/>
      <c r="AQ137" s="1"/>
      <c r="AR137" s="1"/>
      <c r="AS137" s="1"/>
      <c r="AT137" s="1"/>
    </row>
    <row r="138" spans="1:46">
      <c r="A138" s="1" t="s">
        <v>638</v>
      </c>
      <c r="B138" s="1">
        <v>105</v>
      </c>
      <c r="C138" s="1" t="s">
        <v>638</v>
      </c>
      <c r="D138" s="1" t="s">
        <v>639</v>
      </c>
      <c r="E138" s="1" t="s">
        <v>47</v>
      </c>
      <c r="F138" s="1" t="s">
        <v>630</v>
      </c>
      <c r="G138" s="1" t="s">
        <v>456</v>
      </c>
      <c r="H138" s="2" t="s">
        <v>631</v>
      </c>
      <c r="I138" s="1">
        <v>70</v>
      </c>
      <c r="J138" s="1">
        <v>0.2</v>
      </c>
      <c r="K138" s="1" t="s">
        <v>150</v>
      </c>
      <c r="L138" s="1" t="s">
        <v>78</v>
      </c>
      <c r="M138" s="1">
        <v>28.13</v>
      </c>
      <c r="N138" s="1">
        <v>31</v>
      </c>
      <c r="O138" s="1">
        <v>68.898560000000003</v>
      </c>
      <c r="P138" s="1">
        <v>-166.41962000000001</v>
      </c>
      <c r="Q138" s="1">
        <v>0.38550000000000001</v>
      </c>
      <c r="R138" s="1">
        <v>31.6845</v>
      </c>
      <c r="S138" s="1">
        <v>384.59100000000001</v>
      </c>
      <c r="T138" s="1">
        <v>157.32</v>
      </c>
      <c r="U138" s="1">
        <v>31.96</v>
      </c>
      <c r="V138" s="1">
        <v>1620</v>
      </c>
      <c r="W138" s="3">
        <v>0.54020000000000001</v>
      </c>
      <c r="X138" s="1" t="s">
        <v>640</v>
      </c>
      <c r="Y138" s="1">
        <v>0.32</v>
      </c>
      <c r="Z138" s="1">
        <v>0.56000000000000005</v>
      </c>
      <c r="AA138" s="1">
        <v>0.80700000000000005</v>
      </c>
      <c r="AB138" s="1">
        <v>6.3</v>
      </c>
      <c r="AC138" s="1">
        <v>0.1</v>
      </c>
      <c r="AD138" s="1">
        <v>0.01</v>
      </c>
      <c r="AE138" s="1">
        <v>0.94</v>
      </c>
      <c r="AF138" s="1">
        <v>0.11</v>
      </c>
      <c r="AG138" s="1"/>
      <c r="AH138" s="1" t="s">
        <v>641</v>
      </c>
      <c r="AI138" s="1">
        <v>1</v>
      </c>
      <c r="AJ138" s="1" t="s">
        <v>640</v>
      </c>
      <c r="AK138" s="1">
        <v>2</v>
      </c>
      <c r="AL138" s="1">
        <v>90.230500000000006</v>
      </c>
      <c r="AM138" s="1" t="s">
        <v>640</v>
      </c>
      <c r="AN138" s="1">
        <v>4.92240300375469</v>
      </c>
      <c r="AO138" s="1">
        <v>0.74300422698183999</v>
      </c>
      <c r="AP138" s="1"/>
      <c r="AQ138" s="1"/>
      <c r="AR138" s="1"/>
      <c r="AS138" s="1"/>
      <c r="AT138" s="1"/>
    </row>
    <row r="139" spans="1:46">
      <c r="A139" s="1" t="s">
        <v>642</v>
      </c>
      <c r="B139" s="1">
        <v>106</v>
      </c>
      <c r="C139" s="1" t="s">
        <v>642</v>
      </c>
      <c r="D139" s="1" t="s">
        <v>643</v>
      </c>
      <c r="E139" s="1" t="s">
        <v>47</v>
      </c>
      <c r="F139" s="1" t="s">
        <v>162</v>
      </c>
      <c r="G139" s="1" t="s">
        <v>456</v>
      </c>
      <c r="H139" s="2" t="s">
        <v>644</v>
      </c>
      <c r="I139" s="1">
        <v>71</v>
      </c>
      <c r="J139" s="1">
        <v>0.2</v>
      </c>
      <c r="K139" s="1" t="s">
        <v>52</v>
      </c>
      <c r="L139" s="1" t="s">
        <v>52</v>
      </c>
      <c r="M139" s="1">
        <v>3.02</v>
      </c>
      <c r="N139" s="1">
        <v>46</v>
      </c>
      <c r="O139" s="1">
        <v>68.947860000000006</v>
      </c>
      <c r="P139" s="1">
        <v>-166.90956</v>
      </c>
      <c r="Q139" s="1">
        <v>2.7645</v>
      </c>
      <c r="R139" s="1">
        <v>30.728000000000002</v>
      </c>
      <c r="S139" s="1">
        <v>344.642</v>
      </c>
      <c r="T139" s="1">
        <v>181.1</v>
      </c>
      <c r="U139" s="1">
        <v>35.54</v>
      </c>
      <c r="V139" s="1">
        <v>2379.99999999999</v>
      </c>
      <c r="W139" s="3">
        <v>0.48099999999999998</v>
      </c>
      <c r="X139" s="1" t="s">
        <v>645</v>
      </c>
      <c r="Y139" s="1">
        <v>0.67</v>
      </c>
      <c r="Z139" s="1">
        <v>0.04</v>
      </c>
      <c r="AA139" s="1"/>
      <c r="AB139" s="1"/>
      <c r="AC139" s="1"/>
      <c r="AD139" s="1"/>
      <c r="AE139" s="1"/>
      <c r="AF139" s="1"/>
      <c r="AG139" s="1"/>
      <c r="AH139" s="1" t="s">
        <v>646</v>
      </c>
      <c r="AI139" s="1">
        <v>6</v>
      </c>
      <c r="AJ139" s="1" t="s">
        <v>645</v>
      </c>
      <c r="AK139" s="1">
        <v>2</v>
      </c>
      <c r="AL139" s="1">
        <v>88.9452</v>
      </c>
      <c r="AM139" s="1" t="s">
        <v>645</v>
      </c>
      <c r="AN139" s="1">
        <v>5.09566685424873</v>
      </c>
      <c r="AO139" s="1">
        <v>0.76915726101867699</v>
      </c>
      <c r="AP139" s="1"/>
      <c r="AQ139" s="1"/>
      <c r="AR139" s="1"/>
      <c r="AS139" s="1"/>
      <c r="AT139" s="1"/>
    </row>
    <row r="140" spans="1:46">
      <c r="A140" s="1" t="s">
        <v>647</v>
      </c>
      <c r="B140" s="1">
        <v>107</v>
      </c>
      <c r="C140" s="1" t="s">
        <v>647</v>
      </c>
      <c r="D140" s="1" t="s">
        <v>648</v>
      </c>
      <c r="E140" s="1" t="s">
        <v>47</v>
      </c>
      <c r="F140" s="1" t="s">
        <v>162</v>
      </c>
      <c r="G140" s="1" t="s">
        <v>456</v>
      </c>
      <c r="H140" s="2" t="s">
        <v>644</v>
      </c>
      <c r="I140" s="1">
        <v>71</v>
      </c>
      <c r="J140" s="1">
        <v>0.2</v>
      </c>
      <c r="K140" s="1" t="s">
        <v>486</v>
      </c>
      <c r="L140" s="1" t="s">
        <v>65</v>
      </c>
      <c r="M140" s="1">
        <v>12.08</v>
      </c>
      <c r="N140" s="1">
        <v>46</v>
      </c>
      <c r="O140" s="1">
        <v>68.947860000000006</v>
      </c>
      <c r="P140" s="1">
        <v>-166.90956</v>
      </c>
      <c r="Q140" s="1">
        <v>1.0609999999999999</v>
      </c>
      <c r="R140" s="1">
        <v>31.840499999999999</v>
      </c>
      <c r="S140" s="1">
        <v>372.92399999999998</v>
      </c>
      <c r="T140" s="1">
        <v>217.12</v>
      </c>
      <c r="U140" s="1">
        <v>44.74</v>
      </c>
      <c r="V140" s="1">
        <v>2720</v>
      </c>
      <c r="W140" s="3">
        <v>0.9929</v>
      </c>
      <c r="X140" s="1" t="s">
        <v>649</v>
      </c>
      <c r="Y140" s="1">
        <v>0.4</v>
      </c>
      <c r="Z140" s="1">
        <v>0.81</v>
      </c>
      <c r="AA140" s="1"/>
      <c r="AB140" s="1"/>
      <c r="AC140" s="1"/>
      <c r="AD140" s="1"/>
      <c r="AE140" s="1"/>
      <c r="AF140" s="1"/>
      <c r="AG140" s="1"/>
      <c r="AH140" s="1" t="s">
        <v>650</v>
      </c>
      <c r="AI140" s="1">
        <v>4</v>
      </c>
      <c r="AJ140" s="1" t="s">
        <v>649</v>
      </c>
      <c r="AK140" s="1">
        <v>2</v>
      </c>
      <c r="AL140" s="1">
        <v>89.5809</v>
      </c>
      <c r="AM140" s="1" t="s">
        <v>649</v>
      </c>
      <c r="AN140" s="1">
        <v>4.8529280286097496</v>
      </c>
      <c r="AO140" s="1">
        <v>0.73251743828071603</v>
      </c>
      <c r="AP140" s="1"/>
      <c r="AQ140" s="1"/>
      <c r="AR140" s="1"/>
      <c r="AS140" s="1" t="s">
        <v>651</v>
      </c>
      <c r="AT140" s="1"/>
    </row>
    <row r="141" spans="1:46">
      <c r="A141" s="1" t="s">
        <v>652</v>
      </c>
      <c r="B141" s="1">
        <v>108</v>
      </c>
      <c r="C141" s="1" t="s">
        <v>652</v>
      </c>
      <c r="D141" s="1" t="s">
        <v>653</v>
      </c>
      <c r="E141" s="1" t="s">
        <v>47</v>
      </c>
      <c r="F141" s="1" t="s">
        <v>162</v>
      </c>
      <c r="G141" s="1" t="s">
        <v>456</v>
      </c>
      <c r="H141" s="2" t="s">
        <v>644</v>
      </c>
      <c r="I141" s="1">
        <v>71</v>
      </c>
      <c r="J141" s="1">
        <v>0.2</v>
      </c>
      <c r="K141" s="1" t="s">
        <v>150</v>
      </c>
      <c r="L141" s="1" t="s">
        <v>78</v>
      </c>
      <c r="M141" s="1">
        <v>43.87</v>
      </c>
      <c r="N141" s="1">
        <v>46</v>
      </c>
      <c r="O141" s="1">
        <v>68.947860000000006</v>
      </c>
      <c r="P141" s="1">
        <v>-166.90956</v>
      </c>
      <c r="Q141" s="1">
        <v>0.72850000000000004</v>
      </c>
      <c r="R141" s="1">
        <v>32.000999999999998</v>
      </c>
      <c r="S141" s="1">
        <v>368.19</v>
      </c>
      <c r="T141" s="1">
        <v>225.68</v>
      </c>
      <c r="U141" s="1">
        <v>31.38</v>
      </c>
      <c r="V141" s="1">
        <v>1980</v>
      </c>
      <c r="W141" s="3">
        <v>0.46960000000000002</v>
      </c>
      <c r="X141" s="1" t="s">
        <v>654</v>
      </c>
      <c r="Y141" s="1">
        <v>0.75</v>
      </c>
      <c r="Z141" s="1">
        <v>0.34</v>
      </c>
      <c r="AA141" s="1"/>
      <c r="AB141" s="1"/>
      <c r="AC141" s="1"/>
      <c r="AD141" s="1"/>
      <c r="AE141" s="1"/>
      <c r="AF141" s="1"/>
      <c r="AG141" s="1"/>
      <c r="AH141" s="1" t="s">
        <v>655</v>
      </c>
      <c r="AI141" s="1">
        <v>1</v>
      </c>
      <c r="AJ141" s="1" t="s">
        <v>654</v>
      </c>
      <c r="AK141" s="1">
        <v>2</v>
      </c>
      <c r="AL141" s="1">
        <v>87.856200000000001</v>
      </c>
      <c r="AM141" s="1" t="s">
        <v>654</v>
      </c>
      <c r="AN141" s="1">
        <v>7.1918419375398299</v>
      </c>
      <c r="AO141" s="1">
        <v>1.0855610471758199</v>
      </c>
      <c r="AP141" s="1"/>
      <c r="AQ141" s="1"/>
      <c r="AR141" s="1"/>
      <c r="AS141" s="1"/>
      <c r="AT141" s="1"/>
    </row>
    <row r="142" spans="1:46">
      <c r="A142" s="1" t="s">
        <v>656</v>
      </c>
      <c r="B142" s="1">
        <v>109</v>
      </c>
      <c r="C142" s="1" t="s">
        <v>656</v>
      </c>
      <c r="D142" s="1" t="s">
        <v>657</v>
      </c>
      <c r="E142" s="1" t="s">
        <v>47</v>
      </c>
      <c r="F142" s="1" t="s">
        <v>658</v>
      </c>
      <c r="G142" s="1" t="s">
        <v>456</v>
      </c>
      <c r="H142" s="2" t="s">
        <v>659</v>
      </c>
      <c r="I142" s="1">
        <v>72</v>
      </c>
      <c r="J142" s="1">
        <v>0.2</v>
      </c>
      <c r="K142" s="1" t="s">
        <v>52</v>
      </c>
      <c r="L142" s="1" t="s">
        <v>52</v>
      </c>
      <c r="M142" s="1">
        <v>3.24</v>
      </c>
      <c r="N142" s="1">
        <v>48</v>
      </c>
      <c r="O142" s="1">
        <v>68.999979999999994</v>
      </c>
      <c r="P142" s="1">
        <v>-167.42822000000001</v>
      </c>
      <c r="Q142" s="1">
        <v>2.3805000000000001</v>
      </c>
      <c r="R142" s="1">
        <v>31.409500000000001</v>
      </c>
      <c r="S142" s="1">
        <v>351.47300000000001</v>
      </c>
      <c r="T142" s="1">
        <v>190.1</v>
      </c>
      <c r="U142" s="1">
        <v>38.32</v>
      </c>
      <c r="V142" s="1">
        <v>2280</v>
      </c>
      <c r="W142" s="3">
        <v>0.87209999999999999</v>
      </c>
      <c r="X142" s="1" t="s">
        <v>660</v>
      </c>
      <c r="Y142" s="1">
        <v>0.51</v>
      </c>
      <c r="Z142" s="1">
        <v>0.22</v>
      </c>
      <c r="AA142" s="1">
        <v>0.67</v>
      </c>
      <c r="AB142" s="1">
        <v>3.6</v>
      </c>
      <c r="AC142" s="1">
        <v>0.4</v>
      </c>
      <c r="AD142" s="1">
        <v>0.02</v>
      </c>
      <c r="AE142" s="1">
        <v>0.59</v>
      </c>
      <c r="AF142" s="1">
        <v>0.42</v>
      </c>
      <c r="AG142" s="1"/>
      <c r="AH142" s="1" t="s">
        <v>661</v>
      </c>
      <c r="AI142" s="1">
        <v>5</v>
      </c>
      <c r="AJ142" s="1" t="s">
        <v>660</v>
      </c>
      <c r="AK142" s="1">
        <v>2</v>
      </c>
      <c r="AL142" s="1">
        <v>88.656199999999998</v>
      </c>
      <c r="AM142" s="1" t="s">
        <v>660</v>
      </c>
      <c r="AN142" s="1">
        <v>4.9608559498956204</v>
      </c>
      <c r="AO142" s="1">
        <v>0.74880844526726298</v>
      </c>
      <c r="AP142" s="1"/>
      <c r="AQ142" s="1"/>
      <c r="AR142" s="1"/>
      <c r="AS142" s="1"/>
      <c r="AT142" s="1"/>
    </row>
    <row r="143" spans="1:46">
      <c r="A143" s="1" t="s">
        <v>662</v>
      </c>
      <c r="B143" s="1">
        <v>110</v>
      </c>
      <c r="C143" s="1" t="s">
        <v>662</v>
      </c>
      <c r="D143" s="1" t="s">
        <v>663</v>
      </c>
      <c r="E143" s="1" t="s">
        <v>47</v>
      </c>
      <c r="F143" s="1" t="s">
        <v>658</v>
      </c>
      <c r="G143" s="1" t="s">
        <v>456</v>
      </c>
      <c r="H143" s="2" t="s">
        <v>659</v>
      </c>
      <c r="I143" s="1">
        <v>72</v>
      </c>
      <c r="J143" s="1">
        <v>0.2</v>
      </c>
      <c r="K143" s="1" t="s">
        <v>486</v>
      </c>
      <c r="L143" s="1" t="s">
        <v>65</v>
      </c>
      <c r="M143" s="1">
        <v>19.850000000000001</v>
      </c>
      <c r="N143" s="1">
        <v>48</v>
      </c>
      <c r="O143" s="1">
        <v>68.999979999999994</v>
      </c>
      <c r="P143" s="1">
        <v>-167.42822000000001</v>
      </c>
      <c r="Q143" s="1">
        <v>1.024</v>
      </c>
      <c r="R143" s="1">
        <v>32.051000000000002</v>
      </c>
      <c r="S143" s="1">
        <v>373.24200000000002</v>
      </c>
      <c r="T143" s="1">
        <v>159.91999999999999</v>
      </c>
      <c r="U143" s="1">
        <v>28.86</v>
      </c>
      <c r="V143" s="1">
        <v>17600</v>
      </c>
      <c r="W143" s="3">
        <v>1.4708000000000001</v>
      </c>
      <c r="X143" s="1" t="s">
        <v>664</v>
      </c>
      <c r="Y143" s="1">
        <v>0.62</v>
      </c>
      <c r="Z143" s="1">
        <v>0.55000000000000004</v>
      </c>
      <c r="AA143" s="1">
        <v>0.77900000000000003</v>
      </c>
      <c r="AB143" s="1">
        <v>2.8</v>
      </c>
      <c r="AC143" s="1">
        <v>0.6</v>
      </c>
      <c r="AD143" s="1">
        <v>0.02</v>
      </c>
      <c r="AE143" s="1">
        <v>1.21</v>
      </c>
      <c r="AF143" s="1">
        <v>0.62</v>
      </c>
      <c r="AG143" s="1"/>
      <c r="AH143" s="1" t="s">
        <v>665</v>
      </c>
      <c r="AI143" s="1">
        <v>3</v>
      </c>
      <c r="AJ143" s="1" t="s">
        <v>664</v>
      </c>
      <c r="AK143" s="1">
        <v>2</v>
      </c>
      <c r="AL143" s="1">
        <v>88.296700000000001</v>
      </c>
      <c r="AM143" s="1" t="s">
        <v>664</v>
      </c>
      <c r="AN143" s="1">
        <v>5.5412335412335398</v>
      </c>
      <c r="AO143" s="1">
        <v>0.83641260999751499</v>
      </c>
      <c r="AP143" s="1"/>
      <c r="AQ143" s="1"/>
      <c r="AR143" s="1"/>
      <c r="AS143" s="1"/>
      <c r="AT143" s="1"/>
    </row>
    <row r="144" spans="1:46">
      <c r="A144" s="1" t="s">
        <v>666</v>
      </c>
      <c r="B144" s="1">
        <v>111</v>
      </c>
      <c r="C144" s="1" t="s">
        <v>666</v>
      </c>
      <c r="D144" s="1" t="s">
        <v>667</v>
      </c>
      <c r="E144" s="1" t="s">
        <v>47</v>
      </c>
      <c r="F144" s="1" t="s">
        <v>658</v>
      </c>
      <c r="G144" s="1" t="s">
        <v>456</v>
      </c>
      <c r="H144" s="2" t="s">
        <v>659</v>
      </c>
      <c r="I144" s="1">
        <v>72</v>
      </c>
      <c r="J144" s="1">
        <v>0.2</v>
      </c>
      <c r="K144" s="1" t="s">
        <v>65</v>
      </c>
      <c r="L144" s="1" t="s">
        <v>65</v>
      </c>
      <c r="M144" s="1">
        <v>30.28</v>
      </c>
      <c r="N144" s="1">
        <v>48</v>
      </c>
      <c r="O144" s="1">
        <v>69</v>
      </c>
      <c r="P144" s="1">
        <v>-167.42822000000001</v>
      </c>
      <c r="Q144" s="1">
        <v>1.2275</v>
      </c>
      <c r="R144" s="1">
        <v>32.104500000000002</v>
      </c>
      <c r="S144" s="1">
        <v>374.34300000000002</v>
      </c>
      <c r="T144" s="1"/>
      <c r="U144" s="1"/>
      <c r="V144" s="1"/>
      <c r="W144" s="3">
        <v>1.3678999999999999</v>
      </c>
      <c r="X144" s="1" t="s">
        <v>668</v>
      </c>
      <c r="Y144" s="1">
        <v>0.7</v>
      </c>
      <c r="Z144" s="1">
        <v>0.39</v>
      </c>
      <c r="AA144" s="1">
        <v>0.77300000000000002</v>
      </c>
      <c r="AB144" s="1">
        <v>2.1</v>
      </c>
      <c r="AC144" s="1">
        <v>0.4</v>
      </c>
      <c r="AD144" s="1">
        <v>0.02</v>
      </c>
      <c r="AE144" s="1">
        <v>1.35</v>
      </c>
      <c r="AF144" s="1">
        <v>0.42</v>
      </c>
      <c r="AG144" s="1"/>
      <c r="AH144" s="1" t="s">
        <v>669</v>
      </c>
      <c r="AI144" s="1">
        <v>2</v>
      </c>
      <c r="AJ144" s="1" t="s">
        <v>668</v>
      </c>
      <c r="AK144" s="1">
        <v>2</v>
      </c>
      <c r="AL144" s="1">
        <v>89.3489</v>
      </c>
      <c r="AM144" s="1" t="s">
        <v>668</v>
      </c>
      <c r="AN144" s="1"/>
      <c r="AO144" s="1"/>
      <c r="AP144" s="1"/>
      <c r="AQ144" s="1"/>
      <c r="AR144" s="1"/>
      <c r="AS144" s="1"/>
      <c r="AT144" s="1"/>
    </row>
    <row r="145" spans="1:46">
      <c r="A145" s="1" t="s">
        <v>670</v>
      </c>
      <c r="B145" s="1">
        <v>112</v>
      </c>
      <c r="C145" s="1" t="s">
        <v>670</v>
      </c>
      <c r="D145" s="1" t="s">
        <v>671</v>
      </c>
      <c r="E145" s="1" t="s">
        <v>47</v>
      </c>
      <c r="F145" s="1" t="s">
        <v>658</v>
      </c>
      <c r="G145" s="1" t="s">
        <v>456</v>
      </c>
      <c r="H145" s="2" t="s">
        <v>659</v>
      </c>
      <c r="I145" s="1">
        <v>72</v>
      </c>
      <c r="J145" s="1">
        <v>0.2</v>
      </c>
      <c r="K145" s="1" t="s">
        <v>150</v>
      </c>
      <c r="L145" s="1" t="s">
        <v>78</v>
      </c>
      <c r="M145" s="1">
        <v>44.95</v>
      </c>
      <c r="N145" s="1">
        <v>48</v>
      </c>
      <c r="O145" s="1">
        <v>68.999979999999994</v>
      </c>
      <c r="P145" s="1">
        <v>-167.42822000000001</v>
      </c>
      <c r="Q145" s="1">
        <v>1.3845000000000001</v>
      </c>
      <c r="R145" s="1">
        <v>32.136499999999998</v>
      </c>
      <c r="S145" s="1">
        <v>364.40499999999997</v>
      </c>
      <c r="T145" s="1">
        <v>161.6</v>
      </c>
      <c r="U145" s="1">
        <v>28.28</v>
      </c>
      <c r="V145" s="1">
        <v>2120</v>
      </c>
      <c r="W145" s="3">
        <v>2.8557999999999999</v>
      </c>
      <c r="X145" s="1" t="s">
        <v>672</v>
      </c>
      <c r="Y145" s="1">
        <v>0.77</v>
      </c>
      <c r="Z145" s="1">
        <v>0.34</v>
      </c>
      <c r="AA145" s="1">
        <v>0.78900000000000003</v>
      </c>
      <c r="AB145" s="1">
        <v>2.9</v>
      </c>
      <c r="AC145" s="1">
        <v>0.4</v>
      </c>
      <c r="AD145" s="1">
        <v>0.02</v>
      </c>
      <c r="AE145" s="1">
        <v>1.57</v>
      </c>
      <c r="AF145" s="1">
        <v>0.42</v>
      </c>
      <c r="AG145" s="1"/>
      <c r="AH145" s="1" t="s">
        <v>673</v>
      </c>
      <c r="AI145" s="1">
        <v>1</v>
      </c>
      <c r="AJ145" s="1" t="s">
        <v>672</v>
      </c>
      <c r="AK145" s="1">
        <v>2</v>
      </c>
      <c r="AL145" s="1">
        <v>85.0548</v>
      </c>
      <c r="AM145" s="1" t="s">
        <v>672</v>
      </c>
      <c r="AN145" s="1">
        <v>5.71428571428571</v>
      </c>
      <c r="AO145" s="1">
        <v>0.86253369272237201</v>
      </c>
      <c r="AP145" s="1"/>
      <c r="AQ145" s="1"/>
      <c r="AR145" s="1"/>
      <c r="AS145" s="1"/>
      <c r="AT145" s="1"/>
    </row>
    <row r="146" spans="1:46">
      <c r="A146" s="1" t="s">
        <v>674</v>
      </c>
      <c r="B146" s="1">
        <v>113</v>
      </c>
      <c r="C146" s="1" t="s">
        <v>674</v>
      </c>
      <c r="D146" s="1" t="s">
        <v>675</v>
      </c>
      <c r="E146" s="1" t="s">
        <v>47</v>
      </c>
      <c r="F146" s="1" t="s">
        <v>676</v>
      </c>
      <c r="G146" s="1" t="s">
        <v>456</v>
      </c>
      <c r="H146" s="2" t="s">
        <v>677</v>
      </c>
      <c r="I146" s="1">
        <v>73</v>
      </c>
      <c r="J146" s="1">
        <v>0.2</v>
      </c>
      <c r="K146" s="1" t="s">
        <v>52</v>
      </c>
      <c r="L146" s="1" t="s">
        <v>52</v>
      </c>
      <c r="M146" s="1">
        <v>3.09</v>
      </c>
      <c r="N146" s="1">
        <v>50</v>
      </c>
      <c r="O146" s="1">
        <v>69.029700000000005</v>
      </c>
      <c r="P146" s="1">
        <v>-167.92938000000001</v>
      </c>
      <c r="Q146" s="1">
        <v>4.5789999999999997</v>
      </c>
      <c r="R146" s="1">
        <v>30.571999999999999</v>
      </c>
      <c r="S146" s="1">
        <v>323.10899999999998</v>
      </c>
      <c r="T146" s="1">
        <v>193.84</v>
      </c>
      <c r="U146" s="1">
        <v>35.340000000000003</v>
      </c>
      <c r="V146" s="1">
        <v>5500</v>
      </c>
      <c r="W146" s="3">
        <v>0.66639999999999999</v>
      </c>
      <c r="X146" s="1" t="s">
        <v>678</v>
      </c>
      <c r="Y146" s="1">
        <v>0.59</v>
      </c>
      <c r="Z146" s="1">
        <v>0.16</v>
      </c>
      <c r="AA146" s="1">
        <v>0.55300000000000005</v>
      </c>
      <c r="AB146" s="1">
        <v>3.1</v>
      </c>
      <c r="AC146" s="1">
        <v>0</v>
      </c>
      <c r="AD146" s="1">
        <v>0</v>
      </c>
      <c r="AE146" s="1">
        <v>0.17</v>
      </c>
      <c r="AF146" s="1">
        <v>0</v>
      </c>
      <c r="AG146" s="1"/>
      <c r="AH146" s="1" t="s">
        <v>679</v>
      </c>
      <c r="AI146" s="1">
        <v>11</v>
      </c>
      <c r="AJ146" s="1" t="s">
        <v>678</v>
      </c>
      <c r="AK146" s="1">
        <v>2</v>
      </c>
      <c r="AL146" s="1">
        <v>88.221500000000006</v>
      </c>
      <c r="AM146" s="1" t="s">
        <v>678</v>
      </c>
      <c r="AN146" s="1">
        <v>5.4850028296547801</v>
      </c>
      <c r="AO146" s="1">
        <v>0.82792495541958999</v>
      </c>
      <c r="AP146" s="1"/>
      <c r="AQ146" s="1"/>
      <c r="AR146" s="1"/>
      <c r="AS146" s="1"/>
      <c r="AT146" s="1"/>
    </row>
    <row r="147" spans="1:46">
      <c r="A147" s="1" t="s">
        <v>680</v>
      </c>
      <c r="B147" s="1">
        <v>114</v>
      </c>
      <c r="C147" s="1" t="s">
        <v>680</v>
      </c>
      <c r="D147" s="1" t="s">
        <v>681</v>
      </c>
      <c r="E147" s="1" t="s">
        <v>47</v>
      </c>
      <c r="F147" s="1" t="s">
        <v>676</v>
      </c>
      <c r="G147" s="1" t="s">
        <v>456</v>
      </c>
      <c r="H147" s="2" t="s">
        <v>677</v>
      </c>
      <c r="I147" s="1">
        <v>73</v>
      </c>
      <c r="J147" s="1">
        <v>0.2</v>
      </c>
      <c r="K147" s="1" t="s">
        <v>486</v>
      </c>
      <c r="L147" s="1" t="s">
        <v>65</v>
      </c>
      <c r="M147" s="1">
        <v>9.91</v>
      </c>
      <c r="N147" s="1">
        <v>50</v>
      </c>
      <c r="O147" s="1">
        <v>69.029700000000005</v>
      </c>
      <c r="P147" s="1">
        <v>-167.92938000000001</v>
      </c>
      <c r="Q147" s="1">
        <v>3.2094999999999998</v>
      </c>
      <c r="R147" s="1">
        <v>31.098500000000001</v>
      </c>
      <c r="S147" s="1">
        <v>346.07400000000001</v>
      </c>
      <c r="T147" s="1">
        <v>211.28</v>
      </c>
      <c r="U147" s="1">
        <v>39.64</v>
      </c>
      <c r="V147" s="1">
        <v>1640</v>
      </c>
      <c r="W147" s="3">
        <v>1.2596000000000001</v>
      </c>
      <c r="X147" s="1" t="s">
        <v>682</v>
      </c>
      <c r="Y147" s="1">
        <v>0.83</v>
      </c>
      <c r="Z147" s="1">
        <v>0.24</v>
      </c>
      <c r="AA147" s="1">
        <v>0.70299999999999996</v>
      </c>
      <c r="AB147" s="1">
        <v>3</v>
      </c>
      <c r="AC147" s="1">
        <v>0.4</v>
      </c>
      <c r="AD147" s="1">
        <v>0.02</v>
      </c>
      <c r="AE147" s="1">
        <v>0.86</v>
      </c>
      <c r="AF147" s="1">
        <v>0.42</v>
      </c>
      <c r="AG147" s="1"/>
      <c r="AH147" s="1" t="s">
        <v>683</v>
      </c>
      <c r="AI147" s="1">
        <v>9</v>
      </c>
      <c r="AJ147" s="1" t="s">
        <v>682</v>
      </c>
      <c r="AK147" s="1">
        <v>2</v>
      </c>
      <c r="AL147" s="1">
        <v>87.857799999999997</v>
      </c>
      <c r="AM147" s="1" t="s">
        <v>682</v>
      </c>
      <c r="AN147" s="1">
        <v>5.3299697275479296</v>
      </c>
      <c r="AO147" s="1">
        <v>0.80452373246006503</v>
      </c>
      <c r="AP147" s="1"/>
      <c r="AQ147" s="1"/>
      <c r="AR147" s="1"/>
      <c r="AS147" s="1"/>
      <c r="AT147" s="1"/>
    </row>
    <row r="148" spans="1:46">
      <c r="A148" s="1" t="s">
        <v>684</v>
      </c>
      <c r="B148" s="1">
        <v>115</v>
      </c>
      <c r="C148" s="1" t="s">
        <v>684</v>
      </c>
      <c r="D148" s="1" t="s">
        <v>685</v>
      </c>
      <c r="E148" s="1" t="s">
        <v>47</v>
      </c>
      <c r="F148" s="1" t="s">
        <v>676</v>
      </c>
      <c r="G148" s="1" t="s">
        <v>456</v>
      </c>
      <c r="H148" s="2" t="s">
        <v>677</v>
      </c>
      <c r="I148" s="1">
        <v>73</v>
      </c>
      <c r="J148" s="1">
        <v>0.2</v>
      </c>
      <c r="K148" s="1" t="s">
        <v>150</v>
      </c>
      <c r="L148" s="1" t="s">
        <v>78</v>
      </c>
      <c r="M148" s="1">
        <v>45.91</v>
      </c>
      <c r="N148" s="1">
        <v>50</v>
      </c>
      <c r="O148" s="1">
        <v>69.029700000000005</v>
      </c>
      <c r="P148" s="1">
        <v>-167.92938000000001</v>
      </c>
      <c r="Q148" s="1">
        <v>1.7735000000000001</v>
      </c>
      <c r="R148" s="1">
        <v>32.331499999999998</v>
      </c>
      <c r="S148" s="1">
        <v>368.59500000000003</v>
      </c>
      <c r="T148" s="1">
        <v>244.72</v>
      </c>
      <c r="U148" s="1">
        <v>48.72</v>
      </c>
      <c r="V148" s="1">
        <v>2280</v>
      </c>
      <c r="W148" s="3">
        <v>1.5742</v>
      </c>
      <c r="X148" s="1" t="s">
        <v>686</v>
      </c>
      <c r="Y148" s="1">
        <v>1.17</v>
      </c>
      <c r="Z148" s="1">
        <v>0.09</v>
      </c>
      <c r="AA148" s="1">
        <v>0.80800000000000005</v>
      </c>
      <c r="AB148" s="1">
        <v>2.7</v>
      </c>
      <c r="AC148" s="1">
        <v>0.2</v>
      </c>
      <c r="AD148" s="1">
        <v>0.02</v>
      </c>
      <c r="AE148" s="1">
        <v>1.95</v>
      </c>
      <c r="AF148" s="1">
        <v>0.22</v>
      </c>
      <c r="AG148" s="1"/>
      <c r="AH148" s="1" t="s">
        <v>687</v>
      </c>
      <c r="AI148" s="1">
        <v>1</v>
      </c>
      <c r="AJ148" s="1" t="s">
        <v>686</v>
      </c>
      <c r="AK148" s="1">
        <v>2</v>
      </c>
      <c r="AL148" s="1">
        <v>85.003600000000006</v>
      </c>
      <c r="AM148" s="1" t="s">
        <v>686</v>
      </c>
      <c r="AN148" s="1">
        <v>5.0229885057471302</v>
      </c>
      <c r="AO148" s="1">
        <v>0.75818694426371702</v>
      </c>
      <c r="AP148" s="1"/>
      <c r="AQ148" s="1"/>
      <c r="AR148" s="1"/>
      <c r="AS148" s="1"/>
      <c r="AT148" s="1"/>
    </row>
    <row r="149" spans="1:46">
      <c r="A149" s="1" t="s">
        <v>688</v>
      </c>
      <c r="B149" s="1">
        <v>116</v>
      </c>
      <c r="C149" s="1" t="s">
        <v>688</v>
      </c>
      <c r="D149" s="1" t="s">
        <v>689</v>
      </c>
      <c r="E149" s="1" t="s">
        <v>47</v>
      </c>
      <c r="F149" s="1" t="s">
        <v>690</v>
      </c>
      <c r="G149" s="1" t="s">
        <v>456</v>
      </c>
      <c r="H149" s="2" t="s">
        <v>691</v>
      </c>
      <c r="I149" s="1">
        <v>74</v>
      </c>
      <c r="J149" s="1">
        <v>0.2</v>
      </c>
      <c r="K149" s="1" t="s">
        <v>52</v>
      </c>
      <c r="L149" s="1" t="s">
        <v>52</v>
      </c>
      <c r="M149" s="1">
        <v>2.97</v>
      </c>
      <c r="N149" s="1">
        <v>51</v>
      </c>
      <c r="O149" s="1">
        <v>69.030240000000006</v>
      </c>
      <c r="P149" s="1">
        <v>-168.41076000000001</v>
      </c>
      <c r="Q149" s="1">
        <v>5.2694999999999999</v>
      </c>
      <c r="R149" s="1">
        <v>30.788</v>
      </c>
      <c r="S149" s="1">
        <v>319.06400000000002</v>
      </c>
      <c r="T149" s="1">
        <v>203.12</v>
      </c>
      <c r="U149" s="1">
        <v>37.06</v>
      </c>
      <c r="V149" s="1">
        <v>1840.00000000001</v>
      </c>
      <c r="W149" s="3">
        <v>0.28849999999999998</v>
      </c>
      <c r="X149" s="1" t="s">
        <v>692</v>
      </c>
      <c r="Y149" s="1">
        <v>0.31</v>
      </c>
      <c r="Z149" s="1">
        <v>0.22</v>
      </c>
      <c r="AA149" s="1">
        <v>0.51700000000000002</v>
      </c>
      <c r="AB149" s="1">
        <v>2.2000000000000002</v>
      </c>
      <c r="AC149" s="1">
        <v>0.1</v>
      </c>
      <c r="AD149" s="1">
        <v>0</v>
      </c>
      <c r="AE149" s="1">
        <v>0.39</v>
      </c>
      <c r="AF149" s="1">
        <v>0.1</v>
      </c>
      <c r="AG149" s="1"/>
      <c r="AH149" s="1" t="s">
        <v>693</v>
      </c>
      <c r="AI149" s="1">
        <v>6</v>
      </c>
      <c r="AJ149" s="1" t="s">
        <v>692</v>
      </c>
      <c r="AK149" s="1">
        <v>2</v>
      </c>
      <c r="AL149" s="1">
        <v>90.278499999999994</v>
      </c>
      <c r="AM149" s="1" t="s">
        <v>692</v>
      </c>
      <c r="AN149" s="1">
        <v>5.4808418780356201</v>
      </c>
      <c r="AO149" s="1">
        <v>0.82729688725065897</v>
      </c>
      <c r="AP149" s="1"/>
      <c r="AQ149" s="1"/>
      <c r="AR149" s="1"/>
      <c r="AS149" s="1"/>
      <c r="AT149" s="1"/>
    </row>
    <row r="150" spans="1:46">
      <c r="A150" s="1" t="s">
        <v>694</v>
      </c>
      <c r="B150" s="1">
        <v>117</v>
      </c>
      <c r="C150" s="1" t="s">
        <v>694</v>
      </c>
      <c r="D150" s="1" t="s">
        <v>695</v>
      </c>
      <c r="E150" s="1" t="s">
        <v>47</v>
      </c>
      <c r="F150" s="1" t="s">
        <v>690</v>
      </c>
      <c r="G150" s="1" t="s">
        <v>456</v>
      </c>
      <c r="H150" s="2" t="s">
        <v>691</v>
      </c>
      <c r="I150" s="1">
        <v>74</v>
      </c>
      <c r="J150" s="1">
        <v>0.2</v>
      </c>
      <c r="K150" s="1" t="s">
        <v>486</v>
      </c>
      <c r="L150" s="1" t="s">
        <v>65</v>
      </c>
      <c r="M150" s="1">
        <v>10.01</v>
      </c>
      <c r="N150" s="1">
        <v>51</v>
      </c>
      <c r="O150" s="1">
        <v>69.030240000000006</v>
      </c>
      <c r="P150" s="1">
        <v>-168.41076000000001</v>
      </c>
      <c r="Q150" s="1">
        <v>3.9315000000000002</v>
      </c>
      <c r="R150" s="1">
        <v>31.135999999999999</v>
      </c>
      <c r="S150" s="1">
        <v>334.87400000000002</v>
      </c>
      <c r="T150" s="1"/>
      <c r="U150" s="1"/>
      <c r="V150" s="1"/>
      <c r="W150" s="3">
        <v>0.9708</v>
      </c>
      <c r="X150" s="1" t="s">
        <v>696</v>
      </c>
      <c r="Y150" s="1">
        <v>0.76</v>
      </c>
      <c r="Z150" s="1">
        <v>0.3</v>
      </c>
      <c r="AA150" s="1">
        <v>0.58799999999999997</v>
      </c>
      <c r="AB150" s="1">
        <v>2.1</v>
      </c>
      <c r="AC150" s="1">
        <v>0.1</v>
      </c>
      <c r="AD150" s="1">
        <v>0.01</v>
      </c>
      <c r="AE150" s="1">
        <v>0.44</v>
      </c>
      <c r="AF150" s="1">
        <v>0.11</v>
      </c>
      <c r="AG150" s="1"/>
      <c r="AH150" s="1" t="s">
        <v>697</v>
      </c>
      <c r="AI150" s="1">
        <v>5</v>
      </c>
      <c r="AJ150" s="1" t="s">
        <v>696</v>
      </c>
      <c r="AK150" s="1">
        <v>2</v>
      </c>
      <c r="AL150" s="1">
        <v>88.581000000000003</v>
      </c>
      <c r="AM150" s="1" t="s">
        <v>696</v>
      </c>
      <c r="AN150" s="1"/>
      <c r="AO150" s="1"/>
      <c r="AP150" s="1"/>
      <c r="AQ150" s="1"/>
      <c r="AR150" s="1"/>
      <c r="AS150" s="1" t="s">
        <v>698</v>
      </c>
      <c r="AT150" s="1"/>
    </row>
    <row r="151" spans="1:46">
      <c r="A151" s="1" t="s">
        <v>699</v>
      </c>
      <c r="B151" s="1">
        <v>118</v>
      </c>
      <c r="C151" s="1" t="s">
        <v>699</v>
      </c>
      <c r="D151" s="1" t="s">
        <v>700</v>
      </c>
      <c r="E151" s="1" t="s">
        <v>47</v>
      </c>
      <c r="F151" s="1" t="s">
        <v>690</v>
      </c>
      <c r="G151" s="1" t="s">
        <v>456</v>
      </c>
      <c r="H151" s="2" t="s">
        <v>691</v>
      </c>
      <c r="I151" s="1">
        <v>74</v>
      </c>
      <c r="J151" s="1">
        <v>0.2</v>
      </c>
      <c r="K151" s="1" t="s">
        <v>512</v>
      </c>
      <c r="L151" s="1" t="s">
        <v>65</v>
      </c>
      <c r="M151" s="1">
        <v>20.059999999999999</v>
      </c>
      <c r="N151" s="1">
        <v>51</v>
      </c>
      <c r="O151" s="1">
        <v>69.030240000000006</v>
      </c>
      <c r="P151" s="1">
        <v>-168.41076000000001</v>
      </c>
      <c r="Q151" s="1">
        <v>2.1739999999999999</v>
      </c>
      <c r="R151" s="1">
        <v>32.403500000000001</v>
      </c>
      <c r="S151" s="1">
        <v>369.286</v>
      </c>
      <c r="T151" s="1">
        <v>263.10000000000002</v>
      </c>
      <c r="U151" s="1">
        <v>33.18</v>
      </c>
      <c r="V151" s="1">
        <v>2819.99999999999</v>
      </c>
      <c r="W151" s="3">
        <v>1.4295</v>
      </c>
      <c r="X151" s="1" t="s">
        <v>701</v>
      </c>
      <c r="Y151" s="1">
        <v>0.84</v>
      </c>
      <c r="Z151" s="1">
        <v>0.35</v>
      </c>
      <c r="AA151" s="1">
        <v>0.81399999999999995</v>
      </c>
      <c r="AB151" s="1">
        <v>2.8</v>
      </c>
      <c r="AC151" s="1">
        <v>0.3</v>
      </c>
      <c r="AD151" s="1">
        <v>0.03</v>
      </c>
      <c r="AE151" s="1">
        <v>1.98</v>
      </c>
      <c r="AF151" s="1">
        <v>0.33</v>
      </c>
      <c r="AG151" s="1"/>
      <c r="AH151" s="1" t="s">
        <v>702</v>
      </c>
      <c r="AI151" s="1">
        <v>4</v>
      </c>
      <c r="AJ151" s="1" t="s">
        <v>701</v>
      </c>
      <c r="AK151" s="1">
        <v>2</v>
      </c>
      <c r="AL151" s="1">
        <v>84.172700000000006</v>
      </c>
      <c r="AM151" s="1" t="s">
        <v>701</v>
      </c>
      <c r="AN151" s="1">
        <v>7.9294755877034397</v>
      </c>
      <c r="AO151" s="1">
        <v>1.19690197550241</v>
      </c>
      <c r="AP151" s="1"/>
      <c r="AQ151" s="1"/>
      <c r="AR151" s="1"/>
      <c r="AS151" s="1"/>
      <c r="AT151" s="1"/>
    </row>
    <row r="152" spans="1:46">
      <c r="A152" s="1" t="s">
        <v>703</v>
      </c>
      <c r="B152" s="1">
        <v>119</v>
      </c>
      <c r="C152" s="1" t="s">
        <v>703</v>
      </c>
      <c r="D152" s="1" t="s">
        <v>704</v>
      </c>
      <c r="E152" s="1" t="s">
        <v>47</v>
      </c>
      <c r="F152" s="1" t="s">
        <v>690</v>
      </c>
      <c r="G152" s="1" t="s">
        <v>456</v>
      </c>
      <c r="H152" s="2" t="s">
        <v>691</v>
      </c>
      <c r="I152" s="1">
        <v>74</v>
      </c>
      <c r="J152" s="1">
        <v>0.2</v>
      </c>
      <c r="K152" s="1" t="s">
        <v>150</v>
      </c>
      <c r="L152" s="1" t="s">
        <v>78</v>
      </c>
      <c r="M152" s="1">
        <v>48.01</v>
      </c>
      <c r="N152" s="1">
        <v>51</v>
      </c>
      <c r="O152" s="1">
        <v>69.030240000000006</v>
      </c>
      <c r="P152" s="1">
        <v>-168.41076000000001</v>
      </c>
      <c r="Q152" s="1">
        <v>2.0545</v>
      </c>
      <c r="R152" s="1">
        <v>32.51</v>
      </c>
      <c r="S152" s="1">
        <v>369.21800000000002</v>
      </c>
      <c r="T152" s="1">
        <v>167.18</v>
      </c>
      <c r="U152" s="1">
        <v>26.18</v>
      </c>
      <c r="V152" s="1">
        <v>3980</v>
      </c>
      <c r="W152" s="3">
        <v>0.4672</v>
      </c>
      <c r="X152" s="1" t="s">
        <v>705</v>
      </c>
      <c r="Y152" s="1">
        <v>0.38</v>
      </c>
      <c r="Z152" s="1">
        <v>0.74</v>
      </c>
      <c r="AA152" s="1">
        <v>0.90400000000000003</v>
      </c>
      <c r="AB152" s="1">
        <v>4.2</v>
      </c>
      <c r="AC152" s="1">
        <v>0.5</v>
      </c>
      <c r="AD152" s="1">
        <v>0.04</v>
      </c>
      <c r="AE152" s="1">
        <v>2.79</v>
      </c>
      <c r="AF152" s="1">
        <v>0.54</v>
      </c>
      <c r="AG152" s="1"/>
      <c r="AH152" s="1" t="s">
        <v>706</v>
      </c>
      <c r="AI152" s="1">
        <v>1</v>
      </c>
      <c r="AJ152" s="1" t="s">
        <v>705</v>
      </c>
      <c r="AK152" s="1">
        <v>2</v>
      </c>
      <c r="AL152" s="1">
        <v>74.526799999999994</v>
      </c>
      <c r="AM152" s="1" t="s">
        <v>705</v>
      </c>
      <c r="AN152" s="1">
        <v>6.3857906799083297</v>
      </c>
      <c r="AO152" s="1">
        <v>0.96389293281635102</v>
      </c>
      <c r="AP152" s="1"/>
      <c r="AQ152" s="1"/>
      <c r="AR152" s="1"/>
      <c r="AS152" s="1"/>
      <c r="AT152" s="1"/>
    </row>
    <row r="153" spans="1:46">
      <c r="A153" s="1" t="s">
        <v>707</v>
      </c>
      <c r="B153" s="1">
        <v>120</v>
      </c>
      <c r="C153" s="1" t="s">
        <v>707</v>
      </c>
      <c r="D153" s="1" t="s">
        <v>708</v>
      </c>
      <c r="E153" s="1" t="s">
        <v>47</v>
      </c>
      <c r="F153" s="1" t="s">
        <v>196</v>
      </c>
      <c r="G153" s="1" t="s">
        <v>456</v>
      </c>
      <c r="H153" s="2" t="s">
        <v>709</v>
      </c>
      <c r="I153" s="1">
        <v>75</v>
      </c>
      <c r="J153" s="1">
        <v>0.2</v>
      </c>
      <c r="K153" s="1" t="s">
        <v>52</v>
      </c>
      <c r="L153" s="1" t="s">
        <v>52</v>
      </c>
      <c r="M153" s="1">
        <v>3.25</v>
      </c>
      <c r="N153" s="1">
        <v>53</v>
      </c>
      <c r="O153" s="1">
        <v>69.033739999999995</v>
      </c>
      <c r="P153" s="1">
        <v>-168.88916</v>
      </c>
      <c r="Q153" s="1">
        <v>6.1260000000000003</v>
      </c>
      <c r="R153" s="1">
        <v>31.253499999999999</v>
      </c>
      <c r="S153" s="1">
        <v>309.98899999999998</v>
      </c>
      <c r="T153" s="1">
        <v>157.91999999999999</v>
      </c>
      <c r="U153" s="1">
        <v>25.72</v>
      </c>
      <c r="V153" s="1">
        <v>2580</v>
      </c>
      <c r="W153" s="3">
        <v>0.21310000000000001</v>
      </c>
      <c r="X153" s="1" t="s">
        <v>710</v>
      </c>
      <c r="Y153" s="1">
        <v>0.41</v>
      </c>
      <c r="Z153" s="1">
        <v>7.0000000000000007E-2</v>
      </c>
      <c r="AA153" s="1">
        <v>0.48099999999999998</v>
      </c>
      <c r="AB153" s="1">
        <v>1.6</v>
      </c>
      <c r="AC153" s="1">
        <v>0</v>
      </c>
      <c r="AD153" s="1">
        <v>0</v>
      </c>
      <c r="AE153" s="1">
        <v>0.22</v>
      </c>
      <c r="AF153" s="1">
        <v>0</v>
      </c>
      <c r="AG153" s="1"/>
      <c r="AH153" s="1" t="s">
        <v>711</v>
      </c>
      <c r="AI153" s="1">
        <v>8</v>
      </c>
      <c r="AJ153" s="1" t="s">
        <v>710</v>
      </c>
      <c r="AK153" s="1">
        <v>2</v>
      </c>
      <c r="AL153" s="1">
        <v>91.437899999999999</v>
      </c>
      <c r="AM153" s="1" t="s">
        <v>710</v>
      </c>
      <c r="AN153" s="1">
        <v>6.13996889580093</v>
      </c>
      <c r="AO153" s="1">
        <v>0.92678775785674405</v>
      </c>
      <c r="AP153" s="1"/>
      <c r="AQ153" s="1"/>
      <c r="AR153" s="1"/>
      <c r="AS153" s="1"/>
      <c r="AT153" s="1"/>
    </row>
    <row r="154" spans="1:46">
      <c r="A154" s="1" t="s">
        <v>712</v>
      </c>
      <c r="B154" s="1">
        <v>121</v>
      </c>
      <c r="C154" s="1" t="s">
        <v>712</v>
      </c>
      <c r="D154" s="1" t="s">
        <v>713</v>
      </c>
      <c r="E154" s="1" t="s">
        <v>47</v>
      </c>
      <c r="F154" s="1" t="s">
        <v>196</v>
      </c>
      <c r="G154" s="1" t="s">
        <v>456</v>
      </c>
      <c r="H154" s="2" t="s">
        <v>709</v>
      </c>
      <c r="I154" s="1">
        <v>75</v>
      </c>
      <c r="J154" s="1">
        <v>0.2</v>
      </c>
      <c r="K154" s="1" t="s">
        <v>486</v>
      </c>
      <c r="L154" s="1" t="s">
        <v>65</v>
      </c>
      <c r="M154" s="1">
        <v>14.98</v>
      </c>
      <c r="N154" s="1">
        <v>53</v>
      </c>
      <c r="O154" s="1">
        <v>69.033760000000001</v>
      </c>
      <c r="P154" s="1">
        <v>-168.88916</v>
      </c>
      <c r="Q154" s="1">
        <v>2.8845000000000001</v>
      </c>
      <c r="R154" s="1">
        <v>32.580500000000001</v>
      </c>
      <c r="S154" s="1">
        <v>369.15699999999998</v>
      </c>
      <c r="T154" s="1">
        <v>143.74</v>
      </c>
      <c r="U154" s="1">
        <v>22.92</v>
      </c>
      <c r="V154" s="1">
        <v>1530</v>
      </c>
      <c r="W154" s="3">
        <v>0.3931</v>
      </c>
      <c r="X154" s="1" t="s">
        <v>714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715</v>
      </c>
      <c r="AI154" s="1">
        <v>6</v>
      </c>
      <c r="AJ154" s="1" t="s">
        <v>714</v>
      </c>
      <c r="AK154" s="1">
        <v>2</v>
      </c>
      <c r="AL154" s="1">
        <v>85.432900000000004</v>
      </c>
      <c r="AM154" s="1" t="s">
        <v>714</v>
      </c>
      <c r="AN154" s="1">
        <v>6.2713787085514801</v>
      </c>
      <c r="AO154" s="1">
        <v>0.94662320129079003</v>
      </c>
      <c r="AP154" s="1"/>
      <c r="AQ154" s="1"/>
      <c r="AR154" s="1"/>
      <c r="AS154" s="1" t="s">
        <v>716</v>
      </c>
      <c r="AT154" s="1"/>
    </row>
    <row r="155" spans="1:46">
      <c r="A155" s="1" t="s">
        <v>717</v>
      </c>
      <c r="B155" s="1">
        <v>122</v>
      </c>
      <c r="C155" s="1" t="s">
        <v>717</v>
      </c>
      <c r="D155" s="1" t="s">
        <v>718</v>
      </c>
      <c r="E155" s="1" t="s">
        <v>47</v>
      </c>
      <c r="F155" s="1" t="s">
        <v>196</v>
      </c>
      <c r="G155" s="1" t="s">
        <v>456</v>
      </c>
      <c r="H155" s="2" t="s">
        <v>709</v>
      </c>
      <c r="I155" s="1">
        <v>75</v>
      </c>
      <c r="J155" s="1">
        <v>0.2</v>
      </c>
      <c r="K155" s="1" t="s">
        <v>65</v>
      </c>
      <c r="L155" s="1" t="s">
        <v>65</v>
      </c>
      <c r="M155" s="1">
        <v>32.979999999999997</v>
      </c>
      <c r="N155" s="1">
        <v>53</v>
      </c>
      <c r="O155" s="1">
        <v>69.033739999999995</v>
      </c>
      <c r="P155" s="1">
        <v>-168.88916</v>
      </c>
      <c r="Q155" s="1">
        <v>2.9449999999999998</v>
      </c>
      <c r="R155" s="1">
        <v>32.721499999999999</v>
      </c>
      <c r="S155" s="1">
        <v>360.46499999999997</v>
      </c>
      <c r="T155" s="1"/>
      <c r="U155" s="1"/>
      <c r="V155" s="1"/>
      <c r="W155" s="3">
        <v>0.3201</v>
      </c>
      <c r="X155" s="1" t="s">
        <v>719</v>
      </c>
      <c r="Y155" s="1">
        <v>0.17</v>
      </c>
      <c r="Z155" s="1">
        <v>0.76</v>
      </c>
      <c r="AA155" s="1">
        <v>0.97499999999999998</v>
      </c>
      <c r="AB155" s="1">
        <v>2.4</v>
      </c>
      <c r="AC155" s="1">
        <v>1.8</v>
      </c>
      <c r="AD155" s="1">
        <v>7.0000000000000007E-2</v>
      </c>
      <c r="AE155" s="1">
        <v>3.32</v>
      </c>
      <c r="AF155" s="1">
        <v>1.87</v>
      </c>
      <c r="AG155" s="1"/>
      <c r="AH155" s="1" t="s">
        <v>720</v>
      </c>
      <c r="AI155" s="1">
        <v>3</v>
      </c>
      <c r="AJ155" s="1" t="s">
        <v>721</v>
      </c>
      <c r="AK155" s="1">
        <v>2</v>
      </c>
      <c r="AL155" s="1">
        <v>85.340100000000007</v>
      </c>
      <c r="AM155" s="1" t="s">
        <v>719</v>
      </c>
      <c r="AN155" s="1"/>
      <c r="AO155" s="1"/>
      <c r="AP155" s="1"/>
      <c r="AQ155" s="1"/>
      <c r="AR155" s="1"/>
      <c r="AS155" s="1"/>
      <c r="AT155" s="1"/>
    </row>
    <row r="156" spans="1:46">
      <c r="A156" s="1" t="s">
        <v>722</v>
      </c>
      <c r="B156" s="1">
        <v>123</v>
      </c>
      <c r="C156" s="1" t="s">
        <v>722</v>
      </c>
      <c r="D156" s="1" t="s">
        <v>723</v>
      </c>
      <c r="E156" s="1" t="s">
        <v>47</v>
      </c>
      <c r="F156" s="1" t="s">
        <v>196</v>
      </c>
      <c r="G156" s="1" t="s">
        <v>456</v>
      </c>
      <c r="H156" s="2" t="s">
        <v>709</v>
      </c>
      <c r="I156" s="1">
        <v>75</v>
      </c>
      <c r="J156" s="1">
        <v>0.2</v>
      </c>
      <c r="K156" s="1" t="s">
        <v>150</v>
      </c>
      <c r="L156" s="1" t="s">
        <v>78</v>
      </c>
      <c r="M156" s="1">
        <v>50.08</v>
      </c>
      <c r="N156" s="1">
        <v>53</v>
      </c>
      <c r="O156" s="1">
        <v>69.033739999999995</v>
      </c>
      <c r="P156" s="1">
        <v>-168.88916</v>
      </c>
      <c r="Q156" s="1">
        <v>2.492</v>
      </c>
      <c r="R156" s="1">
        <v>32.755499999999998</v>
      </c>
      <c r="S156" s="1">
        <v>343.54300000000001</v>
      </c>
      <c r="T156" s="1">
        <v>212.64</v>
      </c>
      <c r="U156" s="1">
        <v>37.72</v>
      </c>
      <c r="V156" s="1">
        <v>3540</v>
      </c>
      <c r="W156" s="3">
        <v>0.25319999999999998</v>
      </c>
      <c r="X156" s="1" t="s">
        <v>724</v>
      </c>
      <c r="Y156" s="1">
        <v>0.56999999999999995</v>
      </c>
      <c r="Z156" s="1">
        <v>1.4</v>
      </c>
      <c r="AA156" s="1">
        <v>1.198</v>
      </c>
      <c r="AB156" s="1">
        <v>3.2</v>
      </c>
      <c r="AC156" s="1">
        <v>3.7</v>
      </c>
      <c r="AD156" s="1">
        <v>0.11</v>
      </c>
      <c r="AE156" s="1">
        <v>4.71</v>
      </c>
      <c r="AF156" s="1">
        <v>3.81</v>
      </c>
      <c r="AG156" s="1"/>
      <c r="AH156" s="1" t="s">
        <v>725</v>
      </c>
      <c r="AI156" s="1">
        <v>1</v>
      </c>
      <c r="AJ156" s="1" t="s">
        <v>724</v>
      </c>
      <c r="AK156" s="1">
        <v>2</v>
      </c>
      <c r="AL156" s="1">
        <v>74.852699999999999</v>
      </c>
      <c r="AM156" s="1" t="s">
        <v>724</v>
      </c>
      <c r="AN156" s="1">
        <v>5.6373276776246</v>
      </c>
      <c r="AO156" s="1">
        <v>0.85091738530182703</v>
      </c>
      <c r="AP156" s="1"/>
      <c r="AQ156" s="1"/>
      <c r="AR156" s="1"/>
      <c r="AS156" s="1"/>
      <c r="AT156" s="1"/>
    </row>
    <row r="157" spans="1:46">
      <c r="A157" s="1" t="s">
        <v>726</v>
      </c>
      <c r="B157" s="1">
        <v>208</v>
      </c>
      <c r="C157" s="1" t="s">
        <v>726</v>
      </c>
      <c r="D157" s="1" t="s">
        <v>727</v>
      </c>
      <c r="E157" s="1" t="s">
        <v>47</v>
      </c>
      <c r="F157" s="1" t="s">
        <v>728</v>
      </c>
      <c r="G157" s="1" t="s">
        <v>456</v>
      </c>
      <c r="H157" s="2" t="s">
        <v>729</v>
      </c>
      <c r="I157" s="1">
        <v>111</v>
      </c>
      <c r="J157" s="1">
        <v>0.2</v>
      </c>
      <c r="K157" s="1" t="s">
        <v>52</v>
      </c>
      <c r="L157" s="1" t="s">
        <v>52</v>
      </c>
      <c r="M157" s="1">
        <v>4.1399999999999997</v>
      </c>
      <c r="N157" s="1">
        <v>52</v>
      </c>
      <c r="O157" s="1">
        <v>66.001000000000005</v>
      </c>
      <c r="P157" s="1">
        <v>-168.95604</v>
      </c>
      <c r="Q157" s="1">
        <v>3.12</v>
      </c>
      <c r="R157" s="1">
        <v>32.762999999999998</v>
      </c>
      <c r="S157" s="1">
        <v>299.24400000000003</v>
      </c>
      <c r="T157" s="1">
        <v>179.48</v>
      </c>
      <c r="U157" s="1">
        <v>26.28</v>
      </c>
      <c r="V157" s="1">
        <v>3720</v>
      </c>
      <c r="W157" s="3">
        <v>0.56469999999999998</v>
      </c>
      <c r="X157" s="1" t="s">
        <v>730</v>
      </c>
      <c r="Y157" s="1">
        <v>0.98</v>
      </c>
      <c r="Z157" s="1">
        <v>0.82</v>
      </c>
      <c r="AA157" s="1">
        <v>1.5509999999999999</v>
      </c>
      <c r="AB157" s="1">
        <v>24.1</v>
      </c>
      <c r="AC157" s="1">
        <v>14</v>
      </c>
      <c r="AD157" s="1">
        <v>0.2</v>
      </c>
      <c r="AE157" s="1">
        <v>2.37</v>
      </c>
      <c r="AF157" s="1">
        <v>14.2</v>
      </c>
      <c r="AG157" s="1"/>
      <c r="AH157" s="1" t="s">
        <v>731</v>
      </c>
      <c r="AI157" s="1">
        <v>7</v>
      </c>
      <c r="AJ157" s="1" t="s">
        <v>730</v>
      </c>
      <c r="AK157" s="1">
        <v>2</v>
      </c>
      <c r="AL157" s="1">
        <v>76.470699999999994</v>
      </c>
      <c r="AM157" s="1" t="s">
        <v>730</v>
      </c>
      <c r="AN157" s="1">
        <v>6.8295281582952798</v>
      </c>
      <c r="AO157" s="1">
        <v>1.03087217483702</v>
      </c>
      <c r="AP157" s="1"/>
      <c r="AQ157" s="1"/>
      <c r="AR157" s="1"/>
      <c r="AS157" s="1"/>
      <c r="AT157" s="1"/>
    </row>
    <row r="158" spans="1:46">
      <c r="A158" s="1" t="s">
        <v>732</v>
      </c>
      <c r="B158" s="1">
        <v>209</v>
      </c>
      <c r="C158" s="1" t="s">
        <v>732</v>
      </c>
      <c r="D158" s="1" t="s">
        <v>733</v>
      </c>
      <c r="E158" s="1" t="s">
        <v>47</v>
      </c>
      <c r="F158" s="1" t="s">
        <v>728</v>
      </c>
      <c r="G158" s="1" t="s">
        <v>456</v>
      </c>
      <c r="H158" s="2" t="s">
        <v>729</v>
      </c>
      <c r="I158" s="1">
        <v>111</v>
      </c>
      <c r="J158" s="1">
        <v>0.2</v>
      </c>
      <c r="K158" s="1" t="s">
        <v>512</v>
      </c>
      <c r="L158" s="1" t="s">
        <v>65</v>
      </c>
      <c r="M158" s="1">
        <v>9.7799999999999994</v>
      </c>
      <c r="N158" s="1">
        <v>52</v>
      </c>
      <c r="O158" s="1">
        <v>66.001080000000002</v>
      </c>
      <c r="P158" s="1">
        <v>-168.95625000000001</v>
      </c>
      <c r="Q158" s="1">
        <v>3.1019999999999999</v>
      </c>
      <c r="R158" s="1">
        <v>32.762999999999998</v>
      </c>
      <c r="S158" s="1">
        <v>298.93400000000003</v>
      </c>
      <c r="T158" s="1">
        <v>169.18</v>
      </c>
      <c r="U158" s="1">
        <v>25.8</v>
      </c>
      <c r="V158" s="1">
        <v>3980</v>
      </c>
      <c r="W158" s="3">
        <v>0.96540000000000004</v>
      </c>
      <c r="X158" s="1" t="s">
        <v>734</v>
      </c>
      <c r="Y158" s="1">
        <v>1.03</v>
      </c>
      <c r="Z158" s="1">
        <v>0.82</v>
      </c>
      <c r="AA158" s="1">
        <v>1.536</v>
      </c>
      <c r="AB158" s="1">
        <v>25.1</v>
      </c>
      <c r="AC158" s="1">
        <v>14.4</v>
      </c>
      <c r="AD158" s="1">
        <v>0.2</v>
      </c>
      <c r="AE158" s="1">
        <v>2.2400000000000002</v>
      </c>
      <c r="AF158" s="1">
        <v>14.6</v>
      </c>
      <c r="AG158" s="1"/>
      <c r="AH158" s="1" t="s">
        <v>735</v>
      </c>
      <c r="AI158" s="1">
        <v>5</v>
      </c>
      <c r="AJ158" s="1" t="s">
        <v>734</v>
      </c>
      <c r="AK158" s="1">
        <v>2</v>
      </c>
      <c r="AL158" s="1">
        <v>76.090999999999994</v>
      </c>
      <c r="AM158" s="1" t="s">
        <v>734</v>
      </c>
      <c r="AN158" s="1">
        <v>6.55736434108527</v>
      </c>
      <c r="AO158" s="1">
        <v>0.98979084393739902</v>
      </c>
      <c r="AP158" s="1"/>
      <c r="AQ158" s="1"/>
      <c r="AR158" s="1"/>
      <c r="AS158" s="1"/>
      <c r="AT158" s="1"/>
    </row>
    <row r="159" spans="1:46">
      <c r="A159" s="1" t="s">
        <v>736</v>
      </c>
      <c r="B159" s="1">
        <v>210</v>
      </c>
      <c r="C159" s="1" t="s">
        <v>736</v>
      </c>
      <c r="D159" s="1" t="s">
        <v>737</v>
      </c>
      <c r="E159" s="1" t="s">
        <v>47</v>
      </c>
      <c r="F159" s="1" t="s">
        <v>728</v>
      </c>
      <c r="G159" s="1" t="s">
        <v>456</v>
      </c>
      <c r="H159" s="2" t="s">
        <v>729</v>
      </c>
      <c r="I159" s="1">
        <v>111</v>
      </c>
      <c r="J159" s="1">
        <v>0.2</v>
      </c>
      <c r="K159" s="1" t="s">
        <v>150</v>
      </c>
      <c r="L159" s="1" t="s">
        <v>78</v>
      </c>
      <c r="M159" s="1">
        <v>47.84</v>
      </c>
      <c r="N159" s="1">
        <v>52</v>
      </c>
      <c r="O159" s="1">
        <v>66.001180000000005</v>
      </c>
      <c r="P159" s="1">
        <v>-168.95712</v>
      </c>
      <c r="Q159" s="1">
        <v>3.0945</v>
      </c>
      <c r="R159" s="1">
        <v>32.762999999999998</v>
      </c>
      <c r="S159" s="1">
        <v>298.68400000000003</v>
      </c>
      <c r="T159" s="1">
        <v>175.6</v>
      </c>
      <c r="U159" s="1">
        <v>25.38</v>
      </c>
      <c r="V159" s="1">
        <v>3679.99999999999</v>
      </c>
      <c r="W159" s="3">
        <v>1.0210999999999999</v>
      </c>
      <c r="X159" s="1" t="s">
        <v>738</v>
      </c>
      <c r="Y159" s="1">
        <v>1.01</v>
      </c>
      <c r="Z159" s="1">
        <v>0.73</v>
      </c>
      <c r="AA159" s="1">
        <v>1.585</v>
      </c>
      <c r="AB159" s="1">
        <v>26</v>
      </c>
      <c r="AC159" s="1">
        <v>15.1</v>
      </c>
      <c r="AD159" s="1">
        <v>0.21</v>
      </c>
      <c r="AE159" s="1">
        <v>2.31</v>
      </c>
      <c r="AF159" s="1">
        <v>15.31</v>
      </c>
      <c r="AG159" s="1"/>
      <c r="AH159" s="1" t="s">
        <v>739</v>
      </c>
      <c r="AI159" s="1">
        <v>1</v>
      </c>
      <c r="AJ159" s="1" t="s">
        <v>738</v>
      </c>
      <c r="AK159" s="1">
        <v>2</v>
      </c>
      <c r="AL159" s="1">
        <v>76.192899999999995</v>
      </c>
      <c r="AM159" s="1" t="s">
        <v>738</v>
      </c>
      <c r="AN159" s="1">
        <v>6.9188337273443699</v>
      </c>
      <c r="AO159" s="1">
        <v>1.0443522607312301</v>
      </c>
      <c r="AP159" s="1"/>
      <c r="AQ159" s="1"/>
      <c r="AR159" s="1"/>
      <c r="AS159" s="1"/>
      <c r="AT159" s="1"/>
    </row>
    <row r="160" spans="1:46">
      <c r="A160" s="1" t="s">
        <v>740</v>
      </c>
      <c r="B160" s="1">
        <v>127</v>
      </c>
      <c r="C160" s="1" t="s">
        <v>740</v>
      </c>
      <c r="D160" s="1" t="s">
        <v>741</v>
      </c>
      <c r="E160" s="1" t="s">
        <v>47</v>
      </c>
      <c r="F160" s="1" t="s">
        <v>742</v>
      </c>
      <c r="G160" s="1" t="s">
        <v>456</v>
      </c>
      <c r="H160" s="2" t="s">
        <v>743</v>
      </c>
      <c r="I160" s="1">
        <v>78</v>
      </c>
      <c r="J160" s="1">
        <v>0.2</v>
      </c>
      <c r="K160" s="1" t="s">
        <v>52</v>
      </c>
      <c r="L160" s="1" t="s">
        <v>52</v>
      </c>
      <c r="M160" s="1">
        <v>2.94</v>
      </c>
      <c r="N160" s="1">
        <v>56</v>
      </c>
      <c r="O160" s="1">
        <v>68.250699999999995</v>
      </c>
      <c r="P160" s="1">
        <v>-168.95107999999999</v>
      </c>
      <c r="Q160" s="1">
        <v>3.5674999999999999</v>
      </c>
      <c r="R160" s="1">
        <v>32.887</v>
      </c>
      <c r="S160" s="1">
        <v>393.51600000000002</v>
      </c>
      <c r="T160" s="1">
        <v>567.94000000000005</v>
      </c>
      <c r="U160" s="1">
        <v>92.72</v>
      </c>
      <c r="V160" s="1">
        <v>3500</v>
      </c>
      <c r="W160" s="3">
        <v>0.57730000000000004</v>
      </c>
      <c r="X160" s="1" t="s">
        <v>744</v>
      </c>
      <c r="Y160" s="1">
        <v>1.91</v>
      </c>
      <c r="Z160" s="1">
        <v>0.37</v>
      </c>
      <c r="AA160" s="1">
        <v>0.626</v>
      </c>
      <c r="AB160" s="1">
        <v>1.8</v>
      </c>
      <c r="AC160" s="1">
        <v>0.5</v>
      </c>
      <c r="AD160" s="1">
        <v>0.03</v>
      </c>
      <c r="AE160" s="1">
        <v>0.27</v>
      </c>
      <c r="AF160" s="1">
        <v>0.53</v>
      </c>
      <c r="AG160" s="1"/>
      <c r="AH160" s="1" t="s">
        <v>745</v>
      </c>
      <c r="AI160" s="1">
        <v>11</v>
      </c>
      <c r="AJ160" s="1" t="s">
        <v>744</v>
      </c>
      <c r="AK160" s="1">
        <v>2</v>
      </c>
      <c r="AL160" s="1">
        <v>79.729699999999994</v>
      </c>
      <c r="AM160" s="1" t="s">
        <v>744</v>
      </c>
      <c r="AN160" s="1">
        <v>6.1253235547886096</v>
      </c>
      <c r="AO160" s="1">
        <v>0.92457714034545102</v>
      </c>
      <c r="AP160" s="1"/>
      <c r="AQ160" s="1"/>
      <c r="AR160" s="1"/>
      <c r="AS160" s="1"/>
      <c r="AT160" s="1"/>
    </row>
    <row r="161" spans="1:46">
      <c r="A161" s="1" t="s">
        <v>746</v>
      </c>
      <c r="B161" s="1">
        <v>128</v>
      </c>
      <c r="C161" s="1" t="s">
        <v>746</v>
      </c>
      <c r="D161" s="1" t="s">
        <v>747</v>
      </c>
      <c r="E161" s="1" t="s">
        <v>47</v>
      </c>
      <c r="F161" s="1" t="s">
        <v>742</v>
      </c>
      <c r="G161" s="1" t="s">
        <v>456</v>
      </c>
      <c r="H161" s="2" t="s">
        <v>743</v>
      </c>
      <c r="I161" s="1">
        <v>78</v>
      </c>
      <c r="J161" s="1">
        <v>0.2</v>
      </c>
      <c r="K161" s="1" t="s">
        <v>512</v>
      </c>
      <c r="L161" s="1" t="s">
        <v>65</v>
      </c>
      <c r="M161" s="1">
        <v>9.7899999999999991</v>
      </c>
      <c r="N161" s="1">
        <v>56</v>
      </c>
      <c r="O161" s="1">
        <v>68.250680000000003</v>
      </c>
      <c r="P161" s="1">
        <v>-168.95107999999999</v>
      </c>
      <c r="Q161" s="1">
        <v>2.7075</v>
      </c>
      <c r="R161" s="1">
        <v>32.89</v>
      </c>
      <c r="S161" s="1">
        <v>367.553</v>
      </c>
      <c r="T161" s="1">
        <v>473.74</v>
      </c>
      <c r="U161" s="1">
        <v>84.36</v>
      </c>
      <c r="V161" s="1">
        <v>3560.00000000001</v>
      </c>
      <c r="W161" s="3">
        <v>4.33</v>
      </c>
      <c r="X161" s="1" t="s">
        <v>748</v>
      </c>
      <c r="Y161" s="1">
        <v>5.52</v>
      </c>
      <c r="Z161" s="1">
        <v>0.59</v>
      </c>
      <c r="AA161" s="1">
        <v>0.82499999999999996</v>
      </c>
      <c r="AB161" s="1">
        <v>5.5</v>
      </c>
      <c r="AC161" s="1">
        <v>2.4</v>
      </c>
      <c r="AD161" s="1">
        <v>0.06</v>
      </c>
      <c r="AE161" s="1">
        <v>0.81</v>
      </c>
      <c r="AF161" s="1">
        <v>2.46</v>
      </c>
      <c r="AG161" s="1"/>
      <c r="AH161" s="1" t="s">
        <v>749</v>
      </c>
      <c r="AI161" s="1">
        <v>8</v>
      </c>
      <c r="AJ161" s="1" t="s">
        <v>748</v>
      </c>
      <c r="AK161" s="1">
        <v>2</v>
      </c>
      <c r="AL161" s="1">
        <v>75.490499999999997</v>
      </c>
      <c r="AM161" s="1" t="s">
        <v>748</v>
      </c>
      <c r="AN161" s="1">
        <v>5.6156946420104301</v>
      </c>
      <c r="AO161" s="1">
        <v>0.84765202143553697</v>
      </c>
      <c r="AP161" s="1"/>
      <c r="AQ161" s="1"/>
      <c r="AR161" s="1"/>
      <c r="AS161" s="1"/>
      <c r="AT161" s="1"/>
    </row>
    <row r="162" spans="1:46">
      <c r="A162" s="1" t="s">
        <v>750</v>
      </c>
      <c r="B162" s="1">
        <v>129</v>
      </c>
      <c r="C162" s="1" t="s">
        <v>750</v>
      </c>
      <c r="D162" s="1" t="s">
        <v>751</v>
      </c>
      <c r="E162" s="1" t="s">
        <v>47</v>
      </c>
      <c r="F162" s="1" t="s">
        <v>742</v>
      </c>
      <c r="G162" s="1" t="s">
        <v>456</v>
      </c>
      <c r="H162" s="2" t="s">
        <v>743</v>
      </c>
      <c r="I162" s="1">
        <v>78</v>
      </c>
      <c r="J162" s="1">
        <v>0.2</v>
      </c>
      <c r="K162" s="1" t="s">
        <v>150</v>
      </c>
      <c r="L162" s="1" t="s">
        <v>78</v>
      </c>
      <c r="M162" s="1">
        <v>53.88</v>
      </c>
      <c r="N162" s="1">
        <v>56</v>
      </c>
      <c r="O162" s="1">
        <v>68.250680000000003</v>
      </c>
      <c r="P162" s="1">
        <v>-168.95107999999999</v>
      </c>
      <c r="Q162" s="1">
        <v>1.9884999999999999</v>
      </c>
      <c r="R162" s="1">
        <v>32.922499999999999</v>
      </c>
      <c r="S162" s="1">
        <v>314.92099999999999</v>
      </c>
      <c r="T162" s="1">
        <v>333.34</v>
      </c>
      <c r="U162" s="1">
        <v>57.86</v>
      </c>
      <c r="V162" s="1">
        <v>6820.00000000001</v>
      </c>
      <c r="W162" s="3">
        <v>2.0013000000000001</v>
      </c>
      <c r="X162" s="1" t="s">
        <v>752</v>
      </c>
      <c r="Y162" s="1">
        <v>3.44</v>
      </c>
      <c r="Z162" s="1">
        <v>2.12</v>
      </c>
      <c r="AA162" s="1">
        <v>1.323</v>
      </c>
      <c r="AB162" s="1">
        <v>9</v>
      </c>
      <c r="AC162" s="1">
        <v>7.4</v>
      </c>
      <c r="AD162" s="1">
        <v>0.15</v>
      </c>
      <c r="AE162" s="1">
        <v>3.54</v>
      </c>
      <c r="AF162" s="1">
        <v>7.55</v>
      </c>
      <c r="AG162" s="1"/>
      <c r="AH162" s="1" t="s">
        <v>753</v>
      </c>
      <c r="AI162" s="1">
        <v>1</v>
      </c>
      <c r="AJ162" s="1" t="s">
        <v>752</v>
      </c>
      <c r="AK162" s="1">
        <v>2</v>
      </c>
      <c r="AL162" s="1">
        <v>54.576999999999998</v>
      </c>
      <c r="AM162" s="1" t="s">
        <v>752</v>
      </c>
      <c r="AN162" s="1">
        <v>5.7611475976494999</v>
      </c>
      <c r="AO162" s="1">
        <v>0.86960718455086805</v>
      </c>
      <c r="AP162" s="1"/>
      <c r="AQ162" s="1"/>
      <c r="AR162" s="1"/>
      <c r="AS162" s="1"/>
      <c r="AT162" s="1"/>
    </row>
    <row r="163" spans="1:46">
      <c r="A163" s="1" t="s">
        <v>754</v>
      </c>
      <c r="B163" s="1">
        <v>124</v>
      </c>
      <c r="C163" s="1" t="s">
        <v>754</v>
      </c>
      <c r="D163" s="1" t="s">
        <v>755</v>
      </c>
      <c r="E163" s="1" t="s">
        <v>47</v>
      </c>
      <c r="F163" s="1" t="s">
        <v>756</v>
      </c>
      <c r="G163" s="1" t="s">
        <v>456</v>
      </c>
      <c r="H163" s="2" t="s">
        <v>757</v>
      </c>
      <c r="I163" s="1">
        <v>76</v>
      </c>
      <c r="J163" s="1">
        <v>0.2</v>
      </c>
      <c r="K163" s="1" t="s">
        <v>52</v>
      </c>
      <c r="L163" s="1" t="s">
        <v>52</v>
      </c>
      <c r="M163" s="1">
        <v>2.4700000000000002</v>
      </c>
      <c r="N163" s="1">
        <v>52</v>
      </c>
      <c r="O163" s="1">
        <v>68.751639999999995</v>
      </c>
      <c r="P163" s="1">
        <v>-168.95008000000001</v>
      </c>
      <c r="Q163" s="1">
        <v>5.4044999999999996</v>
      </c>
      <c r="R163" s="1">
        <v>32.021000000000001</v>
      </c>
      <c r="S163" s="1">
        <v>329.78500000000003</v>
      </c>
      <c r="T163" s="1">
        <v>138.74</v>
      </c>
      <c r="U163" s="1">
        <v>23.86</v>
      </c>
      <c r="V163" s="1">
        <v>2120</v>
      </c>
      <c r="W163" s="3">
        <v>0</v>
      </c>
      <c r="X163" s="1" t="s">
        <v>758</v>
      </c>
      <c r="Y163" s="1">
        <v>0.25</v>
      </c>
      <c r="Z163" s="1">
        <v>0.08</v>
      </c>
      <c r="AA163" s="1">
        <v>0.63800000000000001</v>
      </c>
      <c r="AB163" s="1">
        <v>1.8</v>
      </c>
      <c r="AC163" s="1">
        <v>0.4</v>
      </c>
      <c r="AD163" s="1">
        <v>0.02</v>
      </c>
      <c r="AE163" s="1">
        <v>1.43</v>
      </c>
      <c r="AF163" s="1">
        <v>0.42</v>
      </c>
      <c r="AG163" s="1"/>
      <c r="AH163" s="1" t="s">
        <v>759</v>
      </c>
      <c r="AI163" s="1">
        <v>7</v>
      </c>
      <c r="AJ163" s="1" t="s">
        <v>758</v>
      </c>
      <c r="AK163" s="1">
        <v>2</v>
      </c>
      <c r="AL163" s="1">
        <v>90.831000000000003</v>
      </c>
      <c r="AM163" s="1" t="s">
        <v>758</v>
      </c>
      <c r="AN163" s="1">
        <v>5.8147527242246397</v>
      </c>
      <c r="AO163" s="1">
        <v>0.87769852441126694</v>
      </c>
      <c r="AP163" s="1"/>
      <c r="AQ163" s="1"/>
      <c r="AR163" s="1"/>
      <c r="AS163" s="1"/>
      <c r="AT163" s="1"/>
    </row>
    <row r="164" spans="1:46">
      <c r="A164" s="1" t="s">
        <v>760</v>
      </c>
      <c r="B164" s="1">
        <v>125</v>
      </c>
      <c r="C164" s="1" t="s">
        <v>760</v>
      </c>
      <c r="D164" s="1" t="s">
        <v>761</v>
      </c>
      <c r="E164" s="1" t="s">
        <v>47</v>
      </c>
      <c r="F164" s="1" t="s">
        <v>756</v>
      </c>
      <c r="G164" s="1" t="s">
        <v>456</v>
      </c>
      <c r="H164" s="2" t="s">
        <v>757</v>
      </c>
      <c r="I164" s="1">
        <v>76</v>
      </c>
      <c r="J164" s="1">
        <v>0.2</v>
      </c>
      <c r="K164" s="1" t="s">
        <v>486</v>
      </c>
      <c r="L164" s="1" t="s">
        <v>65</v>
      </c>
      <c r="M164" s="1">
        <v>14.95</v>
      </c>
      <c r="N164" s="1">
        <v>52</v>
      </c>
      <c r="O164" s="1">
        <v>68.751639999999995</v>
      </c>
      <c r="P164" s="1">
        <v>-168.95008000000001</v>
      </c>
      <c r="Q164" s="1">
        <v>4.6234999999999999</v>
      </c>
      <c r="R164" s="1">
        <v>32.392499999999998</v>
      </c>
      <c r="S164" s="1">
        <v>347.53</v>
      </c>
      <c r="T164" s="1">
        <v>164.12</v>
      </c>
      <c r="U164" s="1">
        <v>29.68</v>
      </c>
      <c r="V164" s="1">
        <v>2340.00000000001</v>
      </c>
      <c r="W164" s="3">
        <v>0.1366</v>
      </c>
      <c r="X164" s="1" t="s">
        <v>762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763</v>
      </c>
      <c r="AI164" s="1">
        <v>5</v>
      </c>
      <c r="AJ164" s="1" t="s">
        <v>762</v>
      </c>
      <c r="AK164" s="1">
        <v>2</v>
      </c>
      <c r="AL164" s="1">
        <v>92.725800000000007</v>
      </c>
      <c r="AM164" s="1" t="s">
        <v>762</v>
      </c>
      <c r="AN164" s="1">
        <v>5.5296495956873297</v>
      </c>
      <c r="AO164" s="1">
        <v>0.83466408991506902</v>
      </c>
      <c r="AP164" s="1"/>
      <c r="AQ164" s="1"/>
      <c r="AR164" s="1"/>
      <c r="AS164" s="1"/>
      <c r="AT164" s="1"/>
    </row>
    <row r="165" spans="1:46">
      <c r="A165" s="1" t="s">
        <v>764</v>
      </c>
      <c r="B165" s="1">
        <v>126</v>
      </c>
      <c r="C165" s="1" t="s">
        <v>764</v>
      </c>
      <c r="D165" s="1" t="s">
        <v>765</v>
      </c>
      <c r="E165" s="1" t="s">
        <v>47</v>
      </c>
      <c r="F165" s="1" t="s">
        <v>756</v>
      </c>
      <c r="G165" s="1" t="s">
        <v>456</v>
      </c>
      <c r="H165" s="2" t="s">
        <v>757</v>
      </c>
      <c r="I165" s="1">
        <v>76</v>
      </c>
      <c r="J165" s="1">
        <v>0.2</v>
      </c>
      <c r="K165" s="1" t="s">
        <v>150</v>
      </c>
      <c r="L165" s="1" t="s">
        <v>78</v>
      </c>
      <c r="M165" s="1">
        <v>49.67</v>
      </c>
      <c r="N165" s="1">
        <v>52</v>
      </c>
      <c r="O165" s="1">
        <v>68.751639999999995</v>
      </c>
      <c r="P165" s="1">
        <v>-168.95009999999999</v>
      </c>
      <c r="Q165" s="1">
        <v>2.851</v>
      </c>
      <c r="R165" s="1">
        <v>32.819499999999998</v>
      </c>
      <c r="S165" s="1">
        <v>349.71800000000002</v>
      </c>
      <c r="T165" s="1">
        <v>141.4</v>
      </c>
      <c r="U165" s="1">
        <v>21.28</v>
      </c>
      <c r="V165" s="1">
        <v>2739.99999999999</v>
      </c>
      <c r="W165" s="3">
        <v>0.37869999999999998</v>
      </c>
      <c r="X165" s="1" t="s">
        <v>766</v>
      </c>
      <c r="Y165" s="1">
        <v>0.79</v>
      </c>
      <c r="Z165" s="1">
        <v>0.86</v>
      </c>
      <c r="AA165" s="1">
        <v>1.163</v>
      </c>
      <c r="AB165" s="1">
        <v>3.2</v>
      </c>
      <c r="AC165" s="1">
        <v>2.8</v>
      </c>
      <c r="AD165" s="1">
        <v>0.1</v>
      </c>
      <c r="AE165" s="1">
        <v>4.79</v>
      </c>
      <c r="AF165" s="1">
        <v>2.9</v>
      </c>
      <c r="AG165" s="1"/>
      <c r="AH165" s="1" t="s">
        <v>767</v>
      </c>
      <c r="AI165" s="1">
        <v>1</v>
      </c>
      <c r="AJ165" s="1" t="s">
        <v>766</v>
      </c>
      <c r="AK165" s="1">
        <v>2</v>
      </c>
      <c r="AL165" s="1">
        <v>75.037700000000001</v>
      </c>
      <c r="AM165" s="1" t="s">
        <v>766</v>
      </c>
      <c r="AN165" s="1">
        <v>6.6447368421052602</v>
      </c>
      <c r="AO165" s="1">
        <v>1.0029791459781501</v>
      </c>
      <c r="AP165" s="1"/>
      <c r="AQ165" s="1"/>
      <c r="AR165" s="1"/>
      <c r="AS165" s="1"/>
      <c r="AT165" s="1"/>
    </row>
    <row r="166" spans="1:46">
      <c r="A166" s="1" t="s">
        <v>768</v>
      </c>
      <c r="B166" s="1">
        <v>204</v>
      </c>
      <c r="C166" s="1" t="s">
        <v>768</v>
      </c>
      <c r="D166" s="1" t="s">
        <v>769</v>
      </c>
      <c r="E166" s="1" t="s">
        <v>47</v>
      </c>
      <c r="F166" s="1" t="s">
        <v>770</v>
      </c>
      <c r="G166" s="1" t="s">
        <v>456</v>
      </c>
      <c r="H166" s="2" t="s">
        <v>771</v>
      </c>
      <c r="I166" s="1">
        <v>110</v>
      </c>
      <c r="J166" s="1">
        <v>0.2</v>
      </c>
      <c r="K166" s="1" t="s">
        <v>52</v>
      </c>
      <c r="L166" s="1" t="s">
        <v>52</v>
      </c>
      <c r="M166" s="1">
        <v>4.1100000000000003</v>
      </c>
      <c r="N166" s="1">
        <v>57</v>
      </c>
      <c r="O166" s="1">
        <v>66.250540000000001</v>
      </c>
      <c r="P166" s="1">
        <v>-168.95838000000001</v>
      </c>
      <c r="Q166" s="1">
        <v>4.3064999999999998</v>
      </c>
      <c r="R166" s="1">
        <v>32.707000000000001</v>
      </c>
      <c r="S166" s="1">
        <v>331.85</v>
      </c>
      <c r="T166" s="1">
        <v>823.6</v>
      </c>
      <c r="U166" s="1">
        <v>137.78</v>
      </c>
      <c r="V166" s="1">
        <v>4599.99999999999</v>
      </c>
      <c r="W166" s="3">
        <v>8.1562999999999999</v>
      </c>
      <c r="X166" s="1" t="s">
        <v>772</v>
      </c>
      <c r="Y166" s="1">
        <v>17.14</v>
      </c>
      <c r="Z166" s="1">
        <v>2.0499999999999998</v>
      </c>
      <c r="AA166" s="1">
        <v>0.871</v>
      </c>
      <c r="AB166" s="1">
        <v>13.3</v>
      </c>
      <c r="AC166" s="1">
        <v>5.0999999999999996</v>
      </c>
      <c r="AD166" s="1">
        <v>0.11</v>
      </c>
      <c r="AE166" s="1">
        <v>0.56000000000000005</v>
      </c>
      <c r="AF166" s="1">
        <v>5.21</v>
      </c>
      <c r="AG166" s="1"/>
      <c r="AH166" s="1" t="s">
        <v>773</v>
      </c>
      <c r="AI166" s="1">
        <v>10</v>
      </c>
      <c r="AJ166" s="1" t="s">
        <v>772</v>
      </c>
      <c r="AK166" s="1">
        <v>1.7</v>
      </c>
      <c r="AL166" s="1">
        <v>75.114500000000007</v>
      </c>
      <c r="AM166" s="1" t="s">
        <v>772</v>
      </c>
      <c r="AN166" s="1">
        <v>5.9776455218464202</v>
      </c>
      <c r="AO166" s="1">
        <v>0.90228611650512003</v>
      </c>
      <c r="AP166" s="1"/>
      <c r="AQ166" s="1"/>
      <c r="AR166" s="1"/>
      <c r="AS166" s="1"/>
      <c r="AT166" s="1"/>
    </row>
    <row r="167" spans="1:46">
      <c r="A167" s="1" t="s">
        <v>774</v>
      </c>
      <c r="B167" s="1">
        <v>205</v>
      </c>
      <c r="C167" s="1" t="s">
        <v>774</v>
      </c>
      <c r="D167" s="1" t="s">
        <v>775</v>
      </c>
      <c r="E167" s="1" t="s">
        <v>47</v>
      </c>
      <c r="F167" s="1" t="s">
        <v>770</v>
      </c>
      <c r="G167" s="1" t="s">
        <v>456</v>
      </c>
      <c r="H167" s="2" t="s">
        <v>771</v>
      </c>
      <c r="I167" s="1">
        <v>110</v>
      </c>
      <c r="J167" s="1">
        <v>0.2</v>
      </c>
      <c r="K167" s="1" t="s">
        <v>512</v>
      </c>
      <c r="L167" s="1" t="s">
        <v>65</v>
      </c>
      <c r="M167" s="1">
        <v>9.73</v>
      </c>
      <c r="N167" s="1">
        <v>57</v>
      </c>
      <c r="O167" s="1">
        <v>66.250540000000001</v>
      </c>
      <c r="P167" s="1">
        <v>-168.95840000000001</v>
      </c>
      <c r="Q167" s="1">
        <v>4.2634999999999996</v>
      </c>
      <c r="R167" s="1">
        <v>32.709499999999998</v>
      </c>
      <c r="S167" s="1">
        <v>330.48200000000003</v>
      </c>
      <c r="T167" s="1"/>
      <c r="U167" s="1"/>
      <c r="V167" s="1"/>
      <c r="W167" s="3">
        <v>8.3021999999999991</v>
      </c>
      <c r="X167" s="1" t="s">
        <v>776</v>
      </c>
      <c r="Y167" s="1">
        <v>15.39</v>
      </c>
      <c r="Z167" s="1">
        <v>3.05</v>
      </c>
      <c r="AA167" s="1">
        <v>0.85799999999999998</v>
      </c>
      <c r="AB167" s="1">
        <v>13.2</v>
      </c>
      <c r="AC167" s="1">
        <v>5</v>
      </c>
      <c r="AD167" s="1">
        <v>0.11</v>
      </c>
      <c r="AE167" s="1">
        <v>0.52</v>
      </c>
      <c r="AF167" s="1">
        <v>5.1100000000000003</v>
      </c>
      <c r="AG167" s="1"/>
      <c r="AH167" s="1" t="s">
        <v>777</v>
      </c>
      <c r="AI167" s="1">
        <v>8</v>
      </c>
      <c r="AJ167" s="1" t="s">
        <v>776</v>
      </c>
      <c r="AK167" s="1">
        <v>1.7</v>
      </c>
      <c r="AL167" s="1">
        <v>75.063299999999998</v>
      </c>
      <c r="AM167" s="1" t="s">
        <v>776</v>
      </c>
      <c r="AN167" s="1"/>
      <c r="AO167" s="1"/>
      <c r="AP167" s="1"/>
      <c r="AQ167" s="1"/>
      <c r="AR167" s="1"/>
      <c r="AS167" s="1"/>
      <c r="AT167" s="1"/>
    </row>
    <row r="168" spans="1:46">
      <c r="A168" s="1" t="s">
        <v>778</v>
      </c>
      <c r="B168" s="1">
        <v>206</v>
      </c>
      <c r="C168" s="1" t="s">
        <v>778</v>
      </c>
      <c r="D168" s="1" t="s">
        <v>779</v>
      </c>
      <c r="E168" s="1" t="s">
        <v>47</v>
      </c>
      <c r="F168" s="1" t="s">
        <v>770</v>
      </c>
      <c r="G168" s="1" t="s">
        <v>456</v>
      </c>
      <c r="H168" s="2" t="s">
        <v>771</v>
      </c>
      <c r="I168" s="1">
        <v>110</v>
      </c>
      <c r="J168" s="1">
        <v>0.2</v>
      </c>
      <c r="K168" s="1" t="s">
        <v>780</v>
      </c>
      <c r="L168" s="1" t="s">
        <v>65</v>
      </c>
      <c r="M168" s="1">
        <v>25.6</v>
      </c>
      <c r="N168" s="1">
        <v>57</v>
      </c>
      <c r="O168" s="1">
        <v>66.250559999999993</v>
      </c>
      <c r="P168" s="1">
        <v>-168.95833999999999</v>
      </c>
      <c r="Q168" s="1">
        <v>3.7475000000000001</v>
      </c>
      <c r="R168" s="1">
        <v>32.728999999999999</v>
      </c>
      <c r="S168" s="1">
        <v>314.40600000000001</v>
      </c>
      <c r="T168" s="1">
        <v>288</v>
      </c>
      <c r="U168" s="1">
        <v>46.44</v>
      </c>
      <c r="V168" s="1">
        <v>4000</v>
      </c>
      <c r="W168" s="3">
        <v>4.3430999999999997</v>
      </c>
      <c r="X168" s="1" t="s">
        <v>781</v>
      </c>
      <c r="Y168" s="1">
        <v>4.43</v>
      </c>
      <c r="Z168" s="1">
        <v>0.56000000000000005</v>
      </c>
      <c r="AA168" s="1">
        <v>1.4510000000000001</v>
      </c>
      <c r="AB168" s="1">
        <v>23.1</v>
      </c>
      <c r="AC168" s="1">
        <v>13.6</v>
      </c>
      <c r="AD168" s="1">
        <v>0.19</v>
      </c>
      <c r="AE168" s="1">
        <v>1.86</v>
      </c>
      <c r="AF168" s="1">
        <v>13.79</v>
      </c>
      <c r="AG168" s="1"/>
      <c r="AH168" s="1" t="s">
        <v>782</v>
      </c>
      <c r="AI168" s="1">
        <v>5</v>
      </c>
      <c r="AJ168" s="1" t="s">
        <v>781</v>
      </c>
      <c r="AK168" s="1">
        <v>1.7</v>
      </c>
      <c r="AL168" s="1">
        <v>75.928299999999993</v>
      </c>
      <c r="AM168" s="1" t="s">
        <v>781</v>
      </c>
      <c r="AN168" s="1">
        <v>6.2015503875968996</v>
      </c>
      <c r="AO168" s="1">
        <v>0.93608307737311702</v>
      </c>
      <c r="AP168" s="1"/>
      <c r="AQ168" s="1"/>
      <c r="AR168" s="1"/>
      <c r="AS168" s="1"/>
      <c r="AT168" s="1"/>
    </row>
    <row r="169" spans="1:46">
      <c r="A169" s="1" t="s">
        <v>783</v>
      </c>
      <c r="B169" s="1">
        <v>207</v>
      </c>
      <c r="C169" s="1" t="s">
        <v>783</v>
      </c>
      <c r="D169" s="1" t="s">
        <v>784</v>
      </c>
      <c r="E169" s="1" t="s">
        <v>47</v>
      </c>
      <c r="F169" s="1" t="s">
        <v>770</v>
      </c>
      <c r="G169" s="1" t="s">
        <v>456</v>
      </c>
      <c r="H169" s="2" t="s">
        <v>771</v>
      </c>
      <c r="I169" s="1">
        <v>110</v>
      </c>
      <c r="J169" s="1">
        <v>0.2</v>
      </c>
      <c r="K169" s="1" t="s">
        <v>150</v>
      </c>
      <c r="L169" s="1" t="s">
        <v>78</v>
      </c>
      <c r="M169" s="1">
        <v>52.64</v>
      </c>
      <c r="N169" s="1">
        <v>57</v>
      </c>
      <c r="O169" s="1">
        <v>66.250559999999993</v>
      </c>
      <c r="P169" s="1">
        <v>-168.95836</v>
      </c>
      <c r="Q169" s="1">
        <v>3.3130000000000002</v>
      </c>
      <c r="R169" s="1">
        <v>32.752000000000002</v>
      </c>
      <c r="S169" s="1">
        <v>298.05200000000002</v>
      </c>
      <c r="T169" s="1">
        <v>216.1</v>
      </c>
      <c r="U169" s="1">
        <v>34.54</v>
      </c>
      <c r="V169" s="1">
        <v>4180</v>
      </c>
      <c r="W169" s="3">
        <v>1.6597999999999999</v>
      </c>
      <c r="X169" s="1" t="s">
        <v>785</v>
      </c>
      <c r="Y169" s="1">
        <v>1.9</v>
      </c>
      <c r="Z169" s="1">
        <v>0.87</v>
      </c>
      <c r="AA169" s="1">
        <v>1.5429999999999999</v>
      </c>
      <c r="AB169" s="1">
        <v>24.7</v>
      </c>
      <c r="AC169" s="1">
        <v>14.8</v>
      </c>
      <c r="AD169" s="1">
        <v>0.21</v>
      </c>
      <c r="AE169" s="1">
        <v>2.02</v>
      </c>
      <c r="AF169" s="1">
        <v>15.01</v>
      </c>
      <c r="AG169" s="1"/>
      <c r="AH169" s="1" t="s">
        <v>786</v>
      </c>
      <c r="AI169" s="1">
        <v>1</v>
      </c>
      <c r="AJ169" s="1" t="s">
        <v>785</v>
      </c>
      <c r="AK169" s="1">
        <v>1.7</v>
      </c>
      <c r="AL169" s="1">
        <v>76.461600000000004</v>
      </c>
      <c r="AM169" s="1" t="s">
        <v>785</v>
      </c>
      <c r="AN169" s="1">
        <v>6.2565141864504898</v>
      </c>
      <c r="AO169" s="1">
        <v>0.94437949984158398</v>
      </c>
      <c r="AP169" s="1"/>
      <c r="AQ169" s="1"/>
      <c r="AR169" s="1"/>
      <c r="AS169" s="1"/>
      <c r="AT169" s="1"/>
    </row>
    <row r="170" spans="1:46">
      <c r="A170" s="1" t="s">
        <v>787</v>
      </c>
      <c r="B170" s="1">
        <v>184</v>
      </c>
      <c r="C170" s="1" t="s">
        <v>787</v>
      </c>
      <c r="D170" s="1" t="s">
        <v>788</v>
      </c>
      <c r="E170" s="1" t="s">
        <v>47</v>
      </c>
      <c r="F170" s="1" t="s">
        <v>789</v>
      </c>
      <c r="G170" s="1" t="s">
        <v>456</v>
      </c>
      <c r="H170" s="2" t="s">
        <v>790</v>
      </c>
      <c r="I170" s="1">
        <v>99</v>
      </c>
      <c r="J170" s="1">
        <v>0.2</v>
      </c>
      <c r="K170" s="1" t="s">
        <v>52</v>
      </c>
      <c r="L170" s="1" t="s">
        <v>52</v>
      </c>
      <c r="M170" s="1">
        <v>4.24</v>
      </c>
      <c r="N170" s="1">
        <v>48</v>
      </c>
      <c r="O170" s="1">
        <v>67.000060000000005</v>
      </c>
      <c r="P170" s="1">
        <v>-168.95495</v>
      </c>
      <c r="Q170" s="1">
        <v>3.738</v>
      </c>
      <c r="R170" s="1">
        <v>32.8065</v>
      </c>
      <c r="S170" s="1">
        <v>311.25599999999997</v>
      </c>
      <c r="T170" s="1">
        <v>408.68</v>
      </c>
      <c r="U170" s="1">
        <v>74.42</v>
      </c>
      <c r="V170" s="1">
        <v>5680</v>
      </c>
      <c r="W170" s="3">
        <v>2.5621999999999998</v>
      </c>
      <c r="X170" s="1" t="s">
        <v>791</v>
      </c>
      <c r="Y170" s="1">
        <v>6.67</v>
      </c>
      <c r="Z170" s="1">
        <v>0.32</v>
      </c>
      <c r="AA170" s="1">
        <v>1.278</v>
      </c>
      <c r="AB170" s="1">
        <v>12.5</v>
      </c>
      <c r="AC170" s="1">
        <v>10.9</v>
      </c>
      <c r="AD170" s="1">
        <v>0.17</v>
      </c>
      <c r="AE170" s="1">
        <v>1.92</v>
      </c>
      <c r="AF170" s="1">
        <v>11.07</v>
      </c>
      <c r="AG170" s="1"/>
      <c r="AH170" s="1" t="s">
        <v>792</v>
      </c>
      <c r="AI170" s="1">
        <v>9</v>
      </c>
      <c r="AJ170" s="1" t="s">
        <v>793</v>
      </c>
      <c r="AK170" s="1">
        <v>2</v>
      </c>
      <c r="AL170" s="1">
        <v>77.790099999999995</v>
      </c>
      <c r="AM170" s="1" t="s">
        <v>791</v>
      </c>
      <c r="AN170" s="1">
        <v>5.4915345337274903</v>
      </c>
      <c r="AO170" s="1">
        <v>0.82891087301547095</v>
      </c>
      <c r="AP170" s="1"/>
      <c r="AQ170" s="1"/>
      <c r="AR170" s="1"/>
      <c r="AS170" s="1"/>
      <c r="AT170" s="1"/>
    </row>
    <row r="171" spans="1:46">
      <c r="A171" s="1" t="s">
        <v>794</v>
      </c>
      <c r="B171" s="1">
        <v>185</v>
      </c>
      <c r="C171" s="1" t="s">
        <v>794</v>
      </c>
      <c r="D171" s="1" t="s">
        <v>795</v>
      </c>
      <c r="E171" s="1" t="s">
        <v>47</v>
      </c>
      <c r="F171" s="1" t="s">
        <v>789</v>
      </c>
      <c r="G171" s="1" t="s">
        <v>456</v>
      </c>
      <c r="H171" s="2" t="s">
        <v>790</v>
      </c>
      <c r="I171" s="1">
        <v>99</v>
      </c>
      <c r="J171" s="1">
        <v>0.2</v>
      </c>
      <c r="K171" s="1" t="s">
        <v>65</v>
      </c>
      <c r="L171" s="1" t="s">
        <v>65</v>
      </c>
      <c r="M171" s="1">
        <v>11.25</v>
      </c>
      <c r="N171" s="1">
        <v>48</v>
      </c>
      <c r="O171" s="1">
        <v>67.00009</v>
      </c>
      <c r="P171" s="1">
        <v>-168.95534000000001</v>
      </c>
      <c r="Q171" s="1">
        <v>3.7330000000000001</v>
      </c>
      <c r="R171" s="1">
        <v>32.805500000000002</v>
      </c>
      <c r="S171" s="1">
        <v>312.12</v>
      </c>
      <c r="T171" s="1"/>
      <c r="U171" s="1"/>
      <c r="V171" s="1"/>
      <c r="W171" s="3">
        <v>3.0263</v>
      </c>
      <c r="X171" s="1" t="s">
        <v>796</v>
      </c>
      <c r="Y171" s="1">
        <v>6.2</v>
      </c>
      <c r="Z171" s="1">
        <v>0.6</v>
      </c>
      <c r="AA171" s="1">
        <v>1.2809999999999999</v>
      </c>
      <c r="AB171" s="1">
        <v>12</v>
      </c>
      <c r="AC171" s="1">
        <v>10.9</v>
      </c>
      <c r="AD171" s="1">
        <v>0.17</v>
      </c>
      <c r="AE171" s="1">
        <v>1.93</v>
      </c>
      <c r="AF171" s="1">
        <v>11.07</v>
      </c>
      <c r="AG171" s="1"/>
      <c r="AH171" s="1" t="s">
        <v>797</v>
      </c>
      <c r="AI171" s="1">
        <v>5</v>
      </c>
      <c r="AJ171" s="1" t="s">
        <v>798</v>
      </c>
      <c r="AK171" s="1">
        <v>2</v>
      </c>
      <c r="AL171" s="1">
        <v>78.114400000000003</v>
      </c>
      <c r="AM171" s="1" t="s">
        <v>796</v>
      </c>
      <c r="AN171" s="1"/>
      <c r="AO171" s="1"/>
      <c r="AP171" s="1"/>
      <c r="AQ171" s="1"/>
      <c r="AR171" s="1"/>
      <c r="AS171" s="1"/>
      <c r="AT171" s="1"/>
    </row>
    <row r="172" spans="1:46">
      <c r="A172" s="1" t="s">
        <v>799</v>
      </c>
      <c r="B172" s="1">
        <v>186</v>
      </c>
      <c r="C172" s="1" t="s">
        <v>799</v>
      </c>
      <c r="D172" s="1" t="s">
        <v>800</v>
      </c>
      <c r="E172" s="1" t="s">
        <v>47</v>
      </c>
      <c r="F172" s="1" t="s">
        <v>789</v>
      </c>
      <c r="G172" s="1" t="s">
        <v>456</v>
      </c>
      <c r="H172" s="2" t="s">
        <v>790</v>
      </c>
      <c r="I172" s="1">
        <v>99</v>
      </c>
      <c r="J172" s="1">
        <v>0.2</v>
      </c>
      <c r="K172" s="1" t="s">
        <v>150</v>
      </c>
      <c r="L172" s="1" t="s">
        <v>78</v>
      </c>
      <c r="M172" s="1">
        <v>43.76</v>
      </c>
      <c r="N172" s="1">
        <v>48</v>
      </c>
      <c r="O172" s="1">
        <v>67.00018</v>
      </c>
      <c r="P172" s="1">
        <v>-168.95677000000001</v>
      </c>
      <c r="Q172" s="1">
        <v>3.6320000000000001</v>
      </c>
      <c r="R172" s="1">
        <v>32.827500000000001</v>
      </c>
      <c r="S172" s="1">
        <v>294.59199999999998</v>
      </c>
      <c r="T172" s="1">
        <v>376.64</v>
      </c>
      <c r="U172" s="1">
        <v>64.06</v>
      </c>
      <c r="V172" s="1">
        <v>13360</v>
      </c>
      <c r="W172" s="3">
        <v>1.6154999999999999</v>
      </c>
      <c r="X172" s="1" t="s">
        <v>801</v>
      </c>
      <c r="Y172" s="1">
        <v>2.6</v>
      </c>
      <c r="Z172" s="1">
        <v>4.3099999999999996</v>
      </c>
      <c r="AA172" s="1">
        <v>1.526</v>
      </c>
      <c r="AB172" s="1">
        <v>19.8</v>
      </c>
      <c r="AC172" s="1">
        <v>13.4</v>
      </c>
      <c r="AD172" s="1">
        <v>0.19</v>
      </c>
      <c r="AE172" s="1">
        <v>3.1</v>
      </c>
      <c r="AF172" s="1">
        <v>13.59</v>
      </c>
      <c r="AG172" s="1"/>
      <c r="AH172" s="1" t="s">
        <v>802</v>
      </c>
      <c r="AI172" s="1">
        <v>1</v>
      </c>
      <c r="AJ172" s="1" t="s">
        <v>801</v>
      </c>
      <c r="AK172" s="1">
        <v>2</v>
      </c>
      <c r="AL172" s="1">
        <v>57.767200000000003</v>
      </c>
      <c r="AM172" s="1" t="s">
        <v>801</v>
      </c>
      <c r="AN172" s="1">
        <v>5.8794879800187303</v>
      </c>
      <c r="AO172" s="1">
        <v>0.88746988377641201</v>
      </c>
      <c r="AP172" s="1"/>
      <c r="AQ172" s="1"/>
      <c r="AR172" s="1"/>
      <c r="AS172" s="1"/>
      <c r="AT172" s="1"/>
    </row>
    <row r="173" spans="1:46">
      <c r="A173" s="1" t="s">
        <v>803</v>
      </c>
      <c r="B173" s="1">
        <v>76</v>
      </c>
      <c r="C173" s="1" t="s">
        <v>803</v>
      </c>
      <c r="D173" s="1" t="s">
        <v>804</v>
      </c>
      <c r="E173" s="1" t="s">
        <v>47</v>
      </c>
      <c r="F173" s="1" t="s">
        <v>805</v>
      </c>
      <c r="G173" s="1" t="s">
        <v>456</v>
      </c>
      <c r="H173" s="2" t="s">
        <v>806</v>
      </c>
      <c r="I173" s="1">
        <v>39</v>
      </c>
      <c r="J173" s="1">
        <v>0.2</v>
      </c>
      <c r="K173" s="1" t="s">
        <v>52</v>
      </c>
      <c r="L173" s="1" t="s">
        <v>52</v>
      </c>
      <c r="M173" s="1">
        <v>3.12</v>
      </c>
      <c r="N173" s="1">
        <v>49.5</v>
      </c>
      <c r="O173" s="1">
        <v>67.500119999999995</v>
      </c>
      <c r="P173" s="1">
        <v>-168.94924</v>
      </c>
      <c r="Q173" s="1">
        <v>4.7904999999999998</v>
      </c>
      <c r="R173" s="1">
        <v>32.816499999999998</v>
      </c>
      <c r="S173" s="1">
        <v>311.08699999999999</v>
      </c>
      <c r="T173" s="1">
        <v>171.48</v>
      </c>
      <c r="U173" s="1">
        <v>29.54</v>
      </c>
      <c r="V173" s="1">
        <v>3420.00000000001</v>
      </c>
      <c r="W173" s="3">
        <v>0.3327</v>
      </c>
      <c r="X173" s="1" t="s">
        <v>807</v>
      </c>
      <c r="Y173" s="1">
        <v>0.47</v>
      </c>
      <c r="Z173" s="1">
        <v>0.15</v>
      </c>
      <c r="AA173" s="1">
        <v>1.379</v>
      </c>
      <c r="AB173" s="1">
        <v>17.8</v>
      </c>
      <c r="AC173" s="1">
        <v>11.1</v>
      </c>
      <c r="AD173" s="1">
        <v>0.17</v>
      </c>
      <c r="AE173" s="1">
        <v>3.43</v>
      </c>
      <c r="AF173" s="1">
        <v>11.27</v>
      </c>
      <c r="AG173" s="1"/>
      <c r="AH173" s="1" t="s">
        <v>808</v>
      </c>
      <c r="AI173" s="1">
        <v>12</v>
      </c>
      <c r="AJ173" s="1" t="s">
        <v>809</v>
      </c>
      <c r="AK173" s="1">
        <v>1</v>
      </c>
      <c r="AL173" s="1">
        <v>79.101500000000001</v>
      </c>
      <c r="AM173" s="1" t="s">
        <v>807</v>
      </c>
      <c r="AN173" s="1">
        <v>5.8050101557210603</v>
      </c>
      <c r="AO173" s="1">
        <v>0.87622794803336701</v>
      </c>
      <c r="AP173" s="1"/>
      <c r="AQ173" s="1"/>
      <c r="AR173" s="1"/>
      <c r="AS173" s="1"/>
      <c r="AT173" s="1"/>
    </row>
    <row r="174" spans="1:46">
      <c r="A174" s="1" t="s">
        <v>810</v>
      </c>
      <c r="B174" s="1">
        <v>75</v>
      </c>
      <c r="C174" s="1" t="s">
        <v>810</v>
      </c>
      <c r="D174" s="1" t="s">
        <v>811</v>
      </c>
      <c r="E174" s="1" t="s">
        <v>47</v>
      </c>
      <c r="F174" s="1" t="s">
        <v>805</v>
      </c>
      <c r="G174" s="1" t="s">
        <v>456</v>
      </c>
      <c r="H174" s="2" t="s">
        <v>806</v>
      </c>
      <c r="I174" s="1">
        <v>39</v>
      </c>
      <c r="J174" s="1">
        <v>0.2</v>
      </c>
      <c r="K174" s="1" t="s">
        <v>210</v>
      </c>
      <c r="L174" s="1" t="s">
        <v>65</v>
      </c>
      <c r="M174" s="1">
        <v>10.17</v>
      </c>
      <c r="N174" s="1">
        <v>49.5</v>
      </c>
      <c r="O174" s="1">
        <v>67.500119999999995</v>
      </c>
      <c r="P174" s="1">
        <v>-168.94924</v>
      </c>
      <c r="Q174" s="1">
        <v>2.8184999999999998</v>
      </c>
      <c r="R174" s="1">
        <v>32.783499999999997</v>
      </c>
      <c r="S174" s="1">
        <v>307.47800000000001</v>
      </c>
      <c r="T174" s="1"/>
      <c r="U174" s="1"/>
      <c r="V174" s="1"/>
      <c r="W174" s="3">
        <v>0.74229999999999996</v>
      </c>
      <c r="X174" s="1" t="s">
        <v>812</v>
      </c>
      <c r="Y174" s="1">
        <v>0.78</v>
      </c>
      <c r="Z174" s="1">
        <v>1.01</v>
      </c>
      <c r="AA174" s="1">
        <v>1.419</v>
      </c>
      <c r="AB174" s="1">
        <v>17.8</v>
      </c>
      <c r="AC174" s="1">
        <v>11.1</v>
      </c>
      <c r="AD174" s="1">
        <v>0.17</v>
      </c>
      <c r="AE174" s="1">
        <v>3.83</v>
      </c>
      <c r="AF174" s="1">
        <v>11.27</v>
      </c>
      <c r="AG174" s="1"/>
      <c r="AH174" s="1" t="s">
        <v>813</v>
      </c>
      <c r="AI174" s="1">
        <v>10</v>
      </c>
      <c r="AJ174" s="1" t="s">
        <v>814</v>
      </c>
      <c r="AK174" s="1">
        <v>1</v>
      </c>
      <c r="AL174" s="1">
        <v>65.183899999999994</v>
      </c>
      <c r="AM174" s="1" t="s">
        <v>812</v>
      </c>
      <c r="AN174" s="1"/>
      <c r="AO174" s="1"/>
      <c r="AP174" s="1"/>
      <c r="AQ174" s="1"/>
      <c r="AR174" s="1"/>
      <c r="AS174" s="1" t="s">
        <v>815</v>
      </c>
      <c r="AT174" s="1"/>
    </row>
    <row r="175" spans="1:46">
      <c r="A175" s="1" t="s">
        <v>816</v>
      </c>
      <c r="B175" s="1">
        <v>74</v>
      </c>
      <c r="C175" s="1" t="s">
        <v>816</v>
      </c>
      <c r="D175" s="1" t="s">
        <v>817</v>
      </c>
      <c r="E175" s="1" t="s">
        <v>47</v>
      </c>
      <c r="F175" s="1" t="s">
        <v>805</v>
      </c>
      <c r="G175" s="1" t="s">
        <v>456</v>
      </c>
      <c r="H175" s="2" t="s">
        <v>806</v>
      </c>
      <c r="I175" s="1">
        <v>39</v>
      </c>
      <c r="J175" s="1">
        <v>0.2</v>
      </c>
      <c r="K175" s="1" t="s">
        <v>150</v>
      </c>
      <c r="L175" s="1" t="s">
        <v>78</v>
      </c>
      <c r="M175" s="1">
        <v>46.86</v>
      </c>
      <c r="N175" s="1">
        <v>49.5</v>
      </c>
      <c r="O175" s="1">
        <v>67.500119999999995</v>
      </c>
      <c r="P175" s="1">
        <v>-168.94924</v>
      </c>
      <c r="Q175" s="1">
        <v>2.677</v>
      </c>
      <c r="R175" s="1">
        <v>32.783499999999997</v>
      </c>
      <c r="S175" s="1">
        <v>301.91300000000001</v>
      </c>
      <c r="T175" s="1">
        <v>255.4</v>
      </c>
      <c r="U175" s="1">
        <v>41.72</v>
      </c>
      <c r="V175" s="1">
        <v>7640</v>
      </c>
      <c r="W175" s="3">
        <v>0.67649999999999999</v>
      </c>
      <c r="X175" s="1" t="s">
        <v>818</v>
      </c>
      <c r="Y175" s="1">
        <v>2.04</v>
      </c>
      <c r="Z175" s="1">
        <v>2.14</v>
      </c>
      <c r="AA175" s="1">
        <v>1.486</v>
      </c>
      <c r="AB175" s="1">
        <v>22.5</v>
      </c>
      <c r="AC175" s="1">
        <v>11.8</v>
      </c>
      <c r="AD175" s="1">
        <v>0.18</v>
      </c>
      <c r="AE175" s="1">
        <v>4.4000000000000004</v>
      </c>
      <c r="AF175" s="1">
        <v>11.98</v>
      </c>
      <c r="AG175" s="1"/>
      <c r="AH175" s="1" t="s">
        <v>819</v>
      </c>
      <c r="AI175" s="1">
        <v>2</v>
      </c>
      <c r="AJ175" s="1" t="s">
        <v>820</v>
      </c>
      <c r="AK175" s="1">
        <v>1</v>
      </c>
      <c r="AL175" s="1">
        <v>49.457799999999999</v>
      </c>
      <c r="AM175" s="1" t="s">
        <v>818</v>
      </c>
      <c r="AN175" s="1">
        <v>6.1217641418983701</v>
      </c>
      <c r="AO175" s="1">
        <v>0.92403987047522596</v>
      </c>
      <c r="AP175" s="1"/>
      <c r="AQ175" s="1"/>
      <c r="AR175" s="1"/>
      <c r="AS175" s="1" t="s">
        <v>716</v>
      </c>
      <c r="AT175" s="1"/>
    </row>
    <row r="176" spans="1:46">
      <c r="A176" s="1" t="s">
        <v>821</v>
      </c>
      <c r="B176" s="1">
        <v>130</v>
      </c>
      <c r="C176" s="1" t="s">
        <v>821</v>
      </c>
      <c r="D176" s="1" t="s">
        <v>822</v>
      </c>
      <c r="E176" s="1" t="s">
        <v>47</v>
      </c>
      <c r="F176" s="1" t="s">
        <v>823</v>
      </c>
      <c r="G176" s="1" t="s">
        <v>456</v>
      </c>
      <c r="H176" s="2" t="s">
        <v>824</v>
      </c>
      <c r="I176" s="1">
        <v>79</v>
      </c>
      <c r="J176" s="1">
        <v>0.2</v>
      </c>
      <c r="K176" s="1" t="s">
        <v>52</v>
      </c>
      <c r="L176" s="1" t="s">
        <v>52</v>
      </c>
      <c r="M176" s="1">
        <v>3.28</v>
      </c>
      <c r="N176" s="1">
        <v>57</v>
      </c>
      <c r="O176" s="1">
        <v>68.000680000000003</v>
      </c>
      <c r="P176" s="1">
        <v>-168.95084</v>
      </c>
      <c r="Q176" s="1">
        <v>3.222</v>
      </c>
      <c r="R176" s="1">
        <v>32.610500000000002</v>
      </c>
      <c r="S176" s="1">
        <v>353.20299999999997</v>
      </c>
      <c r="T176" s="1">
        <v>304.83999999999997</v>
      </c>
      <c r="U176" s="1">
        <v>63.22</v>
      </c>
      <c r="V176" s="1">
        <v>2640</v>
      </c>
      <c r="W176" s="3">
        <v>0.29320000000000002</v>
      </c>
      <c r="X176" s="1" t="s">
        <v>825</v>
      </c>
      <c r="Y176" s="1">
        <v>0.63</v>
      </c>
      <c r="Z176" s="1">
        <v>0.11</v>
      </c>
      <c r="AA176" s="1">
        <v>0.60799999999999998</v>
      </c>
      <c r="AB176" s="1">
        <v>1.2</v>
      </c>
      <c r="AC176" s="1">
        <v>0.3</v>
      </c>
      <c r="AD176" s="1">
        <v>0.01</v>
      </c>
      <c r="AE176" s="1">
        <v>0.17</v>
      </c>
      <c r="AF176" s="1">
        <v>0.31</v>
      </c>
      <c r="AG176" s="1"/>
      <c r="AH176" s="1" t="s">
        <v>826</v>
      </c>
      <c r="AI176" s="1">
        <v>6</v>
      </c>
      <c r="AJ176" s="1" t="s">
        <v>825</v>
      </c>
      <c r="AK176" s="1">
        <v>2</v>
      </c>
      <c r="AL176" s="1">
        <v>84.692099999999996</v>
      </c>
      <c r="AM176" s="1" t="s">
        <v>825</v>
      </c>
      <c r="AN176" s="1">
        <v>4.8218918063903802</v>
      </c>
      <c r="AO176" s="1">
        <v>0.72783272549288802</v>
      </c>
      <c r="AP176" s="1"/>
      <c r="AQ176" s="1"/>
      <c r="AR176" s="1"/>
      <c r="AS176" s="1"/>
      <c r="AT176" s="1"/>
    </row>
    <row r="177" spans="1:46">
      <c r="A177" s="1" t="s">
        <v>827</v>
      </c>
      <c r="B177" s="1">
        <v>131</v>
      </c>
      <c r="C177" s="1" t="s">
        <v>827</v>
      </c>
      <c r="D177" s="1" t="s">
        <v>828</v>
      </c>
      <c r="E177" s="1" t="s">
        <v>47</v>
      </c>
      <c r="F177" s="1" t="s">
        <v>823</v>
      </c>
      <c r="G177" s="1" t="s">
        <v>456</v>
      </c>
      <c r="H177" s="2" t="s">
        <v>824</v>
      </c>
      <c r="I177" s="1">
        <v>79</v>
      </c>
      <c r="J177" s="1">
        <v>0.2</v>
      </c>
      <c r="K177" s="1" t="s">
        <v>512</v>
      </c>
      <c r="L177" s="1" t="s">
        <v>65</v>
      </c>
      <c r="M177" s="1">
        <v>19.95</v>
      </c>
      <c r="N177" s="1">
        <v>57</v>
      </c>
      <c r="O177" s="1">
        <v>68.000680000000003</v>
      </c>
      <c r="P177" s="1">
        <v>-168.95084</v>
      </c>
      <c r="Q177" s="1">
        <v>1.9735</v>
      </c>
      <c r="R177" s="1">
        <v>32.768500000000003</v>
      </c>
      <c r="S177" s="1">
        <v>365.88099999999997</v>
      </c>
      <c r="T177" s="1">
        <v>282.86</v>
      </c>
      <c r="U177" s="1">
        <v>73.819999999999993</v>
      </c>
      <c r="V177" s="1">
        <v>4440</v>
      </c>
      <c r="W177" s="3">
        <v>1.7177</v>
      </c>
      <c r="X177" s="1" t="s">
        <v>829</v>
      </c>
      <c r="Y177" s="1">
        <v>4.43</v>
      </c>
      <c r="Z177" s="1">
        <v>0.28000000000000003</v>
      </c>
      <c r="AA177" s="1">
        <v>1.0680000000000001</v>
      </c>
      <c r="AB177" s="1">
        <v>6.3</v>
      </c>
      <c r="AC177" s="1">
        <v>4.5</v>
      </c>
      <c r="AD177" s="1">
        <v>0.09</v>
      </c>
      <c r="AE177" s="1">
        <v>2.23</v>
      </c>
      <c r="AF177" s="1">
        <v>4.59</v>
      </c>
      <c r="AG177" s="1"/>
      <c r="AH177" s="1" t="s">
        <v>830</v>
      </c>
      <c r="AI177" s="1">
        <v>4</v>
      </c>
      <c r="AJ177" s="1" t="s">
        <v>829</v>
      </c>
      <c r="AK177" s="1">
        <v>2</v>
      </c>
      <c r="AL177" s="1">
        <v>86.279200000000003</v>
      </c>
      <c r="AM177" s="1" t="s">
        <v>829</v>
      </c>
      <c r="AN177" s="1">
        <v>3.83175291248984</v>
      </c>
      <c r="AO177" s="1">
        <v>0.578377798111674</v>
      </c>
      <c r="AP177" s="1"/>
      <c r="AQ177" s="1"/>
      <c r="AR177" s="1"/>
      <c r="AS177" s="1"/>
      <c r="AT177" s="1"/>
    </row>
    <row r="178" spans="1:46">
      <c r="A178" s="1" t="s">
        <v>831</v>
      </c>
      <c r="B178" s="1">
        <v>132</v>
      </c>
      <c r="C178" s="1" t="s">
        <v>831</v>
      </c>
      <c r="D178" s="1" t="s">
        <v>832</v>
      </c>
      <c r="E178" s="1" t="s">
        <v>47</v>
      </c>
      <c r="F178" s="1" t="s">
        <v>823</v>
      </c>
      <c r="G178" s="1" t="s">
        <v>456</v>
      </c>
      <c r="H178" s="2" t="s">
        <v>824</v>
      </c>
      <c r="I178" s="1">
        <v>79</v>
      </c>
      <c r="J178" s="1">
        <v>0.2</v>
      </c>
      <c r="K178" s="1" t="s">
        <v>833</v>
      </c>
      <c r="L178" s="1" t="s">
        <v>65</v>
      </c>
      <c r="M178" s="1">
        <v>29.85</v>
      </c>
      <c r="N178" s="1">
        <v>57</v>
      </c>
      <c r="O178" s="1">
        <v>68.000680000000003</v>
      </c>
      <c r="P178" s="1">
        <v>-168.95081999999999</v>
      </c>
      <c r="Q178" s="1">
        <v>1.7295</v>
      </c>
      <c r="R178" s="1">
        <v>32.807000000000002</v>
      </c>
      <c r="S178" s="1">
        <v>323.49299999999999</v>
      </c>
      <c r="T178" s="1"/>
      <c r="U178" s="1"/>
      <c r="V178" s="1"/>
      <c r="W178" s="3">
        <v>3.2936000000000001</v>
      </c>
      <c r="X178" s="1" t="s">
        <v>834</v>
      </c>
      <c r="Y178" s="1">
        <v>3.09</v>
      </c>
      <c r="Z178" s="1">
        <v>2.08</v>
      </c>
      <c r="AA178" s="1">
        <v>1.2889999999999999</v>
      </c>
      <c r="AB178" s="1">
        <v>10.5</v>
      </c>
      <c r="AC178" s="1">
        <v>7</v>
      </c>
      <c r="AD178" s="1">
        <v>0.13</v>
      </c>
      <c r="AE178" s="1">
        <v>3.42</v>
      </c>
      <c r="AF178" s="1">
        <v>7.13</v>
      </c>
      <c r="AG178" s="1"/>
      <c r="AH178" s="1" t="s">
        <v>835</v>
      </c>
      <c r="AI178" s="1">
        <v>3</v>
      </c>
      <c r="AJ178" s="1" t="s">
        <v>834</v>
      </c>
      <c r="AK178" s="1">
        <v>2</v>
      </c>
      <c r="AL178" s="1">
        <v>78.989000000000004</v>
      </c>
      <c r="AM178" s="1" t="s">
        <v>834</v>
      </c>
      <c r="AN178" s="1"/>
      <c r="AO178" s="1"/>
      <c r="AP178" s="1"/>
      <c r="AQ178" s="1"/>
      <c r="AR178" s="1"/>
      <c r="AS178" s="1"/>
      <c r="AT178" s="1"/>
    </row>
    <row r="179" spans="1:46">
      <c r="A179" s="1" t="s">
        <v>836</v>
      </c>
      <c r="B179" s="1">
        <v>133</v>
      </c>
      <c r="C179" s="1" t="s">
        <v>836</v>
      </c>
      <c r="D179" s="1" t="s">
        <v>837</v>
      </c>
      <c r="E179" s="1" t="s">
        <v>47</v>
      </c>
      <c r="F179" s="1" t="s">
        <v>823</v>
      </c>
      <c r="G179" s="1" t="s">
        <v>456</v>
      </c>
      <c r="H179" s="2" t="s">
        <v>824</v>
      </c>
      <c r="I179" s="1">
        <v>79</v>
      </c>
      <c r="J179" s="1">
        <v>0.2</v>
      </c>
      <c r="K179" s="1" t="s">
        <v>150</v>
      </c>
      <c r="L179" s="1" t="s">
        <v>78</v>
      </c>
      <c r="M179" s="1">
        <v>53.97</v>
      </c>
      <c r="N179" s="1">
        <v>57</v>
      </c>
      <c r="O179" s="1">
        <v>68.000680000000003</v>
      </c>
      <c r="P179" s="1">
        <v>-168.95081999999999</v>
      </c>
      <c r="Q179" s="1">
        <v>1.9735</v>
      </c>
      <c r="R179" s="1">
        <v>32.836500000000001</v>
      </c>
      <c r="S179" s="1">
        <v>293.005</v>
      </c>
      <c r="T179" s="1">
        <v>368.74</v>
      </c>
      <c r="U179" s="1">
        <v>56.2</v>
      </c>
      <c r="V179" s="1">
        <v>11260</v>
      </c>
      <c r="W179" s="3">
        <v>1.3733</v>
      </c>
      <c r="X179" s="1" t="s">
        <v>838</v>
      </c>
      <c r="Y179" s="1">
        <v>2.13</v>
      </c>
      <c r="Z179" s="1">
        <v>4.76</v>
      </c>
      <c r="AA179" s="1">
        <v>1.4059999999999999</v>
      </c>
      <c r="AB179" s="1">
        <v>12.4</v>
      </c>
      <c r="AC179" s="1">
        <v>6.9</v>
      </c>
      <c r="AD179" s="1">
        <v>0.12</v>
      </c>
      <c r="AE179" s="1">
        <v>3.98</v>
      </c>
      <c r="AF179" s="1">
        <v>7.02</v>
      </c>
      <c r="AG179" s="1"/>
      <c r="AH179" s="1" t="s">
        <v>839</v>
      </c>
      <c r="AI179" s="1">
        <v>1</v>
      </c>
      <c r="AJ179" s="1" t="s">
        <v>838</v>
      </c>
      <c r="AK179" s="1">
        <v>2</v>
      </c>
      <c r="AL179" s="1">
        <v>29.411999999999999</v>
      </c>
      <c r="AM179" s="1" t="s">
        <v>838</v>
      </c>
      <c r="AN179" s="1">
        <v>6.5612099644128099</v>
      </c>
      <c r="AO179" s="1">
        <v>0.990371315383066</v>
      </c>
      <c r="AP179" s="1"/>
      <c r="AQ179" s="1"/>
      <c r="AR179" s="1"/>
      <c r="AS179" s="1"/>
      <c r="AT179" s="1"/>
    </row>
    <row r="180" spans="1:46">
      <c r="A180" s="1" t="s">
        <v>840</v>
      </c>
      <c r="B180" s="1">
        <v>202</v>
      </c>
      <c r="C180" s="1" t="s">
        <v>840</v>
      </c>
      <c r="D180" s="1" t="s">
        <v>841</v>
      </c>
      <c r="E180" s="1" t="s">
        <v>47</v>
      </c>
      <c r="F180" s="1" t="s">
        <v>842</v>
      </c>
      <c r="G180" s="1" t="s">
        <v>456</v>
      </c>
      <c r="H180" s="2" t="s">
        <v>843</v>
      </c>
      <c r="I180" s="1">
        <v>109</v>
      </c>
      <c r="J180" s="1">
        <v>0.2</v>
      </c>
      <c r="K180" s="1" t="s">
        <v>52</v>
      </c>
      <c r="L180" s="1" t="s">
        <v>52</v>
      </c>
      <c r="M180" s="1">
        <v>3.79</v>
      </c>
      <c r="N180" s="1">
        <v>15</v>
      </c>
      <c r="O180" s="1">
        <v>66.499840000000006</v>
      </c>
      <c r="P180" s="1">
        <v>-165.59976</v>
      </c>
      <c r="Q180" s="1">
        <v>5.33</v>
      </c>
      <c r="R180" s="1">
        <v>30.715</v>
      </c>
      <c r="S180" s="1">
        <v>309.62700000000001</v>
      </c>
      <c r="T180" s="1">
        <v>275.42</v>
      </c>
      <c r="U180" s="1">
        <v>46.16</v>
      </c>
      <c r="V180" s="1">
        <v>4600.00000000001</v>
      </c>
      <c r="W180" s="3">
        <v>0.94810000000000005</v>
      </c>
      <c r="X180" s="1" t="s">
        <v>844</v>
      </c>
      <c r="Y180" s="1"/>
      <c r="Z180" s="1"/>
      <c r="AA180" s="1">
        <v>0.68799999999999994</v>
      </c>
      <c r="AB180" s="1">
        <v>5.2</v>
      </c>
      <c r="AC180" s="1">
        <v>0</v>
      </c>
      <c r="AD180" s="1">
        <v>0.01</v>
      </c>
      <c r="AE180" s="1">
        <v>0.2</v>
      </c>
      <c r="AF180" s="1">
        <v>0.01</v>
      </c>
      <c r="AG180" s="1"/>
      <c r="AH180" s="1" t="s">
        <v>845</v>
      </c>
      <c r="AI180" s="1">
        <v>2</v>
      </c>
      <c r="AJ180" s="1" t="s">
        <v>844</v>
      </c>
      <c r="AK180" s="1">
        <v>2</v>
      </c>
      <c r="AL180" s="1">
        <v>74.205200000000005</v>
      </c>
      <c r="AM180" s="1" t="s">
        <v>844</v>
      </c>
      <c r="AN180" s="1">
        <v>5.9666377816291201</v>
      </c>
      <c r="AO180" s="1">
        <v>0.90062457081194203</v>
      </c>
      <c r="AP180" s="1"/>
      <c r="AQ180" s="1"/>
      <c r="AR180" s="1"/>
      <c r="AS180" s="1"/>
      <c r="AT180" s="1"/>
    </row>
    <row r="181" spans="1:46">
      <c r="A181" s="1" t="s">
        <v>846</v>
      </c>
      <c r="B181" s="1">
        <v>203</v>
      </c>
      <c r="C181" s="1" t="s">
        <v>846</v>
      </c>
      <c r="D181" s="1" t="s">
        <v>847</v>
      </c>
      <c r="E181" s="1" t="s">
        <v>47</v>
      </c>
      <c r="F181" s="1" t="s">
        <v>842</v>
      </c>
      <c r="G181" s="1" t="s">
        <v>456</v>
      </c>
      <c r="H181" s="2" t="s">
        <v>843</v>
      </c>
      <c r="I181" s="1">
        <v>109</v>
      </c>
      <c r="J181" s="1">
        <v>0.2</v>
      </c>
      <c r="K181" s="1" t="s">
        <v>150</v>
      </c>
      <c r="L181" s="1" t="s">
        <v>78</v>
      </c>
      <c r="M181" s="1">
        <v>12</v>
      </c>
      <c r="N181" s="1">
        <v>15</v>
      </c>
      <c r="O181" s="1">
        <v>66.499840000000006</v>
      </c>
      <c r="P181" s="1">
        <v>-165.59974</v>
      </c>
      <c r="Q181" s="1">
        <v>5.3395000000000001</v>
      </c>
      <c r="R181" s="1">
        <v>30.7075</v>
      </c>
      <c r="S181" s="1">
        <v>309.21600000000001</v>
      </c>
      <c r="T181" s="1">
        <v>241.88</v>
      </c>
      <c r="U181" s="1">
        <v>39.96</v>
      </c>
      <c r="V181" s="1">
        <v>3760</v>
      </c>
      <c r="W181" s="3">
        <v>1.0988</v>
      </c>
      <c r="X181" s="1" t="s">
        <v>848</v>
      </c>
      <c r="Y181" s="1"/>
      <c r="Z181" s="1"/>
      <c r="AA181" s="1">
        <v>0.68899999999999995</v>
      </c>
      <c r="AB181" s="1">
        <v>4.8</v>
      </c>
      <c r="AC181" s="1">
        <v>0</v>
      </c>
      <c r="AD181" s="1">
        <v>0</v>
      </c>
      <c r="AE181" s="1">
        <v>0.2</v>
      </c>
      <c r="AF181" s="1">
        <v>0</v>
      </c>
      <c r="AG181" s="1"/>
      <c r="AH181" s="1" t="s">
        <v>849</v>
      </c>
      <c r="AI181" s="1">
        <v>1</v>
      </c>
      <c r="AJ181" s="1" t="s">
        <v>848</v>
      </c>
      <c r="AK181" s="1">
        <v>2</v>
      </c>
      <c r="AL181" s="1">
        <v>75.053700000000006</v>
      </c>
      <c r="AM181" s="1" t="s">
        <v>848</v>
      </c>
      <c r="AN181" s="1">
        <v>6.0530530530530502</v>
      </c>
      <c r="AO181" s="1">
        <v>0.91366838536649797</v>
      </c>
      <c r="AP181" s="1"/>
      <c r="AQ181" s="1"/>
      <c r="AR181" s="1"/>
      <c r="AS181" s="1"/>
      <c r="AT181" s="1"/>
    </row>
    <row r="182" spans="1:46">
      <c r="A182" s="1" t="s">
        <v>850</v>
      </c>
      <c r="B182" s="1">
        <v>200</v>
      </c>
      <c r="C182" s="1" t="s">
        <v>850</v>
      </c>
      <c r="D182" s="1" t="s">
        <v>851</v>
      </c>
      <c r="E182" s="1" t="s">
        <v>47</v>
      </c>
      <c r="F182" s="1" t="s">
        <v>852</v>
      </c>
      <c r="G182" s="1" t="s">
        <v>456</v>
      </c>
      <c r="H182" s="2" t="s">
        <v>853</v>
      </c>
      <c r="I182" s="1">
        <v>108</v>
      </c>
      <c r="J182" s="1">
        <v>0.2</v>
      </c>
      <c r="K182" s="1" t="s">
        <v>52</v>
      </c>
      <c r="L182" s="1" t="s">
        <v>52</v>
      </c>
      <c r="M182" s="1">
        <v>3.73</v>
      </c>
      <c r="N182" s="1">
        <v>18</v>
      </c>
      <c r="O182" s="1">
        <v>66.500519999999995</v>
      </c>
      <c r="P182" s="1">
        <v>-166.01818</v>
      </c>
      <c r="Q182" s="1">
        <v>5.4089999999999998</v>
      </c>
      <c r="R182" s="1">
        <v>30.532</v>
      </c>
      <c r="S182" s="1">
        <v>309.27800000000002</v>
      </c>
      <c r="T182" s="1">
        <v>193.2</v>
      </c>
      <c r="U182" s="1">
        <v>30.38</v>
      </c>
      <c r="V182" s="1">
        <v>2800</v>
      </c>
      <c r="W182" s="3">
        <v>0.8901</v>
      </c>
      <c r="X182" s="1" t="s">
        <v>854</v>
      </c>
      <c r="Y182" s="1">
        <v>0.77</v>
      </c>
      <c r="Z182" s="1">
        <v>0.44</v>
      </c>
      <c r="AA182" s="1">
        <v>0.68899999999999995</v>
      </c>
      <c r="AB182" s="1">
        <v>4.4000000000000004</v>
      </c>
      <c r="AC182" s="1">
        <v>0.2</v>
      </c>
      <c r="AD182" s="1">
        <v>0</v>
      </c>
      <c r="AE182" s="1">
        <v>0.26</v>
      </c>
      <c r="AF182" s="1">
        <v>0.2</v>
      </c>
      <c r="AG182" s="1"/>
      <c r="AH182" s="1" t="s">
        <v>855</v>
      </c>
      <c r="AI182" s="1">
        <v>2</v>
      </c>
      <c r="AJ182" s="1" t="s">
        <v>854</v>
      </c>
      <c r="AK182" s="1">
        <v>2</v>
      </c>
      <c r="AL182" s="1">
        <v>82.966300000000004</v>
      </c>
      <c r="AM182" s="1" t="s">
        <v>854</v>
      </c>
      <c r="AN182" s="1">
        <v>6.35944700460829</v>
      </c>
      <c r="AO182" s="1">
        <v>0.95991652899747903</v>
      </c>
      <c r="AP182" s="1"/>
      <c r="AQ182" s="1"/>
      <c r="AR182" s="1"/>
      <c r="AS182" s="1"/>
      <c r="AT182" s="1"/>
    </row>
    <row r="183" spans="1:46">
      <c r="A183" s="1" t="s">
        <v>856</v>
      </c>
      <c r="B183" s="1">
        <v>201</v>
      </c>
      <c r="C183" s="1" t="s">
        <v>856</v>
      </c>
      <c r="D183" s="1" t="s">
        <v>857</v>
      </c>
      <c r="E183" s="1" t="s">
        <v>47</v>
      </c>
      <c r="F183" s="1" t="s">
        <v>852</v>
      </c>
      <c r="G183" s="1" t="s">
        <v>456</v>
      </c>
      <c r="H183" s="2" t="s">
        <v>853</v>
      </c>
      <c r="I183" s="1">
        <v>108</v>
      </c>
      <c r="J183" s="1">
        <v>0.2</v>
      </c>
      <c r="K183" s="1" t="s">
        <v>150</v>
      </c>
      <c r="L183" s="1" t="s">
        <v>78</v>
      </c>
      <c r="M183" s="1">
        <v>12.84</v>
      </c>
      <c r="N183" s="1">
        <v>18</v>
      </c>
      <c r="O183" s="1">
        <v>66.500540000000001</v>
      </c>
      <c r="P183" s="1">
        <v>-166.01818</v>
      </c>
      <c r="Q183" s="1">
        <v>5.3819999999999997</v>
      </c>
      <c r="R183" s="1">
        <v>30.555</v>
      </c>
      <c r="S183" s="1">
        <v>309.46300000000002</v>
      </c>
      <c r="T183" s="1">
        <v>551.28</v>
      </c>
      <c r="U183" s="1">
        <v>82.02</v>
      </c>
      <c r="V183" s="1">
        <v>2920.00000000001</v>
      </c>
      <c r="W183" s="3">
        <v>0.89549999999999996</v>
      </c>
      <c r="X183" s="1" t="s">
        <v>858</v>
      </c>
      <c r="Y183" s="1">
        <v>1.03</v>
      </c>
      <c r="Z183" s="1">
        <v>0.61</v>
      </c>
      <c r="AA183" s="1">
        <v>0.70599999999999996</v>
      </c>
      <c r="AB183" s="1">
        <v>4.4000000000000004</v>
      </c>
      <c r="AC183" s="1">
        <v>0</v>
      </c>
      <c r="AD183" s="1">
        <v>0</v>
      </c>
      <c r="AE183" s="1">
        <v>0.24</v>
      </c>
      <c r="AF183" s="1">
        <v>0</v>
      </c>
      <c r="AG183" s="1"/>
      <c r="AH183" s="1" t="s">
        <v>859</v>
      </c>
      <c r="AI183" s="1">
        <v>1</v>
      </c>
      <c r="AJ183" s="1" t="s">
        <v>858</v>
      </c>
      <c r="AK183" s="1">
        <v>2</v>
      </c>
      <c r="AL183" s="1">
        <v>83.099100000000007</v>
      </c>
      <c r="AM183" s="1" t="s">
        <v>858</v>
      </c>
      <c r="AN183" s="1">
        <v>6.7212874908558904</v>
      </c>
      <c r="AO183" s="1">
        <v>1.0145339608839099</v>
      </c>
      <c r="AP183" s="1"/>
      <c r="AQ183" s="1"/>
      <c r="AR183" s="1"/>
      <c r="AS183" s="1"/>
      <c r="AT183" s="1"/>
    </row>
    <row r="184" spans="1:46">
      <c r="A184" s="1" t="s">
        <v>860</v>
      </c>
      <c r="B184" s="1">
        <v>198</v>
      </c>
      <c r="C184" s="1" t="s">
        <v>860</v>
      </c>
      <c r="D184" s="1" t="s">
        <v>861</v>
      </c>
      <c r="E184" s="1" t="s">
        <v>47</v>
      </c>
      <c r="F184" s="1" t="s">
        <v>862</v>
      </c>
      <c r="G184" s="1" t="s">
        <v>456</v>
      </c>
      <c r="H184" s="2" t="s">
        <v>863</v>
      </c>
      <c r="I184" s="1">
        <v>107</v>
      </c>
      <c r="J184" s="1">
        <v>0.2</v>
      </c>
      <c r="K184" s="1" t="s">
        <v>52</v>
      </c>
      <c r="L184" s="1" t="s">
        <v>52</v>
      </c>
      <c r="M184" s="1">
        <v>4.5599999999999996</v>
      </c>
      <c r="N184" s="1">
        <v>16</v>
      </c>
      <c r="O184" s="1">
        <v>66.500479999999996</v>
      </c>
      <c r="P184" s="1">
        <v>-166.43824000000001</v>
      </c>
      <c r="Q184" s="1">
        <v>5.6440000000000001</v>
      </c>
      <c r="R184" s="1">
        <v>30.413</v>
      </c>
      <c r="S184" s="1">
        <v>305.25900000000001</v>
      </c>
      <c r="T184" s="1">
        <v>287.22000000000003</v>
      </c>
      <c r="U184" s="1">
        <v>51.52</v>
      </c>
      <c r="V184" s="1">
        <v>4580</v>
      </c>
      <c r="W184" s="3">
        <v>1.0743</v>
      </c>
      <c r="X184" s="1" t="s">
        <v>864</v>
      </c>
      <c r="Y184" s="1">
        <v>1.28</v>
      </c>
      <c r="Z184" s="1">
        <v>3.64</v>
      </c>
      <c r="AA184" s="1">
        <v>0.71399999999999997</v>
      </c>
      <c r="AB184" s="1">
        <v>4.7</v>
      </c>
      <c r="AC184" s="1">
        <v>0.1</v>
      </c>
      <c r="AD184" s="1">
        <v>0</v>
      </c>
      <c r="AE184" s="1">
        <v>0.24</v>
      </c>
      <c r="AF184" s="1">
        <v>0.1</v>
      </c>
      <c r="AG184" s="1"/>
      <c r="AH184" s="1" t="s">
        <v>865</v>
      </c>
      <c r="AI184" s="1">
        <v>2</v>
      </c>
      <c r="AJ184" s="1" t="s">
        <v>864</v>
      </c>
      <c r="AK184" s="1">
        <v>2</v>
      </c>
      <c r="AL184" s="1">
        <v>74.595100000000002</v>
      </c>
      <c r="AM184" s="1" t="s">
        <v>864</v>
      </c>
      <c r="AN184" s="1">
        <v>5.5749223602484497</v>
      </c>
      <c r="AO184" s="1">
        <v>0.84149771475448298</v>
      </c>
      <c r="AP184" s="1"/>
      <c r="AQ184" s="1"/>
      <c r="AR184" s="1"/>
      <c r="AS184" s="1"/>
      <c r="AT184" s="1"/>
    </row>
    <row r="185" spans="1:46">
      <c r="A185" s="1" t="s">
        <v>866</v>
      </c>
      <c r="B185" s="1">
        <v>199</v>
      </c>
      <c r="C185" s="1" t="s">
        <v>866</v>
      </c>
      <c r="D185" s="1" t="s">
        <v>867</v>
      </c>
      <c r="E185" s="1" t="s">
        <v>47</v>
      </c>
      <c r="F185" s="1" t="s">
        <v>862</v>
      </c>
      <c r="G185" s="1" t="s">
        <v>456</v>
      </c>
      <c r="H185" s="2" t="s">
        <v>863</v>
      </c>
      <c r="I185" s="1">
        <v>107</v>
      </c>
      <c r="J185" s="1">
        <v>0.2</v>
      </c>
      <c r="K185" s="1" t="s">
        <v>150</v>
      </c>
      <c r="L185" s="1" t="s">
        <v>78</v>
      </c>
      <c r="M185" s="1">
        <v>11.93</v>
      </c>
      <c r="N185" s="1">
        <v>16</v>
      </c>
      <c r="O185" s="1">
        <v>66.500479999999996</v>
      </c>
      <c r="P185" s="1">
        <v>-166.43823</v>
      </c>
      <c r="Q185" s="1">
        <v>5.6559999999999997</v>
      </c>
      <c r="R185" s="1">
        <v>30.411000000000001</v>
      </c>
      <c r="S185" s="1">
        <v>305.73500000000001</v>
      </c>
      <c r="T185" s="1">
        <v>344.16</v>
      </c>
      <c r="U185" s="1">
        <v>65.599999999999994</v>
      </c>
      <c r="V185" s="1">
        <v>4279.99999999999</v>
      </c>
      <c r="W185" s="3">
        <v>1.1664000000000001</v>
      </c>
      <c r="X185" s="1" t="s">
        <v>868</v>
      </c>
      <c r="Y185" s="1">
        <v>1.0900000000000001</v>
      </c>
      <c r="Z185" s="1">
        <v>3.63</v>
      </c>
      <c r="AA185" s="1">
        <v>0.70499999999999996</v>
      </c>
      <c r="AB185" s="1">
        <v>4.7</v>
      </c>
      <c r="AC185" s="1">
        <v>0</v>
      </c>
      <c r="AD185" s="1">
        <v>0</v>
      </c>
      <c r="AE185" s="1">
        <v>0.27</v>
      </c>
      <c r="AF185" s="1">
        <v>0</v>
      </c>
      <c r="AG185" s="1"/>
      <c r="AH185" s="1" t="s">
        <v>869</v>
      </c>
      <c r="AI185" s="1">
        <v>1</v>
      </c>
      <c r="AJ185" s="1" t="s">
        <v>868</v>
      </c>
      <c r="AK185" s="1">
        <v>2</v>
      </c>
      <c r="AL185" s="1">
        <v>74.653700000000001</v>
      </c>
      <c r="AM185" s="1" t="s">
        <v>868</v>
      </c>
      <c r="AN185" s="1">
        <v>5.2463414634146401</v>
      </c>
      <c r="AO185" s="1">
        <v>0.79190059825126602</v>
      </c>
      <c r="AP185" s="1"/>
      <c r="AQ185" s="1"/>
      <c r="AR185" s="1"/>
      <c r="AS185" s="1"/>
      <c r="AT185" s="1"/>
    </row>
    <row r="186" spans="1:46">
      <c r="A186" s="1" t="s">
        <v>870</v>
      </c>
      <c r="B186" s="1">
        <v>196</v>
      </c>
      <c r="C186" s="1" t="s">
        <v>870</v>
      </c>
      <c r="D186" s="1" t="s">
        <v>871</v>
      </c>
      <c r="E186" s="1" t="s">
        <v>47</v>
      </c>
      <c r="F186" s="1" t="s">
        <v>872</v>
      </c>
      <c r="G186" s="1" t="s">
        <v>456</v>
      </c>
      <c r="H186" s="2" t="s">
        <v>873</v>
      </c>
      <c r="I186" s="1">
        <v>105</v>
      </c>
      <c r="J186" s="1">
        <v>0.2</v>
      </c>
      <c r="K186" s="1" t="s">
        <v>52</v>
      </c>
      <c r="L186" s="1" t="s">
        <v>52</v>
      </c>
      <c r="M186" s="1">
        <v>3.13</v>
      </c>
      <c r="N186" s="1">
        <v>29</v>
      </c>
      <c r="O186" s="1">
        <v>66.500339999999994</v>
      </c>
      <c r="P186" s="1">
        <v>-167.27892</v>
      </c>
      <c r="Q186" s="1">
        <v>4.266</v>
      </c>
      <c r="R186" s="1">
        <v>31.919499999999999</v>
      </c>
      <c r="S186" s="1">
        <v>329.62200000000001</v>
      </c>
      <c r="T186" s="1">
        <v>255</v>
      </c>
      <c r="U186" s="1">
        <v>41.02</v>
      </c>
      <c r="V186" s="1">
        <v>3620</v>
      </c>
      <c r="W186" s="3">
        <v>0.9577</v>
      </c>
      <c r="X186" s="1" t="s">
        <v>874</v>
      </c>
      <c r="Y186" s="1">
        <v>1.42</v>
      </c>
      <c r="Z186" s="1">
        <v>1.47</v>
      </c>
      <c r="AA186" s="1">
        <v>0.58399999999999996</v>
      </c>
      <c r="AB186" s="1">
        <v>2.2999999999999998</v>
      </c>
      <c r="AC186" s="1">
        <v>0</v>
      </c>
      <c r="AD186" s="1">
        <v>0</v>
      </c>
      <c r="AE186" s="1">
        <v>0.44</v>
      </c>
      <c r="AF186" s="1">
        <v>0</v>
      </c>
      <c r="AG186" s="1"/>
      <c r="AH186" s="1" t="s">
        <v>875</v>
      </c>
      <c r="AI186" s="1">
        <v>3</v>
      </c>
      <c r="AJ186" s="1" t="s">
        <v>874</v>
      </c>
      <c r="AK186" s="1">
        <v>2</v>
      </c>
      <c r="AL186" s="1">
        <v>79.997500000000002</v>
      </c>
      <c r="AM186" s="1" t="s">
        <v>874</v>
      </c>
      <c r="AN186" s="1">
        <v>6.2164797659678204</v>
      </c>
      <c r="AO186" s="1">
        <v>0.93833656844797297</v>
      </c>
      <c r="AP186" s="1"/>
      <c r="AQ186" s="1"/>
      <c r="AR186" s="1"/>
      <c r="AS186" s="1"/>
      <c r="AT186" s="1"/>
    </row>
    <row r="187" spans="1:46">
      <c r="A187" s="1" t="s">
        <v>876</v>
      </c>
      <c r="B187" s="1">
        <v>193</v>
      </c>
      <c r="C187" s="1" t="s">
        <v>876</v>
      </c>
      <c r="D187" s="1" t="s">
        <v>877</v>
      </c>
      <c r="E187" s="1" t="s">
        <v>47</v>
      </c>
      <c r="F187" s="1" t="s">
        <v>878</v>
      </c>
      <c r="G187" s="1" t="s">
        <v>456</v>
      </c>
      <c r="H187" s="2" t="s">
        <v>879</v>
      </c>
      <c r="I187" s="1">
        <v>104</v>
      </c>
      <c r="J187" s="1">
        <v>0.2</v>
      </c>
      <c r="K187" s="1" t="s">
        <v>52</v>
      </c>
      <c r="L187" s="1" t="s">
        <v>52</v>
      </c>
      <c r="M187" s="1">
        <v>3.73</v>
      </c>
      <c r="N187" s="1">
        <v>26</v>
      </c>
      <c r="O187" s="1">
        <v>66.500619999999998</v>
      </c>
      <c r="P187" s="1">
        <v>-167.69394</v>
      </c>
      <c r="Q187" s="1">
        <v>3.0470000000000002</v>
      </c>
      <c r="R187" s="1">
        <v>32.195500000000003</v>
      </c>
      <c r="S187" s="1">
        <v>349.43599999999998</v>
      </c>
      <c r="T187" s="1">
        <v>1254.04</v>
      </c>
      <c r="U187" s="1">
        <v>188.52</v>
      </c>
      <c r="V187" s="1">
        <v>3239.99999999999</v>
      </c>
      <c r="W187" s="3">
        <v>1.1855</v>
      </c>
      <c r="X187" s="1" t="s">
        <v>880</v>
      </c>
      <c r="Y187" s="1">
        <v>1.5</v>
      </c>
      <c r="Z187" s="1">
        <v>0.62</v>
      </c>
      <c r="AA187" s="1">
        <v>0.64800000000000002</v>
      </c>
      <c r="AB187" s="1">
        <v>2.1</v>
      </c>
      <c r="AC187" s="1">
        <v>0.1</v>
      </c>
      <c r="AD187" s="1">
        <v>0.02</v>
      </c>
      <c r="AE187" s="1">
        <v>0.89</v>
      </c>
      <c r="AF187" s="1">
        <v>0.12</v>
      </c>
      <c r="AG187" s="1"/>
      <c r="AH187" s="1" t="s">
        <v>881</v>
      </c>
      <c r="AI187" s="1">
        <v>24</v>
      </c>
      <c r="AJ187" s="1" t="s">
        <v>882</v>
      </c>
      <c r="AK187" s="1">
        <v>1.5</v>
      </c>
      <c r="AL187" s="1">
        <v>82.021900000000002</v>
      </c>
      <c r="AM187" s="1" t="s">
        <v>880</v>
      </c>
      <c r="AN187" s="1">
        <v>6.6520263102058097</v>
      </c>
      <c r="AO187" s="1">
        <v>1.00407944304993</v>
      </c>
      <c r="AP187" s="1"/>
      <c r="AQ187" s="1"/>
      <c r="AR187" s="1"/>
      <c r="AS187" s="1"/>
      <c r="AT187" s="1"/>
    </row>
    <row r="188" spans="1:46">
      <c r="A188" s="1" t="s">
        <v>883</v>
      </c>
      <c r="B188" s="1">
        <v>194</v>
      </c>
      <c r="C188" s="1" t="s">
        <v>883</v>
      </c>
      <c r="D188" s="1" t="s">
        <v>884</v>
      </c>
      <c r="E188" s="1" t="s">
        <v>47</v>
      </c>
      <c r="F188" s="1" t="s">
        <v>878</v>
      </c>
      <c r="G188" s="1" t="s">
        <v>456</v>
      </c>
      <c r="H188" s="2" t="s">
        <v>879</v>
      </c>
      <c r="I188" s="1">
        <v>104</v>
      </c>
      <c r="J188" s="1">
        <v>0.2</v>
      </c>
      <c r="K188" s="1" t="s">
        <v>65</v>
      </c>
      <c r="L188" s="1" t="s">
        <v>65</v>
      </c>
      <c r="M188" s="1">
        <v>10.87</v>
      </c>
      <c r="N188" s="1">
        <v>26</v>
      </c>
      <c r="O188" s="1">
        <v>66.500640000000004</v>
      </c>
      <c r="P188" s="1">
        <v>-167.69512</v>
      </c>
      <c r="Q188" s="1">
        <v>2.931</v>
      </c>
      <c r="R188" s="1">
        <v>32.195</v>
      </c>
      <c r="S188" s="1">
        <v>348.81400000000002</v>
      </c>
      <c r="T188" s="1"/>
      <c r="U188" s="1"/>
      <c r="V188" s="1"/>
      <c r="W188" s="3">
        <v>1.2656000000000001</v>
      </c>
      <c r="X188" s="1" t="s">
        <v>885</v>
      </c>
      <c r="Y188" s="1">
        <v>2.29</v>
      </c>
      <c r="Z188" s="1">
        <v>0.27</v>
      </c>
      <c r="AA188" s="1">
        <v>0.66100000000000003</v>
      </c>
      <c r="AB188" s="1">
        <v>2.2000000000000002</v>
      </c>
      <c r="AC188" s="1">
        <v>0.2</v>
      </c>
      <c r="AD188" s="1">
        <v>0.02</v>
      </c>
      <c r="AE188" s="1">
        <v>0.85</v>
      </c>
      <c r="AF188" s="1">
        <v>0.22</v>
      </c>
      <c r="AG188" s="1"/>
      <c r="AH188" s="1" t="s">
        <v>886</v>
      </c>
      <c r="AI188" s="1">
        <v>11</v>
      </c>
      <c r="AJ188" s="1" t="s">
        <v>885</v>
      </c>
      <c r="AK188" s="1">
        <v>2</v>
      </c>
      <c r="AL188" s="1">
        <v>82.029899999999998</v>
      </c>
      <c r="AM188" s="1" t="s">
        <v>885</v>
      </c>
      <c r="AN188" s="1"/>
      <c r="AO188" s="1"/>
      <c r="AP188" s="1"/>
      <c r="AQ188" s="1"/>
      <c r="AR188" s="1"/>
      <c r="AS188" s="1"/>
      <c r="AT188" s="1"/>
    </row>
    <row r="189" spans="1:46">
      <c r="A189" s="1" t="s">
        <v>887</v>
      </c>
      <c r="B189" s="1">
        <v>195</v>
      </c>
      <c r="C189" s="1" t="s">
        <v>887</v>
      </c>
      <c r="D189" s="1" t="s">
        <v>888</v>
      </c>
      <c r="E189" s="1" t="s">
        <v>47</v>
      </c>
      <c r="F189" s="1" t="s">
        <v>878</v>
      </c>
      <c r="G189" s="1" t="s">
        <v>456</v>
      </c>
      <c r="H189" s="2" t="s">
        <v>879</v>
      </c>
      <c r="I189" s="1">
        <v>104</v>
      </c>
      <c r="J189" s="1">
        <v>0.2</v>
      </c>
      <c r="K189" s="1" t="s">
        <v>150</v>
      </c>
      <c r="L189" s="1" t="s">
        <v>78</v>
      </c>
      <c r="M189" s="1">
        <v>21.81</v>
      </c>
      <c r="N189" s="1">
        <v>26</v>
      </c>
      <c r="O189" s="1">
        <v>66.500640000000004</v>
      </c>
      <c r="P189" s="1">
        <v>-167.69576000000001</v>
      </c>
      <c r="Q189" s="1">
        <v>2.9384999999999999</v>
      </c>
      <c r="R189" s="1">
        <v>32.195500000000003</v>
      </c>
      <c r="S189" s="1">
        <v>348.43</v>
      </c>
      <c r="T189" s="1">
        <v>163.72</v>
      </c>
      <c r="U189" s="1">
        <v>36.58</v>
      </c>
      <c r="V189" s="1">
        <v>3300</v>
      </c>
      <c r="W189" s="3">
        <v>1.1245000000000001</v>
      </c>
      <c r="X189" s="1" t="s">
        <v>889</v>
      </c>
      <c r="Y189" s="1">
        <v>1.29</v>
      </c>
      <c r="Z189" s="1">
        <v>1.3</v>
      </c>
      <c r="AA189" s="1">
        <v>0.622</v>
      </c>
      <c r="AB189" s="1">
        <v>2.5</v>
      </c>
      <c r="AC189" s="1">
        <v>0.2</v>
      </c>
      <c r="AD189" s="1">
        <v>0.02</v>
      </c>
      <c r="AE189" s="1">
        <v>0.94</v>
      </c>
      <c r="AF189" s="1">
        <v>0.22</v>
      </c>
      <c r="AG189" s="1"/>
      <c r="AH189" s="1" t="s">
        <v>890</v>
      </c>
      <c r="AI189" s="1">
        <v>1</v>
      </c>
      <c r="AJ189" s="1" t="s">
        <v>889</v>
      </c>
      <c r="AK189" s="1">
        <v>2</v>
      </c>
      <c r="AL189" s="1">
        <v>81.874099999999999</v>
      </c>
      <c r="AM189" s="1" t="s">
        <v>889</v>
      </c>
      <c r="AN189" s="1">
        <v>4.4756697648988499</v>
      </c>
      <c r="AO189" s="1">
        <v>0.67557279470171305</v>
      </c>
      <c r="AP189" s="1"/>
      <c r="AQ189" s="1"/>
      <c r="AR189" s="1"/>
      <c r="AS189" s="1"/>
      <c r="AT189" s="1"/>
    </row>
    <row r="190" spans="1:46">
      <c r="A190" s="1" t="s">
        <v>891</v>
      </c>
      <c r="B190" s="1">
        <v>190</v>
      </c>
      <c r="C190" s="1" t="s">
        <v>891</v>
      </c>
      <c r="D190" s="1" t="s">
        <v>892</v>
      </c>
      <c r="E190" s="1" t="s">
        <v>47</v>
      </c>
      <c r="F190" s="1" t="s">
        <v>893</v>
      </c>
      <c r="G190" s="1" t="s">
        <v>456</v>
      </c>
      <c r="H190" s="2" t="s">
        <v>894</v>
      </c>
      <c r="I190" s="1">
        <v>103</v>
      </c>
      <c r="J190" s="1">
        <v>0.2</v>
      </c>
      <c r="K190" s="1" t="s">
        <v>52</v>
      </c>
      <c r="L190" s="1" t="s">
        <v>52</v>
      </c>
      <c r="M190" s="1">
        <v>4.57</v>
      </c>
      <c r="N190" s="1">
        <v>28</v>
      </c>
      <c r="O190" s="1">
        <v>66.500399999999999</v>
      </c>
      <c r="P190" s="1">
        <v>-168.11922000000001</v>
      </c>
      <c r="Q190" s="1">
        <v>3.5030000000000001</v>
      </c>
      <c r="R190" s="1">
        <v>32.415500000000002</v>
      </c>
      <c r="S190" s="1">
        <v>343.09899999999999</v>
      </c>
      <c r="T190" s="1">
        <v>307.45999999999998</v>
      </c>
      <c r="U190" s="1">
        <v>56.24</v>
      </c>
      <c r="V190" s="1">
        <v>3840</v>
      </c>
      <c r="W190" s="3">
        <v>1.4336</v>
      </c>
      <c r="X190" s="1" t="s">
        <v>895</v>
      </c>
      <c r="Y190" s="1">
        <v>5.08</v>
      </c>
      <c r="Z190" s="1">
        <v>0.52</v>
      </c>
      <c r="AA190" s="1">
        <v>0.67800000000000005</v>
      </c>
      <c r="AB190" s="1">
        <v>1.9</v>
      </c>
      <c r="AC190" s="1">
        <v>1.2</v>
      </c>
      <c r="AD190" s="1">
        <v>0.04</v>
      </c>
      <c r="AE190" s="1">
        <v>0.96</v>
      </c>
      <c r="AF190" s="1">
        <v>1.24</v>
      </c>
      <c r="AG190" s="1"/>
      <c r="AH190" s="1" t="s">
        <v>896</v>
      </c>
      <c r="AI190" s="1">
        <v>4</v>
      </c>
      <c r="AJ190" s="1" t="s">
        <v>895</v>
      </c>
      <c r="AK190" s="1">
        <v>2</v>
      </c>
      <c r="AL190" s="1">
        <v>82.779700000000005</v>
      </c>
      <c r="AM190" s="1" t="s">
        <v>895</v>
      </c>
      <c r="AN190" s="1">
        <v>5.4669274537695598</v>
      </c>
      <c r="AO190" s="1">
        <v>0.82519659679540502</v>
      </c>
      <c r="AP190" s="1"/>
      <c r="AQ190" s="1"/>
      <c r="AR190" s="1"/>
      <c r="AS190" s="1"/>
      <c r="AT190" s="1"/>
    </row>
    <row r="191" spans="1:46">
      <c r="A191" s="1" t="s">
        <v>897</v>
      </c>
      <c r="B191" s="1">
        <v>191</v>
      </c>
      <c r="C191" s="1" t="s">
        <v>897</v>
      </c>
      <c r="D191" s="1" t="s">
        <v>898</v>
      </c>
      <c r="E191" s="1" t="s">
        <v>47</v>
      </c>
      <c r="F191" s="1" t="s">
        <v>893</v>
      </c>
      <c r="G191" s="1" t="s">
        <v>456</v>
      </c>
      <c r="H191" s="2" t="s">
        <v>894</v>
      </c>
      <c r="I191" s="1">
        <v>103</v>
      </c>
      <c r="J191" s="1">
        <v>0.2</v>
      </c>
      <c r="K191" s="1" t="s">
        <v>65</v>
      </c>
      <c r="L191" s="1" t="s">
        <v>78</v>
      </c>
      <c r="M191" s="1">
        <v>19.899999999999999</v>
      </c>
      <c r="N191" s="1">
        <v>28</v>
      </c>
      <c r="O191" s="1">
        <v>66.500420000000005</v>
      </c>
      <c r="P191" s="1">
        <v>-168.11923999999999</v>
      </c>
      <c r="Q191" s="1">
        <v>3.5095000000000001</v>
      </c>
      <c r="R191" s="1">
        <v>32.435000000000002</v>
      </c>
      <c r="S191" s="1">
        <v>342.25299999999999</v>
      </c>
      <c r="T191" s="1"/>
      <c r="U191" s="1"/>
      <c r="V191" s="1"/>
      <c r="W191" s="3">
        <v>3.278</v>
      </c>
      <c r="X191" s="1" t="s">
        <v>899</v>
      </c>
      <c r="Y191" s="1">
        <v>8.0299999999999994</v>
      </c>
      <c r="Z191" s="1">
        <v>0.57999999999999996</v>
      </c>
      <c r="AA191" s="1">
        <v>0.69599999999999995</v>
      </c>
      <c r="AB191" s="1">
        <v>2.1</v>
      </c>
      <c r="AC191" s="1">
        <v>1.6</v>
      </c>
      <c r="AD191" s="1">
        <v>0.04</v>
      </c>
      <c r="AE191" s="1">
        <v>0.91</v>
      </c>
      <c r="AF191" s="1">
        <v>1.64</v>
      </c>
      <c r="AG191" s="1"/>
      <c r="AH191" s="1" t="s">
        <v>900</v>
      </c>
      <c r="AI191" s="1">
        <v>2</v>
      </c>
      <c r="AJ191" s="1" t="s">
        <v>899</v>
      </c>
      <c r="AK191" s="1">
        <v>2</v>
      </c>
      <c r="AL191" s="1">
        <v>82.387699999999995</v>
      </c>
      <c r="AM191" s="1" t="s">
        <v>899</v>
      </c>
      <c r="AN191" s="1"/>
      <c r="AO191" s="1"/>
      <c r="AP191" s="1"/>
      <c r="AQ191" s="1"/>
      <c r="AR191" s="1"/>
      <c r="AS191" s="1"/>
      <c r="AT191" s="1"/>
    </row>
    <row r="192" spans="1:46">
      <c r="A192" s="1" t="s">
        <v>901</v>
      </c>
      <c r="B192" s="1">
        <v>192</v>
      </c>
      <c r="C192" s="1" t="s">
        <v>901</v>
      </c>
      <c r="D192" s="1" t="s">
        <v>902</v>
      </c>
      <c r="E192" s="1" t="s">
        <v>47</v>
      </c>
      <c r="F192" s="1" t="s">
        <v>893</v>
      </c>
      <c r="G192" s="1" t="s">
        <v>456</v>
      </c>
      <c r="H192" s="2" t="s">
        <v>894</v>
      </c>
      <c r="I192" s="1">
        <v>103</v>
      </c>
      <c r="J192" s="1">
        <v>0.2</v>
      </c>
      <c r="K192" s="1" t="s">
        <v>903</v>
      </c>
      <c r="L192" s="1" t="s">
        <v>78</v>
      </c>
      <c r="M192" s="1">
        <v>24.84</v>
      </c>
      <c r="N192" s="1">
        <v>28</v>
      </c>
      <c r="O192" s="1">
        <v>66.500420000000005</v>
      </c>
      <c r="P192" s="1">
        <v>-168.11922000000001</v>
      </c>
      <c r="Q192" s="1">
        <v>3.5430000000000001</v>
      </c>
      <c r="R192" s="1">
        <v>32.456000000000003</v>
      </c>
      <c r="S192" s="1">
        <v>341.30099999999999</v>
      </c>
      <c r="T192" s="1">
        <v>340.72</v>
      </c>
      <c r="U192" s="1">
        <v>65.12</v>
      </c>
      <c r="V192" s="1">
        <v>15660</v>
      </c>
      <c r="W192" s="3">
        <v>3.6034000000000002</v>
      </c>
      <c r="X192" s="1" t="s">
        <v>904</v>
      </c>
      <c r="Y192" s="1">
        <v>6.06</v>
      </c>
      <c r="Z192" s="1">
        <v>1.2</v>
      </c>
      <c r="AA192" s="1">
        <v>0.68</v>
      </c>
      <c r="AB192" s="1">
        <v>2.1</v>
      </c>
      <c r="AC192" s="1">
        <v>1.6</v>
      </c>
      <c r="AD192" s="1">
        <v>0.04</v>
      </c>
      <c r="AE192" s="1">
        <v>0.91</v>
      </c>
      <c r="AF192" s="1">
        <v>1.64</v>
      </c>
      <c r="AG192" s="1"/>
      <c r="AH192" s="1" t="s">
        <v>905</v>
      </c>
      <c r="AI192" s="1">
        <v>1</v>
      </c>
      <c r="AJ192" s="1" t="s">
        <v>904</v>
      </c>
      <c r="AK192" s="1">
        <v>2</v>
      </c>
      <c r="AL192" s="1">
        <v>77.086699999999993</v>
      </c>
      <c r="AM192" s="1" t="s">
        <v>904</v>
      </c>
      <c r="AN192" s="1">
        <v>5.2321867321867304</v>
      </c>
      <c r="AO192" s="1">
        <v>0.78976403504705395</v>
      </c>
      <c r="AP192" s="1"/>
      <c r="AQ192" s="1"/>
      <c r="AR192" s="1"/>
      <c r="AS192" s="1"/>
      <c r="AT192" s="1"/>
    </row>
    <row r="193" spans="1:46">
      <c r="A193" s="1" t="s">
        <v>906</v>
      </c>
      <c r="B193" s="1">
        <v>187</v>
      </c>
      <c r="C193" s="1" t="s">
        <v>906</v>
      </c>
      <c r="D193" s="1" t="s">
        <v>907</v>
      </c>
      <c r="E193" s="1" t="s">
        <v>47</v>
      </c>
      <c r="F193" s="1" t="s">
        <v>908</v>
      </c>
      <c r="G193" s="1" t="s">
        <v>456</v>
      </c>
      <c r="H193" s="2" t="s">
        <v>909</v>
      </c>
      <c r="I193" s="1">
        <v>102</v>
      </c>
      <c r="J193" s="1">
        <v>0.2</v>
      </c>
      <c r="K193" s="1" t="s">
        <v>52</v>
      </c>
      <c r="L193" s="1" t="s">
        <v>52</v>
      </c>
      <c r="M193" s="1">
        <v>3.61</v>
      </c>
      <c r="N193" s="1">
        <v>52</v>
      </c>
      <c r="O193" s="1">
        <v>66.501559999999998</v>
      </c>
      <c r="P193" s="1">
        <v>-168.5402</v>
      </c>
      <c r="Q193" s="1">
        <v>3.7050000000000001</v>
      </c>
      <c r="R193" s="1">
        <v>32.511499999999998</v>
      </c>
      <c r="S193" s="1">
        <v>337.79899999999998</v>
      </c>
      <c r="T193" s="1">
        <v>319.16000000000003</v>
      </c>
      <c r="U193" s="1">
        <v>61.1</v>
      </c>
      <c r="V193" s="1">
        <v>3120.00000000001</v>
      </c>
      <c r="W193" s="3">
        <v>4.1810999999999998</v>
      </c>
      <c r="X193" s="1" t="s">
        <v>910</v>
      </c>
      <c r="Y193" s="1">
        <v>12.91</v>
      </c>
      <c r="Z193" s="1">
        <v>7.08</v>
      </c>
      <c r="AA193" s="1">
        <v>0.748</v>
      </c>
      <c r="AB193" s="1">
        <v>3.4</v>
      </c>
      <c r="AC193" s="1">
        <v>0.9</v>
      </c>
      <c r="AD193" s="1">
        <v>0.05</v>
      </c>
      <c r="AE193" s="1">
        <v>0.97</v>
      </c>
      <c r="AF193" s="1">
        <v>0.95</v>
      </c>
      <c r="AG193" s="1"/>
      <c r="AH193" s="1" t="s">
        <v>911</v>
      </c>
      <c r="AI193" s="1">
        <v>8</v>
      </c>
      <c r="AJ193" s="1" t="s">
        <v>910</v>
      </c>
      <c r="AK193" s="1">
        <v>2</v>
      </c>
      <c r="AL193" s="1">
        <v>75.6691</v>
      </c>
      <c r="AM193" s="1" t="s">
        <v>910</v>
      </c>
      <c r="AN193" s="1">
        <v>5.2235679214402602</v>
      </c>
      <c r="AO193" s="1">
        <v>0.78846308248154895</v>
      </c>
      <c r="AP193" s="1"/>
      <c r="AQ193" s="1"/>
      <c r="AR193" s="1"/>
      <c r="AS193" s="1"/>
      <c r="AT193" s="1"/>
    </row>
    <row r="194" spans="1:46">
      <c r="A194" s="1" t="s">
        <v>912</v>
      </c>
      <c r="B194" s="1">
        <v>188</v>
      </c>
      <c r="C194" s="1" t="s">
        <v>912</v>
      </c>
      <c r="D194" s="1" t="s">
        <v>913</v>
      </c>
      <c r="E194" s="1" t="s">
        <v>47</v>
      </c>
      <c r="F194" s="1" t="s">
        <v>908</v>
      </c>
      <c r="G194" s="1" t="s">
        <v>456</v>
      </c>
      <c r="H194" s="2" t="s">
        <v>909</v>
      </c>
      <c r="I194" s="1">
        <v>102</v>
      </c>
      <c r="J194" s="1">
        <v>0.2</v>
      </c>
      <c r="K194" s="1" t="s">
        <v>65</v>
      </c>
      <c r="L194" s="1" t="s">
        <v>65</v>
      </c>
      <c r="M194" s="1">
        <v>30.32</v>
      </c>
      <c r="N194" s="1">
        <v>52</v>
      </c>
      <c r="O194" s="1">
        <v>66.501239999999996</v>
      </c>
      <c r="P194" s="1">
        <v>-168.54017999999999</v>
      </c>
      <c r="Q194" s="1">
        <v>3.7360000000000002</v>
      </c>
      <c r="R194" s="1">
        <v>32.551499999999997</v>
      </c>
      <c r="S194" s="1">
        <v>333.50200000000001</v>
      </c>
      <c r="T194" s="1"/>
      <c r="U194" s="1"/>
      <c r="V194" s="1"/>
      <c r="W194" s="3">
        <v>4.7892999999999999</v>
      </c>
      <c r="X194" s="1" t="s">
        <v>914</v>
      </c>
      <c r="Y194" s="1">
        <v>10.58</v>
      </c>
      <c r="Z194" s="1">
        <v>6.21</v>
      </c>
      <c r="AA194" s="1">
        <v>0.79</v>
      </c>
      <c r="AB194" s="1">
        <v>4.5</v>
      </c>
      <c r="AC194" s="1">
        <v>3.2</v>
      </c>
      <c r="AD194" s="1">
        <v>0.06</v>
      </c>
      <c r="AE194" s="1">
        <v>1.0900000000000001</v>
      </c>
      <c r="AF194" s="1">
        <v>3.26</v>
      </c>
      <c r="AG194" s="1"/>
      <c r="AH194" s="1" t="s">
        <v>915</v>
      </c>
      <c r="AI194" s="1">
        <v>4</v>
      </c>
      <c r="AJ194" s="1" t="s">
        <v>914</v>
      </c>
      <c r="AK194" s="1">
        <v>2</v>
      </c>
      <c r="AL194" s="1">
        <v>75.159300000000002</v>
      </c>
      <c r="AM194" s="1" t="s">
        <v>914</v>
      </c>
      <c r="AN194" s="1"/>
      <c r="AO194" s="1"/>
      <c r="AP194" s="1"/>
      <c r="AQ194" s="1"/>
      <c r="AR194" s="1"/>
      <c r="AS194" s="1"/>
      <c r="AT194" s="1"/>
    </row>
    <row r="195" spans="1:46">
      <c r="A195" s="1" t="s">
        <v>916</v>
      </c>
      <c r="B195" s="1">
        <v>189</v>
      </c>
      <c r="C195" s="1" t="s">
        <v>916</v>
      </c>
      <c r="D195" s="1" t="s">
        <v>917</v>
      </c>
      <c r="E195" s="1" t="s">
        <v>47</v>
      </c>
      <c r="F195" s="1" t="s">
        <v>908</v>
      </c>
      <c r="G195" s="1" t="s">
        <v>456</v>
      </c>
      <c r="H195" s="2" t="s">
        <v>909</v>
      </c>
      <c r="I195" s="1">
        <v>102</v>
      </c>
      <c r="J195" s="1">
        <v>0.2</v>
      </c>
      <c r="K195" s="1" t="s">
        <v>918</v>
      </c>
      <c r="L195" s="1" t="s">
        <v>65</v>
      </c>
      <c r="M195" s="1">
        <v>40.11</v>
      </c>
      <c r="N195" s="1">
        <v>52</v>
      </c>
      <c r="O195" s="1">
        <v>66.501080000000002</v>
      </c>
      <c r="P195" s="1">
        <v>-168.5402</v>
      </c>
      <c r="Q195" s="1">
        <v>3.94</v>
      </c>
      <c r="R195" s="1">
        <v>32.618499999999997</v>
      </c>
      <c r="S195" s="1">
        <v>327.75</v>
      </c>
      <c r="T195" s="1"/>
      <c r="U195" s="1"/>
      <c r="V195" s="1"/>
      <c r="W195" s="3">
        <v>6.2270000000000003</v>
      </c>
      <c r="X195" s="1" t="s">
        <v>919</v>
      </c>
      <c r="Y195" s="1">
        <v>12.24</v>
      </c>
      <c r="Z195" s="1">
        <v>2.44</v>
      </c>
      <c r="AA195" s="1">
        <v>0.86499999999999999</v>
      </c>
      <c r="AB195" s="1">
        <v>6.1</v>
      </c>
      <c r="AC195" s="1">
        <v>4.7</v>
      </c>
      <c r="AD195" s="1">
        <v>7.0000000000000007E-2</v>
      </c>
      <c r="AE195" s="1">
        <v>1.1599999999999999</v>
      </c>
      <c r="AF195" s="1">
        <v>4.7699999999999996</v>
      </c>
      <c r="AG195" s="1"/>
      <c r="AH195" s="1" t="s">
        <v>920</v>
      </c>
      <c r="AI195" s="1">
        <v>3</v>
      </c>
      <c r="AJ195" s="1" t="s">
        <v>919</v>
      </c>
      <c r="AK195" s="1">
        <v>2</v>
      </c>
      <c r="AL195" s="1">
        <v>67.754900000000006</v>
      </c>
      <c r="AM195" s="1" t="s">
        <v>919</v>
      </c>
      <c r="AN195" s="1"/>
      <c r="AO195" s="1"/>
      <c r="AP195" s="1"/>
      <c r="AQ195" s="1"/>
      <c r="AR195" s="1"/>
      <c r="AS195" s="1"/>
      <c r="AT195" s="1"/>
    </row>
    <row r="196" spans="1:46">
      <c r="A196" s="1" t="s">
        <v>921</v>
      </c>
      <c r="B196" s="1">
        <v>239</v>
      </c>
      <c r="C196" s="1" t="s">
        <v>921</v>
      </c>
      <c r="D196" s="1" t="s">
        <v>922</v>
      </c>
      <c r="E196" s="1" t="s">
        <v>47</v>
      </c>
      <c r="F196" s="1" t="s">
        <v>923</v>
      </c>
      <c r="G196" s="1" t="s">
        <v>456</v>
      </c>
      <c r="H196" s="2" t="s">
        <v>924</v>
      </c>
      <c r="I196" s="1">
        <v>141</v>
      </c>
      <c r="J196" s="1">
        <v>0.2</v>
      </c>
      <c r="K196" s="1" t="s">
        <v>52</v>
      </c>
      <c r="L196" s="1" t="s">
        <v>65</v>
      </c>
      <c r="M196" s="1">
        <v>13.17</v>
      </c>
      <c r="N196" s="1">
        <v>54</v>
      </c>
      <c r="O196" s="1">
        <v>63.603900000000003</v>
      </c>
      <c r="P196" s="1">
        <v>-172.59227999999999</v>
      </c>
      <c r="Q196" s="1">
        <v>6.4264999999999999</v>
      </c>
      <c r="R196" s="1">
        <v>31.9115</v>
      </c>
      <c r="S196" s="1">
        <v>307.18599999999998</v>
      </c>
      <c r="T196" s="1">
        <v>167.52</v>
      </c>
      <c r="U196" s="1">
        <v>25.32</v>
      </c>
      <c r="V196" s="1">
        <v>4219.99999999999</v>
      </c>
      <c r="W196" s="3">
        <v>0.42599999999999999</v>
      </c>
      <c r="X196" s="1" t="s">
        <v>925</v>
      </c>
      <c r="Y196" s="1">
        <v>0.52</v>
      </c>
      <c r="Z196" s="1">
        <v>0.25</v>
      </c>
      <c r="AA196" s="1">
        <v>0.183</v>
      </c>
      <c r="AB196" s="1">
        <v>2</v>
      </c>
      <c r="AC196" s="1">
        <v>0</v>
      </c>
      <c r="AD196" s="1">
        <v>0</v>
      </c>
      <c r="AE196" s="1">
        <v>0.04</v>
      </c>
      <c r="AF196" s="1">
        <v>0</v>
      </c>
      <c r="AG196" s="1"/>
      <c r="AH196" s="1" t="s">
        <v>926</v>
      </c>
      <c r="AI196" s="1">
        <v>14</v>
      </c>
      <c r="AJ196" s="1" t="s">
        <v>927</v>
      </c>
      <c r="AK196" s="1">
        <v>1.7</v>
      </c>
      <c r="AL196" s="1">
        <v>92.6554</v>
      </c>
      <c r="AM196" s="1" t="s">
        <v>925</v>
      </c>
      <c r="AN196" s="1">
        <v>6.6161137440758298</v>
      </c>
      <c r="AO196" s="1">
        <v>0.99865867835106903</v>
      </c>
      <c r="AP196" s="1"/>
      <c r="AQ196" s="1"/>
      <c r="AR196" s="1"/>
      <c r="AS196" s="1" t="s">
        <v>928</v>
      </c>
      <c r="AT196" s="1"/>
    </row>
    <row r="197" spans="1:46">
      <c r="A197" s="1" t="s">
        <v>929</v>
      </c>
      <c r="B197" s="1">
        <v>240</v>
      </c>
      <c r="C197" s="1" t="s">
        <v>929</v>
      </c>
      <c r="D197" s="1" t="s">
        <v>930</v>
      </c>
      <c r="E197" s="1" t="s">
        <v>47</v>
      </c>
      <c r="F197" s="1" t="s">
        <v>923</v>
      </c>
      <c r="G197" s="1" t="s">
        <v>456</v>
      </c>
      <c r="H197" s="2" t="s">
        <v>924</v>
      </c>
      <c r="I197" s="1">
        <v>141</v>
      </c>
      <c r="J197" s="1">
        <v>0.2</v>
      </c>
      <c r="K197" s="1" t="s">
        <v>486</v>
      </c>
      <c r="L197" s="1" t="s">
        <v>65</v>
      </c>
      <c r="M197" s="1">
        <v>19.82</v>
      </c>
      <c r="N197" s="1">
        <v>54</v>
      </c>
      <c r="O197" s="1">
        <v>63.604019999999998</v>
      </c>
      <c r="P197" s="1">
        <v>-172.59201999999999</v>
      </c>
      <c r="Q197" s="1">
        <v>6.2645</v>
      </c>
      <c r="R197" s="1">
        <v>31.948499999999999</v>
      </c>
      <c r="S197" s="1">
        <v>312.73399999999998</v>
      </c>
      <c r="T197" s="1"/>
      <c r="U197" s="1"/>
      <c r="V197" s="1"/>
      <c r="W197" s="3">
        <v>1.0694999999999999</v>
      </c>
      <c r="X197" s="1" t="s">
        <v>931</v>
      </c>
      <c r="Y197" s="1"/>
      <c r="Z197" s="1"/>
      <c r="AA197" s="1">
        <v>0.27100000000000002</v>
      </c>
      <c r="AB197" s="1">
        <v>4.0999999999999996</v>
      </c>
      <c r="AC197" s="1">
        <v>0.6</v>
      </c>
      <c r="AD197" s="1">
        <v>0.01</v>
      </c>
      <c r="AE197" s="1">
        <v>0.11</v>
      </c>
      <c r="AF197" s="1">
        <v>0.61</v>
      </c>
      <c r="AG197" s="1"/>
      <c r="AH197" s="1" t="s">
        <v>932</v>
      </c>
      <c r="AI197" s="1">
        <v>11</v>
      </c>
      <c r="AJ197" s="1" t="s">
        <v>931</v>
      </c>
      <c r="AK197" s="1">
        <v>1.7</v>
      </c>
      <c r="AL197" s="1">
        <v>90.769099999999995</v>
      </c>
      <c r="AM197" s="1" t="s">
        <v>931</v>
      </c>
      <c r="AN197" s="1"/>
      <c r="AO197" s="1"/>
      <c r="AP197" s="1"/>
      <c r="AQ197" s="1"/>
      <c r="AR197" s="1"/>
      <c r="AS197" s="1" t="s">
        <v>933</v>
      </c>
      <c r="AT197" s="1"/>
    </row>
    <row r="198" spans="1:46">
      <c r="A198" s="1" t="s">
        <v>934</v>
      </c>
      <c r="B198" s="1">
        <v>241</v>
      </c>
      <c r="C198" s="1" t="s">
        <v>934</v>
      </c>
      <c r="D198" s="1" t="s">
        <v>935</v>
      </c>
      <c r="E198" s="1" t="s">
        <v>47</v>
      </c>
      <c r="F198" s="1" t="s">
        <v>923</v>
      </c>
      <c r="G198" s="1" t="s">
        <v>456</v>
      </c>
      <c r="H198" s="2" t="s">
        <v>924</v>
      </c>
      <c r="I198" s="1">
        <v>141</v>
      </c>
      <c r="J198" s="1">
        <v>0.2</v>
      </c>
      <c r="K198" s="1" t="s">
        <v>512</v>
      </c>
      <c r="L198" s="1" t="s">
        <v>65</v>
      </c>
      <c r="M198" s="1">
        <v>25.03</v>
      </c>
      <c r="N198" s="1">
        <v>54</v>
      </c>
      <c r="O198" s="1">
        <v>63.604059999999997</v>
      </c>
      <c r="P198" s="1">
        <v>-172.59193999999999</v>
      </c>
      <c r="Q198" s="1">
        <v>-0.123</v>
      </c>
      <c r="R198" s="1">
        <v>32.149000000000001</v>
      </c>
      <c r="S198" s="1">
        <v>418.88499999999999</v>
      </c>
      <c r="T198" s="1">
        <v>494.22</v>
      </c>
      <c r="U198" s="1">
        <v>91.76</v>
      </c>
      <c r="V198" s="1">
        <v>2660</v>
      </c>
      <c r="W198" s="3">
        <v>9.7464999999999993</v>
      </c>
      <c r="X198" s="1" t="s">
        <v>936</v>
      </c>
      <c r="Y198" s="1">
        <v>6.35</v>
      </c>
      <c r="Z198" s="1">
        <v>1.3</v>
      </c>
      <c r="AA198" s="1">
        <v>0.97699999999999998</v>
      </c>
      <c r="AB198" s="1">
        <v>16.7</v>
      </c>
      <c r="AC198" s="1">
        <v>7.2</v>
      </c>
      <c r="AD198" s="1">
        <v>0.14000000000000001</v>
      </c>
      <c r="AE198" s="1">
        <v>0.37</v>
      </c>
      <c r="AF198" s="1">
        <v>7.34</v>
      </c>
      <c r="AG198" s="1"/>
      <c r="AH198" s="1" t="s">
        <v>937</v>
      </c>
      <c r="AI198" s="1">
        <v>7</v>
      </c>
      <c r="AJ198" s="1" t="s">
        <v>936</v>
      </c>
      <c r="AK198" s="1">
        <v>1.7</v>
      </c>
      <c r="AL198" s="1">
        <v>72.186700000000002</v>
      </c>
      <c r="AM198" s="1" t="s">
        <v>936</v>
      </c>
      <c r="AN198" s="1">
        <v>5.3860069747166497</v>
      </c>
      <c r="AO198" s="1">
        <v>0.81298218486289098</v>
      </c>
      <c r="AP198" s="1"/>
      <c r="AQ198" s="1"/>
      <c r="AR198" s="1"/>
      <c r="AS198" s="1"/>
      <c r="AT198" s="1"/>
    </row>
    <row r="199" spans="1:46">
      <c r="A199" s="1" t="s">
        <v>938</v>
      </c>
      <c r="B199" s="1">
        <v>242</v>
      </c>
      <c r="C199" s="1" t="s">
        <v>938</v>
      </c>
      <c r="D199" s="1" t="s">
        <v>939</v>
      </c>
      <c r="E199" s="1" t="s">
        <v>47</v>
      </c>
      <c r="F199" s="1" t="s">
        <v>923</v>
      </c>
      <c r="G199" s="1" t="s">
        <v>456</v>
      </c>
      <c r="H199" s="2" t="s">
        <v>924</v>
      </c>
      <c r="I199" s="1">
        <v>141</v>
      </c>
      <c r="J199" s="1">
        <v>0.2</v>
      </c>
      <c r="K199" s="1" t="s">
        <v>150</v>
      </c>
      <c r="L199" s="1" t="s">
        <v>78</v>
      </c>
      <c r="M199" s="1">
        <v>49.01</v>
      </c>
      <c r="N199" s="1">
        <v>54</v>
      </c>
      <c r="O199" s="1">
        <v>63.604520000000001</v>
      </c>
      <c r="P199" s="1">
        <v>-172.59099000000001</v>
      </c>
      <c r="Q199" s="1">
        <v>0.69799999999999995</v>
      </c>
      <c r="R199" s="1">
        <v>32.664000000000001</v>
      </c>
      <c r="S199" s="1">
        <v>281.19</v>
      </c>
      <c r="T199" s="1">
        <v>139.80000000000001</v>
      </c>
      <c r="U199" s="1">
        <v>18.940000000000001</v>
      </c>
      <c r="V199" s="1">
        <v>3640</v>
      </c>
      <c r="W199" s="3">
        <v>0.63829999999999998</v>
      </c>
      <c r="X199" s="1" t="s">
        <v>940</v>
      </c>
      <c r="Y199" s="1">
        <v>0.51</v>
      </c>
      <c r="Z199" s="1">
        <v>1.23</v>
      </c>
      <c r="AA199" s="1">
        <v>1.857</v>
      </c>
      <c r="AB199" s="1">
        <v>36.9</v>
      </c>
      <c r="AC199" s="1">
        <v>17.600000000000001</v>
      </c>
      <c r="AD199" s="1">
        <v>0.12</v>
      </c>
      <c r="AE199" s="1">
        <v>1.78</v>
      </c>
      <c r="AF199" s="1">
        <v>17.72</v>
      </c>
      <c r="AG199" s="1"/>
      <c r="AH199" s="1" t="s">
        <v>941</v>
      </c>
      <c r="AI199" s="1">
        <v>1</v>
      </c>
      <c r="AJ199" s="1" t="s">
        <v>940</v>
      </c>
      <c r="AK199" s="1">
        <v>1.7</v>
      </c>
      <c r="AL199" s="1">
        <v>79.474800000000002</v>
      </c>
      <c r="AM199" s="1" t="s">
        <v>940</v>
      </c>
      <c r="AN199" s="1">
        <v>7.3812038014783496</v>
      </c>
      <c r="AO199" s="1">
        <v>1.11414397003447</v>
      </c>
      <c r="AP199" s="1"/>
      <c r="AQ199" s="1"/>
      <c r="AR199" s="1"/>
      <c r="AS199" s="1"/>
      <c r="AT199" s="1"/>
    </row>
    <row r="200" spans="1:46">
      <c r="A200" s="1" t="s">
        <v>942</v>
      </c>
      <c r="B200" s="1">
        <v>243</v>
      </c>
      <c r="C200" s="1" t="s">
        <v>942</v>
      </c>
      <c r="D200" s="1" t="s">
        <v>943</v>
      </c>
      <c r="E200" s="1" t="s">
        <v>47</v>
      </c>
      <c r="F200" s="1" t="s">
        <v>944</v>
      </c>
      <c r="G200" s="1" t="s">
        <v>456</v>
      </c>
      <c r="H200" s="2" t="s">
        <v>945</v>
      </c>
      <c r="I200" s="1">
        <v>144</v>
      </c>
      <c r="J200" s="1">
        <v>0.2</v>
      </c>
      <c r="K200" s="1" t="s">
        <v>52</v>
      </c>
      <c r="L200" s="1" t="s">
        <v>52</v>
      </c>
      <c r="M200" s="1">
        <v>3.36</v>
      </c>
      <c r="N200" s="1">
        <v>46</v>
      </c>
      <c r="O200" s="1">
        <v>64.680000000000007</v>
      </c>
      <c r="P200" s="1">
        <v>-169.09971999999999</v>
      </c>
      <c r="Q200" s="1">
        <v>3.4125000000000001</v>
      </c>
      <c r="R200" s="1">
        <v>32.756999999999998</v>
      </c>
      <c r="S200" s="1">
        <v>317.726</v>
      </c>
      <c r="T200" s="1">
        <v>160.28</v>
      </c>
      <c r="U200" s="1">
        <v>28</v>
      </c>
      <c r="V200" s="1">
        <v>3200.00000000001</v>
      </c>
      <c r="W200" s="3">
        <v>1.0389999999999999</v>
      </c>
      <c r="X200" s="1" t="s">
        <v>946</v>
      </c>
      <c r="Y200" s="1">
        <v>3.26</v>
      </c>
      <c r="Z200" s="1">
        <v>0.14000000000000001</v>
      </c>
      <c r="AA200" s="1">
        <v>1.506</v>
      </c>
      <c r="AB200" s="1">
        <v>30.3</v>
      </c>
      <c r="AC200" s="1">
        <v>16.2</v>
      </c>
      <c r="AD200" s="1">
        <v>0.22</v>
      </c>
      <c r="AE200" s="1">
        <v>0.23</v>
      </c>
      <c r="AF200" s="1">
        <v>16.420000000000002</v>
      </c>
      <c r="AG200" s="1"/>
      <c r="AH200" s="1" t="s">
        <v>947</v>
      </c>
      <c r="AI200" s="1">
        <v>22</v>
      </c>
      <c r="AJ200" s="1" t="s">
        <v>946</v>
      </c>
      <c r="AK200" s="1">
        <v>2</v>
      </c>
      <c r="AL200" s="1">
        <v>74.444699999999997</v>
      </c>
      <c r="AM200" s="1" t="s">
        <v>946</v>
      </c>
      <c r="AN200" s="1">
        <v>5.7242857142857098</v>
      </c>
      <c r="AO200" s="1">
        <v>0.86404312668463601</v>
      </c>
      <c r="AP200" s="1"/>
      <c r="AQ200" s="1"/>
      <c r="AR200" s="1"/>
      <c r="AS200" s="1"/>
      <c r="AT200" s="1"/>
    </row>
    <row r="201" spans="1:46">
      <c r="A201" s="1" t="s">
        <v>948</v>
      </c>
      <c r="B201" s="1">
        <v>244</v>
      </c>
      <c r="C201" s="1" t="s">
        <v>948</v>
      </c>
      <c r="D201" s="1" t="s">
        <v>949</v>
      </c>
      <c r="E201" s="1" t="s">
        <v>47</v>
      </c>
      <c r="F201" s="1" t="s">
        <v>944</v>
      </c>
      <c r="G201" s="1" t="s">
        <v>456</v>
      </c>
      <c r="H201" s="2" t="s">
        <v>945</v>
      </c>
      <c r="I201" s="1">
        <v>144</v>
      </c>
      <c r="J201" s="1">
        <v>0.2</v>
      </c>
      <c r="K201" s="1" t="s">
        <v>512</v>
      </c>
      <c r="L201" s="1" t="s">
        <v>65</v>
      </c>
      <c r="M201" s="1">
        <v>16.68</v>
      </c>
      <c r="N201" s="1">
        <v>46</v>
      </c>
      <c r="O201" s="1">
        <v>64.680000000000007</v>
      </c>
      <c r="P201" s="1">
        <v>-169.09971999999999</v>
      </c>
      <c r="Q201" s="1">
        <v>2.8704999999999998</v>
      </c>
      <c r="R201" s="1">
        <v>32.773499999999999</v>
      </c>
      <c r="S201" s="1">
        <v>314.983</v>
      </c>
      <c r="T201" s="1">
        <v>202.9</v>
      </c>
      <c r="U201" s="1">
        <v>37.14</v>
      </c>
      <c r="V201" s="1">
        <v>2640</v>
      </c>
      <c r="W201" s="3">
        <v>3.1913</v>
      </c>
      <c r="X201" s="1" t="s">
        <v>950</v>
      </c>
      <c r="Y201" s="1">
        <v>2.4700000000000002</v>
      </c>
      <c r="Z201" s="1">
        <v>0.61</v>
      </c>
      <c r="AA201" s="1">
        <v>1.619</v>
      </c>
      <c r="AB201" s="1">
        <v>30.6</v>
      </c>
      <c r="AC201" s="1">
        <v>16.899999999999999</v>
      </c>
      <c r="AD201" s="1">
        <v>0.22</v>
      </c>
      <c r="AE201" s="1">
        <v>0.78</v>
      </c>
      <c r="AF201" s="1">
        <v>17.12</v>
      </c>
      <c r="AG201" s="1"/>
      <c r="AH201" s="1" t="s">
        <v>951</v>
      </c>
      <c r="AI201" s="1">
        <v>6</v>
      </c>
      <c r="AJ201" s="1" t="s">
        <v>950</v>
      </c>
      <c r="AK201" s="1">
        <v>2</v>
      </c>
      <c r="AL201" s="1">
        <v>79.050299999999993</v>
      </c>
      <c r="AM201" s="1" t="s">
        <v>950</v>
      </c>
      <c r="AN201" s="1">
        <v>5.4631125471190103</v>
      </c>
      <c r="AO201" s="1">
        <v>0.82462076182928401</v>
      </c>
      <c r="AP201" s="1"/>
      <c r="AQ201" s="1"/>
      <c r="AR201" s="1"/>
      <c r="AS201" s="1" t="s">
        <v>952</v>
      </c>
      <c r="AT201" s="1"/>
    </row>
    <row r="202" spans="1:46">
      <c r="A202" s="1" t="s">
        <v>953</v>
      </c>
      <c r="B202" s="1">
        <v>245</v>
      </c>
      <c r="C202" s="1" t="s">
        <v>953</v>
      </c>
      <c r="D202" s="1" t="s">
        <v>954</v>
      </c>
      <c r="E202" s="1" t="s">
        <v>47</v>
      </c>
      <c r="F202" s="1" t="s">
        <v>944</v>
      </c>
      <c r="G202" s="1" t="s">
        <v>456</v>
      </c>
      <c r="H202" s="2" t="s">
        <v>945</v>
      </c>
      <c r="I202" s="1">
        <v>144</v>
      </c>
      <c r="J202" s="1">
        <v>0.2</v>
      </c>
      <c r="K202" s="1" t="s">
        <v>150</v>
      </c>
      <c r="L202" s="1" t="s">
        <v>78</v>
      </c>
      <c r="M202" s="1">
        <v>41.6</v>
      </c>
      <c r="N202" s="1">
        <v>46</v>
      </c>
      <c r="O202" s="1">
        <v>64.67998</v>
      </c>
      <c r="P202" s="1">
        <v>-169.09974</v>
      </c>
      <c r="Q202" s="1">
        <v>2.7679999999999998</v>
      </c>
      <c r="R202" s="1">
        <v>32.786999999999999</v>
      </c>
      <c r="S202" s="1">
        <v>305.92700000000002</v>
      </c>
      <c r="T202" s="1">
        <v>197.06</v>
      </c>
      <c r="U202" s="1">
        <v>32.200000000000003</v>
      </c>
      <c r="V202" s="1">
        <v>6679.99999999999</v>
      </c>
      <c r="W202" s="3">
        <v>1.2794000000000001</v>
      </c>
      <c r="X202" s="1" t="s">
        <v>955</v>
      </c>
      <c r="Y202" s="1">
        <v>1.2</v>
      </c>
      <c r="Z202" s="1">
        <v>1.04</v>
      </c>
      <c r="AA202" s="1">
        <v>1.6759999999999999</v>
      </c>
      <c r="AB202" s="1">
        <v>31.1</v>
      </c>
      <c r="AC202" s="1">
        <v>16.7</v>
      </c>
      <c r="AD202" s="1">
        <v>0.22</v>
      </c>
      <c r="AE202" s="1">
        <v>1.74</v>
      </c>
      <c r="AF202" s="1">
        <v>16.920000000000002</v>
      </c>
      <c r="AG202" s="1"/>
      <c r="AH202" s="1" t="s">
        <v>956</v>
      </c>
      <c r="AI202" s="1">
        <v>1</v>
      </c>
      <c r="AJ202" s="1" t="s">
        <v>955</v>
      </c>
      <c r="AK202" s="1">
        <v>2</v>
      </c>
      <c r="AL202" s="1">
        <v>71.375</v>
      </c>
      <c r="AM202" s="1" t="s">
        <v>955</v>
      </c>
      <c r="AN202" s="1">
        <v>6.11987577639752</v>
      </c>
      <c r="AO202" s="1">
        <v>0.92375483417321003</v>
      </c>
      <c r="AP202" s="1"/>
      <c r="AQ202" s="1"/>
      <c r="AR202" s="1"/>
      <c r="AS202" s="1"/>
      <c r="AT202" s="1"/>
    </row>
    <row r="203" spans="1:46">
      <c r="A203" s="1" t="s">
        <v>957</v>
      </c>
      <c r="B203" s="1">
        <v>248</v>
      </c>
      <c r="C203" s="1" t="s">
        <v>957</v>
      </c>
      <c r="D203" s="1" t="s">
        <v>958</v>
      </c>
      <c r="E203" s="1" t="s">
        <v>47</v>
      </c>
      <c r="F203" s="1" t="s">
        <v>959</v>
      </c>
      <c r="G203" s="1" t="s">
        <v>456</v>
      </c>
      <c r="H203" s="2" t="s">
        <v>960</v>
      </c>
      <c r="I203" s="1">
        <v>146</v>
      </c>
      <c r="J203" s="1">
        <v>0.2</v>
      </c>
      <c r="K203" s="1" t="s">
        <v>961</v>
      </c>
      <c r="L203" s="1" t="s">
        <v>52</v>
      </c>
      <c r="M203" s="1">
        <v>3.78</v>
      </c>
      <c r="N203" s="1">
        <v>38</v>
      </c>
      <c r="O203" s="1">
        <v>64.670580000000001</v>
      </c>
      <c r="P203" s="1">
        <v>-168.24116000000001</v>
      </c>
      <c r="Q203" s="1">
        <v>5.4809999999999999</v>
      </c>
      <c r="R203" s="1">
        <v>32.291499999999999</v>
      </c>
      <c r="S203" s="1">
        <v>328.32799999999997</v>
      </c>
      <c r="T203" s="1">
        <v>475.72</v>
      </c>
      <c r="U203" s="1">
        <v>73.78</v>
      </c>
      <c r="V203" s="1">
        <v>3239.99999999999</v>
      </c>
      <c r="W203" s="3">
        <v>5.6139999999999999</v>
      </c>
      <c r="X203" s="1" t="s">
        <v>962</v>
      </c>
      <c r="Y203" s="1">
        <v>5.3</v>
      </c>
      <c r="Z203" s="1">
        <v>0.28000000000000003</v>
      </c>
      <c r="AA203" s="1"/>
      <c r="AB203" s="1"/>
      <c r="AC203" s="1"/>
      <c r="AD203" s="1"/>
      <c r="AE203" s="1"/>
      <c r="AF203" s="1"/>
      <c r="AG203" s="1"/>
      <c r="AH203" s="1" t="s">
        <v>963</v>
      </c>
      <c r="AI203" s="1">
        <v>7</v>
      </c>
      <c r="AJ203" s="1" t="s">
        <v>962</v>
      </c>
      <c r="AK203" s="1">
        <v>2</v>
      </c>
      <c r="AL203" s="1">
        <v>74.820099999999996</v>
      </c>
      <c r="AM203" s="1" t="s">
        <v>962</v>
      </c>
      <c r="AN203" s="1">
        <v>6.4478178368121402</v>
      </c>
      <c r="AO203" s="1">
        <v>0.97325552253768199</v>
      </c>
      <c r="AP203" s="1"/>
      <c r="AQ203" s="1"/>
      <c r="AR203" s="1"/>
      <c r="AS203" s="1" t="s">
        <v>964</v>
      </c>
      <c r="AT203" s="1"/>
    </row>
    <row r="204" spans="1:46">
      <c r="A204" s="1" t="s">
        <v>965</v>
      </c>
      <c r="B204" s="1">
        <v>249</v>
      </c>
      <c r="C204" s="1" t="s">
        <v>965</v>
      </c>
      <c r="D204" s="1" t="s">
        <v>966</v>
      </c>
      <c r="E204" s="1" t="s">
        <v>47</v>
      </c>
      <c r="F204" s="1" t="s">
        <v>959</v>
      </c>
      <c r="G204" s="1" t="s">
        <v>456</v>
      </c>
      <c r="H204" s="2" t="s">
        <v>960</v>
      </c>
      <c r="I204" s="1">
        <v>146</v>
      </c>
      <c r="J204" s="1">
        <v>0.2</v>
      </c>
      <c r="K204" s="1" t="s">
        <v>512</v>
      </c>
      <c r="L204" s="1" t="s">
        <v>65</v>
      </c>
      <c r="M204" s="1">
        <v>10.09</v>
      </c>
      <c r="N204" s="1">
        <v>38</v>
      </c>
      <c r="O204" s="1">
        <v>64.670580000000001</v>
      </c>
      <c r="P204" s="1">
        <v>-168.24116000000001</v>
      </c>
      <c r="Q204" s="1">
        <v>5.4444999999999997</v>
      </c>
      <c r="R204" s="1">
        <v>32.29</v>
      </c>
      <c r="S204" s="1">
        <v>327.44400000000002</v>
      </c>
      <c r="T204" s="1">
        <v>380.06</v>
      </c>
      <c r="U204" s="1">
        <v>62.52</v>
      </c>
      <c r="V204" s="1">
        <v>2920.00000000001</v>
      </c>
      <c r="W204" s="3">
        <v>5.0320999999999998</v>
      </c>
      <c r="X204" s="1" t="s">
        <v>967</v>
      </c>
      <c r="Y204" s="1">
        <v>3.65</v>
      </c>
      <c r="Z204" s="1">
        <v>0.65</v>
      </c>
      <c r="AA204" s="1">
        <v>0.36</v>
      </c>
      <c r="AB204" s="1">
        <v>7.3</v>
      </c>
      <c r="AC204" s="1">
        <v>0.1</v>
      </c>
      <c r="AD204" s="1">
        <v>0.02</v>
      </c>
      <c r="AE204" s="1">
        <v>0.15</v>
      </c>
      <c r="AF204" s="1">
        <v>0.12</v>
      </c>
      <c r="AG204" s="1"/>
      <c r="AH204" s="1" t="s">
        <v>968</v>
      </c>
      <c r="AI204" s="1">
        <v>5</v>
      </c>
      <c r="AJ204" s="1" t="s">
        <v>967</v>
      </c>
      <c r="AK204" s="1">
        <v>2</v>
      </c>
      <c r="AL204" s="1">
        <v>76.4542</v>
      </c>
      <c r="AM204" s="1" t="s">
        <v>967</v>
      </c>
      <c r="AN204" s="1">
        <v>6.0790147152911098</v>
      </c>
      <c r="AO204" s="1">
        <v>0.91758712683639299</v>
      </c>
      <c r="AP204" s="1"/>
      <c r="AQ204" s="1"/>
      <c r="AR204" s="1"/>
      <c r="AS204" s="1"/>
      <c r="AT204" s="1"/>
    </row>
    <row r="205" spans="1:46">
      <c r="A205" s="1" t="s">
        <v>969</v>
      </c>
      <c r="B205" s="1">
        <v>250</v>
      </c>
      <c r="C205" s="1" t="s">
        <v>969</v>
      </c>
      <c r="D205" s="1" t="s">
        <v>970</v>
      </c>
      <c r="E205" s="1" t="s">
        <v>47</v>
      </c>
      <c r="F205" s="1" t="s">
        <v>959</v>
      </c>
      <c r="G205" s="1" t="s">
        <v>456</v>
      </c>
      <c r="H205" s="2" t="s">
        <v>960</v>
      </c>
      <c r="I205" s="1">
        <v>146</v>
      </c>
      <c r="J205" s="1">
        <v>0.2</v>
      </c>
      <c r="K205" s="1" t="s">
        <v>150</v>
      </c>
      <c r="L205" s="1" t="s">
        <v>78</v>
      </c>
      <c r="M205" s="1">
        <v>34.71</v>
      </c>
      <c r="N205" s="1">
        <v>38</v>
      </c>
      <c r="O205" s="1">
        <v>64.670580000000001</v>
      </c>
      <c r="P205" s="1">
        <v>-168.24118000000001</v>
      </c>
      <c r="Q205" s="1">
        <v>2.4085000000000001</v>
      </c>
      <c r="R205" s="1">
        <v>32.366500000000002</v>
      </c>
      <c r="S205" s="1">
        <v>282.23</v>
      </c>
      <c r="T205" s="1">
        <v>427</v>
      </c>
      <c r="U205" s="1">
        <v>67.7</v>
      </c>
      <c r="V205" s="1">
        <v>6300</v>
      </c>
      <c r="W205" s="3">
        <v>6.1714000000000002</v>
      </c>
      <c r="X205" s="1" t="s">
        <v>971</v>
      </c>
      <c r="Y205" s="1">
        <v>5.16</v>
      </c>
      <c r="Z205" s="1">
        <v>3.64</v>
      </c>
      <c r="AA205" s="1">
        <v>1.1299999999999999</v>
      </c>
      <c r="AB205" s="1">
        <v>3.4</v>
      </c>
      <c r="AC205" s="1">
        <v>4</v>
      </c>
      <c r="AD205" s="1">
        <v>0.13</v>
      </c>
      <c r="AE205" s="1">
        <v>3.21</v>
      </c>
      <c r="AF205" s="1">
        <v>4.13</v>
      </c>
      <c r="AG205" s="1"/>
      <c r="AH205" s="1" t="s">
        <v>972</v>
      </c>
      <c r="AI205" s="1">
        <v>1</v>
      </c>
      <c r="AJ205" s="1" t="s">
        <v>971</v>
      </c>
      <c r="AK205" s="1">
        <v>2</v>
      </c>
      <c r="AL205" s="1">
        <v>61.221400000000003</v>
      </c>
      <c r="AM205" s="1" t="s">
        <v>971</v>
      </c>
      <c r="AN205" s="1">
        <v>6.3072378138847904</v>
      </c>
      <c r="AO205" s="1">
        <v>0.95203589643543896</v>
      </c>
      <c r="AP205" s="1"/>
      <c r="AQ205" s="1"/>
      <c r="AR205" s="1"/>
      <c r="AS205" s="1"/>
      <c r="AT205" s="1"/>
    </row>
    <row r="206" spans="1:46">
      <c r="A206" s="1" t="s">
        <v>973</v>
      </c>
      <c r="B206" s="1">
        <v>251</v>
      </c>
      <c r="C206" s="1" t="s">
        <v>973</v>
      </c>
      <c r="D206" s="1" t="s">
        <v>974</v>
      </c>
      <c r="E206" s="1" t="s">
        <v>47</v>
      </c>
      <c r="F206" s="1" t="s">
        <v>975</v>
      </c>
      <c r="G206" s="1" t="s">
        <v>456</v>
      </c>
      <c r="H206" s="2" t="s">
        <v>976</v>
      </c>
      <c r="I206" s="1">
        <v>148</v>
      </c>
      <c r="J206" s="1">
        <v>0.2</v>
      </c>
      <c r="K206" s="1" t="s">
        <v>52</v>
      </c>
      <c r="L206" s="1" t="s">
        <v>52</v>
      </c>
      <c r="M206" s="1">
        <v>3.57</v>
      </c>
      <c r="N206" s="1">
        <v>31</v>
      </c>
      <c r="O206" s="1">
        <v>64.681790000000007</v>
      </c>
      <c r="P206" s="1">
        <v>-167.39789999999999</v>
      </c>
      <c r="Q206" s="1">
        <v>6.9050000000000002</v>
      </c>
      <c r="R206" s="1">
        <v>31.95</v>
      </c>
      <c r="S206" s="1">
        <v>301.48</v>
      </c>
      <c r="T206" s="1">
        <v>174.38</v>
      </c>
      <c r="U206" s="1">
        <v>38.54</v>
      </c>
      <c r="V206" s="1">
        <v>2360</v>
      </c>
      <c r="W206" s="3">
        <v>0.31780000000000003</v>
      </c>
      <c r="X206" s="1" t="s">
        <v>977</v>
      </c>
      <c r="Y206" s="1">
        <v>0.28999999999999998</v>
      </c>
      <c r="Z206" s="1">
        <v>0.17</v>
      </c>
      <c r="AA206" s="1">
        <v>0.35899999999999999</v>
      </c>
      <c r="AB206" s="1">
        <v>1.2</v>
      </c>
      <c r="AC206" s="1">
        <v>0.1</v>
      </c>
      <c r="AD206" s="1">
        <v>0</v>
      </c>
      <c r="AE206" s="1">
        <v>0.13</v>
      </c>
      <c r="AF206" s="1">
        <v>0.1</v>
      </c>
      <c r="AG206" s="1"/>
      <c r="AH206" s="1" t="s">
        <v>978</v>
      </c>
      <c r="AI206" s="1">
        <v>4</v>
      </c>
      <c r="AJ206" s="1" t="s">
        <v>977</v>
      </c>
      <c r="AK206" s="1">
        <v>2</v>
      </c>
      <c r="AL206" s="1">
        <v>91.761600000000001</v>
      </c>
      <c r="AM206" s="1" t="s">
        <v>977</v>
      </c>
      <c r="AN206" s="1">
        <v>4.5246497145822504</v>
      </c>
      <c r="AO206" s="1">
        <v>0.68296599465392505</v>
      </c>
      <c r="AP206" s="1"/>
      <c r="AQ206" s="1"/>
      <c r="AR206" s="1"/>
      <c r="AS206" s="1"/>
      <c r="AT206" s="1"/>
    </row>
    <row r="207" spans="1:46">
      <c r="A207" s="1" t="s">
        <v>979</v>
      </c>
      <c r="B207" s="1">
        <v>252</v>
      </c>
      <c r="C207" s="1" t="s">
        <v>979</v>
      </c>
      <c r="D207" s="1" t="s">
        <v>980</v>
      </c>
      <c r="E207" s="1" t="s">
        <v>47</v>
      </c>
      <c r="F207" s="1" t="s">
        <v>975</v>
      </c>
      <c r="G207" s="1" t="s">
        <v>456</v>
      </c>
      <c r="H207" s="2" t="s">
        <v>976</v>
      </c>
      <c r="I207" s="1">
        <v>148</v>
      </c>
      <c r="J207" s="1">
        <v>0.2</v>
      </c>
      <c r="K207" s="1" t="s">
        <v>486</v>
      </c>
      <c r="L207" s="1" t="s">
        <v>65</v>
      </c>
      <c r="M207" s="1">
        <v>9.61</v>
      </c>
      <c r="N207" s="1">
        <v>31</v>
      </c>
      <c r="O207" s="1">
        <v>64.681560000000005</v>
      </c>
      <c r="P207" s="1">
        <v>-167.39796000000001</v>
      </c>
      <c r="Q207" s="1">
        <v>6.3404999999999996</v>
      </c>
      <c r="R207" s="1">
        <v>31.9755</v>
      </c>
      <c r="S207" s="1">
        <v>310.52800000000002</v>
      </c>
      <c r="T207" s="1">
        <v>182.48</v>
      </c>
      <c r="U207" s="1">
        <v>40.619999999999997</v>
      </c>
      <c r="V207" s="1">
        <v>1760</v>
      </c>
      <c r="W207" s="3">
        <v>0.47620000000000001</v>
      </c>
      <c r="X207" s="1" t="s">
        <v>981</v>
      </c>
      <c r="Y207" s="1">
        <v>0.93</v>
      </c>
      <c r="Z207" s="1">
        <v>0.34</v>
      </c>
      <c r="AA207" s="1">
        <v>0.61599999999999999</v>
      </c>
      <c r="AB207" s="1">
        <v>5.8</v>
      </c>
      <c r="AC207" s="1">
        <v>0.1</v>
      </c>
      <c r="AD207" s="1">
        <v>0.01</v>
      </c>
      <c r="AE207" s="1">
        <v>0.55000000000000004</v>
      </c>
      <c r="AF207" s="1">
        <v>0.11</v>
      </c>
      <c r="AG207" s="1"/>
      <c r="AH207" s="1" t="s">
        <v>982</v>
      </c>
      <c r="AI207" s="1">
        <v>3</v>
      </c>
      <c r="AJ207" s="1" t="s">
        <v>981</v>
      </c>
      <c r="AK207" s="1">
        <v>2</v>
      </c>
      <c r="AL207" s="1">
        <v>89.837400000000002</v>
      </c>
      <c r="AM207" s="1" t="s">
        <v>981</v>
      </c>
      <c r="AN207" s="1">
        <v>4.4923682914820304</v>
      </c>
      <c r="AO207" s="1">
        <v>0.67809332701615499</v>
      </c>
      <c r="AP207" s="1"/>
      <c r="AQ207" s="1"/>
      <c r="AR207" s="1"/>
      <c r="AS207" s="1"/>
      <c r="AT207" s="1"/>
    </row>
    <row r="208" spans="1:46">
      <c r="A208" s="1" t="s">
        <v>983</v>
      </c>
      <c r="B208" s="1">
        <v>253</v>
      </c>
      <c r="C208" s="1" t="s">
        <v>983</v>
      </c>
      <c r="D208" s="1" t="s">
        <v>984</v>
      </c>
      <c r="E208" s="1" t="s">
        <v>47</v>
      </c>
      <c r="F208" s="1" t="s">
        <v>975</v>
      </c>
      <c r="G208" s="1" t="s">
        <v>456</v>
      </c>
      <c r="H208" s="2" t="s">
        <v>976</v>
      </c>
      <c r="I208" s="1">
        <v>148</v>
      </c>
      <c r="J208" s="1">
        <v>0.2</v>
      </c>
      <c r="K208" s="1" t="s">
        <v>150</v>
      </c>
      <c r="L208" s="1" t="s">
        <v>78</v>
      </c>
      <c r="M208" s="1">
        <v>27.73</v>
      </c>
      <c r="N208" s="1">
        <v>31</v>
      </c>
      <c r="O208" s="1">
        <v>64.681030000000007</v>
      </c>
      <c r="P208" s="1">
        <v>-167.39830000000001</v>
      </c>
      <c r="Q208" s="1">
        <v>1.18</v>
      </c>
      <c r="R208" s="1">
        <v>32.103000000000002</v>
      </c>
      <c r="S208" s="1">
        <v>373.74900000000002</v>
      </c>
      <c r="T208" s="1">
        <v>736.94</v>
      </c>
      <c r="U208" s="1">
        <v>145.06</v>
      </c>
      <c r="V208" s="1">
        <v>3540</v>
      </c>
      <c r="W208" s="3">
        <v>1.3703000000000001</v>
      </c>
      <c r="X208" s="1" t="s">
        <v>985</v>
      </c>
      <c r="Y208" s="1">
        <v>0.98</v>
      </c>
      <c r="Z208" s="1">
        <v>0.61</v>
      </c>
      <c r="AA208" s="1">
        <v>0.73599999999999999</v>
      </c>
      <c r="AB208" s="1">
        <v>4</v>
      </c>
      <c r="AC208" s="1">
        <v>0.2</v>
      </c>
      <c r="AD208" s="1">
        <v>0.02</v>
      </c>
      <c r="AE208" s="1">
        <v>0.84</v>
      </c>
      <c r="AF208" s="1">
        <v>0.22</v>
      </c>
      <c r="AG208" s="1"/>
      <c r="AH208" s="1" t="s">
        <v>986</v>
      </c>
      <c r="AI208" s="1">
        <v>1</v>
      </c>
      <c r="AJ208" s="1" t="s">
        <v>985</v>
      </c>
      <c r="AK208" s="1">
        <v>2</v>
      </c>
      <c r="AL208" s="1">
        <v>80.609700000000004</v>
      </c>
      <c r="AM208" s="1" t="s">
        <v>985</v>
      </c>
      <c r="AN208" s="1">
        <v>5.0802426582104001</v>
      </c>
      <c r="AO208" s="1">
        <v>0.76682908048458798</v>
      </c>
      <c r="AP208" s="1"/>
      <c r="AQ208" s="1"/>
      <c r="AR208" s="1"/>
      <c r="AS208" s="1"/>
      <c r="AT208" s="1"/>
    </row>
    <row r="209" spans="1:46">
      <c r="A209" s="1" t="s">
        <v>987</v>
      </c>
      <c r="B209" s="1">
        <v>217</v>
      </c>
      <c r="C209" s="1" t="s">
        <v>987</v>
      </c>
      <c r="D209" s="1" t="s">
        <v>988</v>
      </c>
      <c r="E209" s="1" t="s">
        <v>47</v>
      </c>
      <c r="F209" s="1" t="s">
        <v>989</v>
      </c>
      <c r="G209" s="1" t="s">
        <v>456</v>
      </c>
      <c r="H209" s="2" t="s">
        <v>990</v>
      </c>
      <c r="I209" s="1">
        <v>128</v>
      </c>
      <c r="J209" s="1">
        <v>0.2</v>
      </c>
      <c r="K209" s="1" t="s">
        <v>52</v>
      </c>
      <c r="L209" s="1" t="s">
        <v>52</v>
      </c>
      <c r="M209" s="1">
        <v>4.22</v>
      </c>
      <c r="N209" s="1">
        <v>48</v>
      </c>
      <c r="O209" s="1">
        <v>64.99042</v>
      </c>
      <c r="P209" s="1">
        <v>-169.13971000000001</v>
      </c>
      <c r="Q209" s="1">
        <v>3.3140000000000001</v>
      </c>
      <c r="R209" s="1">
        <v>32.884</v>
      </c>
      <c r="S209" s="1">
        <v>321.76799999999997</v>
      </c>
      <c r="T209" s="1"/>
      <c r="U209" s="1"/>
      <c r="V209" s="1"/>
      <c r="W209" s="3">
        <v>1.0767</v>
      </c>
      <c r="X209" s="1" t="s">
        <v>991</v>
      </c>
      <c r="Y209" s="1">
        <v>1.69</v>
      </c>
      <c r="Z209" s="1">
        <v>1.21</v>
      </c>
      <c r="AA209" s="1">
        <v>1.4750000000000001</v>
      </c>
      <c r="AB209" s="1">
        <v>25.5</v>
      </c>
      <c r="AC209" s="1">
        <v>15.1</v>
      </c>
      <c r="AD209" s="1">
        <v>0.19</v>
      </c>
      <c r="AE209" s="1">
        <v>1.47</v>
      </c>
      <c r="AF209" s="1">
        <v>15.29</v>
      </c>
      <c r="AG209" s="1"/>
      <c r="AH209" s="1" t="s">
        <v>992</v>
      </c>
      <c r="AI209" s="1">
        <v>5</v>
      </c>
      <c r="AJ209" s="1" t="s">
        <v>991</v>
      </c>
      <c r="AK209" s="1">
        <v>10</v>
      </c>
      <c r="AL209" s="1">
        <v>78.431700000000006</v>
      </c>
      <c r="AM209" s="1" t="s">
        <v>991</v>
      </c>
      <c r="AN209" s="1"/>
      <c r="AO209" s="1"/>
      <c r="AP209" s="1"/>
      <c r="AQ209" s="1"/>
      <c r="AR209" s="1"/>
      <c r="AS209" s="1"/>
      <c r="AT209" s="1"/>
    </row>
    <row r="210" spans="1:46">
      <c r="A210" s="1" t="s">
        <v>993</v>
      </c>
      <c r="B210" s="1">
        <v>218</v>
      </c>
      <c r="C210" s="1" t="s">
        <v>993</v>
      </c>
      <c r="D210" s="1" t="s">
        <v>994</v>
      </c>
      <c r="E210" s="1" t="s">
        <v>47</v>
      </c>
      <c r="F210" s="1" t="s">
        <v>989</v>
      </c>
      <c r="G210" s="1" t="s">
        <v>456</v>
      </c>
      <c r="H210" s="2" t="s">
        <v>990</v>
      </c>
      <c r="I210" s="1">
        <v>128</v>
      </c>
      <c r="J210" s="1">
        <v>0.2</v>
      </c>
      <c r="K210" s="1" t="s">
        <v>150</v>
      </c>
      <c r="L210" s="1" t="s">
        <v>78</v>
      </c>
      <c r="M210" s="1">
        <v>44.96</v>
      </c>
      <c r="N210" s="1">
        <v>48</v>
      </c>
      <c r="O210" s="1">
        <v>64.99042</v>
      </c>
      <c r="P210" s="1">
        <v>-169.13972000000001</v>
      </c>
      <c r="Q210" s="1">
        <v>3.2719999999999998</v>
      </c>
      <c r="R210" s="1">
        <v>32.880499999999998</v>
      </c>
      <c r="S210" s="1">
        <v>319.97000000000003</v>
      </c>
      <c r="T210" s="1">
        <v>220.32</v>
      </c>
      <c r="U210" s="1">
        <v>36.26</v>
      </c>
      <c r="V210" s="1">
        <v>17560</v>
      </c>
      <c r="W210" s="3">
        <v>1.3583000000000001</v>
      </c>
      <c r="X210" s="1" t="s">
        <v>995</v>
      </c>
      <c r="Y210" s="1">
        <v>1.83</v>
      </c>
      <c r="Z210" s="1">
        <v>0.85</v>
      </c>
      <c r="AA210" s="1">
        <v>1.4890000000000001</v>
      </c>
      <c r="AB210" s="1">
        <v>25.9</v>
      </c>
      <c r="AC210" s="1">
        <v>15.1</v>
      </c>
      <c r="AD210" s="1">
        <v>0.19</v>
      </c>
      <c r="AE210" s="1">
        <v>1.65</v>
      </c>
      <c r="AF210" s="1">
        <v>15.29</v>
      </c>
      <c r="AG210" s="1"/>
      <c r="AH210" s="1" t="s">
        <v>996</v>
      </c>
      <c r="AI210" s="1">
        <v>1</v>
      </c>
      <c r="AJ210" s="1" t="s">
        <v>995</v>
      </c>
      <c r="AK210" s="1">
        <v>10</v>
      </c>
      <c r="AL210" s="1">
        <v>76.856800000000007</v>
      </c>
      <c r="AM210" s="1" t="s">
        <v>995</v>
      </c>
      <c r="AN210" s="1">
        <v>6.0761169332597902</v>
      </c>
      <c r="AO210" s="1">
        <v>0.91714972577506304</v>
      </c>
      <c r="AP210" s="1"/>
      <c r="AQ210" s="1"/>
      <c r="AR210" s="1"/>
      <c r="AS210" s="1"/>
      <c r="AT210" s="1"/>
    </row>
    <row r="211" spans="1:46">
      <c r="A211" s="1" t="s">
        <v>997</v>
      </c>
      <c r="B211" s="1">
        <v>164</v>
      </c>
      <c r="C211" s="1" t="s">
        <v>997</v>
      </c>
      <c r="D211" s="1" t="s">
        <v>998</v>
      </c>
      <c r="E211" s="1" t="s">
        <v>47</v>
      </c>
      <c r="F211" s="1" t="s">
        <v>999</v>
      </c>
      <c r="G211" s="1" t="s">
        <v>456</v>
      </c>
      <c r="H211" s="2" t="s">
        <v>1000</v>
      </c>
      <c r="I211" s="1">
        <v>88</v>
      </c>
      <c r="J211" s="1">
        <v>0.2</v>
      </c>
      <c r="K211" s="1" t="s">
        <v>52</v>
      </c>
      <c r="L211" s="1" t="s">
        <v>52</v>
      </c>
      <c r="M211" s="1">
        <v>3.44</v>
      </c>
      <c r="N211" s="1">
        <v>35</v>
      </c>
      <c r="O211" s="1">
        <v>68.300420000000003</v>
      </c>
      <c r="P211" s="1">
        <v>-166.94126</v>
      </c>
      <c r="Q211" s="1">
        <v>6.08</v>
      </c>
      <c r="R211" s="1">
        <v>30.81</v>
      </c>
      <c r="S211" s="1">
        <v>309.47699999999998</v>
      </c>
      <c r="T211" s="1">
        <v>187.46</v>
      </c>
      <c r="U211" s="1">
        <v>32.26</v>
      </c>
      <c r="V211" s="1">
        <v>1020.00000000001</v>
      </c>
      <c r="W211" s="3">
        <v>0.31950000000000001</v>
      </c>
      <c r="X211" s="1" t="s">
        <v>1001</v>
      </c>
      <c r="Y211" s="1">
        <v>0.37</v>
      </c>
      <c r="Z211" s="1">
        <v>0.16</v>
      </c>
      <c r="AA211" s="1">
        <v>0.41099999999999998</v>
      </c>
      <c r="AB211" s="1">
        <v>2.6</v>
      </c>
      <c r="AC211" s="1">
        <v>0</v>
      </c>
      <c r="AD211" s="1">
        <v>0</v>
      </c>
      <c r="AE211" s="1">
        <v>0</v>
      </c>
      <c r="AF211" s="1">
        <v>0</v>
      </c>
      <c r="AG211" s="1"/>
      <c r="AH211" s="1" t="s">
        <v>1002</v>
      </c>
      <c r="AI211" s="1">
        <v>5</v>
      </c>
      <c r="AJ211" s="1" t="s">
        <v>1001</v>
      </c>
      <c r="AK211" s="1">
        <v>2</v>
      </c>
      <c r="AL211" s="1">
        <v>90.475800000000007</v>
      </c>
      <c r="AM211" s="1" t="s">
        <v>1001</v>
      </c>
      <c r="AN211" s="1">
        <v>5.8109113453192798</v>
      </c>
      <c r="AO211" s="1">
        <v>0.87711869363309902</v>
      </c>
      <c r="AP211" s="1"/>
      <c r="AQ211" s="1"/>
      <c r="AR211" s="1"/>
      <c r="AS211" s="1"/>
      <c r="AT211" s="1"/>
    </row>
    <row r="212" spans="1:46">
      <c r="A212" s="1" t="s">
        <v>1003</v>
      </c>
      <c r="B212" s="1">
        <v>165</v>
      </c>
      <c r="C212" s="1" t="s">
        <v>1003</v>
      </c>
      <c r="D212" s="1" t="s">
        <v>1004</v>
      </c>
      <c r="E212" s="1" t="s">
        <v>47</v>
      </c>
      <c r="F212" s="1" t="s">
        <v>999</v>
      </c>
      <c r="G212" s="1" t="s">
        <v>456</v>
      </c>
      <c r="H212" s="2" t="s">
        <v>1000</v>
      </c>
      <c r="I212" s="1">
        <v>88</v>
      </c>
      <c r="J212" s="1">
        <v>0.2</v>
      </c>
      <c r="K212" s="1" t="s">
        <v>65</v>
      </c>
      <c r="L212" s="1" t="s">
        <v>65</v>
      </c>
      <c r="M212" s="1">
        <v>15.25</v>
      </c>
      <c r="N212" s="1">
        <v>35</v>
      </c>
      <c r="O212" s="1">
        <v>68.300420000000003</v>
      </c>
      <c r="P212" s="1">
        <v>-166.94126</v>
      </c>
      <c r="Q212" s="1">
        <v>1.7755000000000001</v>
      </c>
      <c r="R212" s="1">
        <v>31.252500000000001</v>
      </c>
      <c r="S212" s="1">
        <v>381.76499999999999</v>
      </c>
      <c r="T212" s="1"/>
      <c r="U212" s="1"/>
      <c r="V212" s="1"/>
      <c r="W212" s="3">
        <v>0.64119999999999999</v>
      </c>
      <c r="X212" s="1" t="s">
        <v>1005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1006</v>
      </c>
      <c r="AI212" s="1">
        <v>3</v>
      </c>
      <c r="AJ212" s="1" t="s">
        <v>1005</v>
      </c>
      <c r="AK212" s="1">
        <v>2</v>
      </c>
      <c r="AL212" s="1">
        <v>89.798500000000004</v>
      </c>
      <c r="AM212" s="1" t="s">
        <v>1005</v>
      </c>
      <c r="AN212" s="1"/>
      <c r="AO212" s="1"/>
      <c r="AP212" s="1"/>
      <c r="AQ212" s="1"/>
      <c r="AR212" s="1"/>
      <c r="AS212" s="1"/>
      <c r="AT212" s="1"/>
    </row>
    <row r="213" spans="1:46">
      <c r="A213" s="1" t="s">
        <v>1007</v>
      </c>
      <c r="B213" s="1">
        <v>166</v>
      </c>
      <c r="C213" s="1" t="s">
        <v>1007</v>
      </c>
      <c r="D213" s="1" t="s">
        <v>1008</v>
      </c>
      <c r="E213" s="1" t="s">
        <v>47</v>
      </c>
      <c r="F213" s="1" t="s">
        <v>999</v>
      </c>
      <c r="G213" s="1" t="s">
        <v>456</v>
      </c>
      <c r="H213" s="2" t="s">
        <v>1000</v>
      </c>
      <c r="I213" s="1">
        <v>88</v>
      </c>
      <c r="J213" s="1">
        <v>0.2</v>
      </c>
      <c r="K213" s="1" t="s">
        <v>150</v>
      </c>
      <c r="L213" s="1" t="s">
        <v>78</v>
      </c>
      <c r="M213" s="1">
        <v>32.04</v>
      </c>
      <c r="N213" s="1">
        <v>35</v>
      </c>
      <c r="O213" s="1">
        <v>68.300420000000003</v>
      </c>
      <c r="P213" s="1">
        <v>-166.94126</v>
      </c>
      <c r="Q213" s="1">
        <v>0.76200000000000001</v>
      </c>
      <c r="R213" s="1">
        <v>31.422499999999999</v>
      </c>
      <c r="S213" s="1">
        <v>398.90899999999999</v>
      </c>
      <c r="T213" s="1">
        <v>133.68</v>
      </c>
      <c r="U213" s="1">
        <v>20.66</v>
      </c>
      <c r="V213" s="1">
        <v>1580.00000000001</v>
      </c>
      <c r="W213" s="3">
        <v>0.73150000000000004</v>
      </c>
      <c r="X213" s="1" t="s">
        <v>1009</v>
      </c>
      <c r="Y213" s="1">
        <v>0.63</v>
      </c>
      <c r="Z213" s="1">
        <v>0.3</v>
      </c>
      <c r="AA213" s="1">
        <v>0.59699999999999998</v>
      </c>
      <c r="AB213" s="1">
        <v>6.4</v>
      </c>
      <c r="AC213" s="1">
        <v>0</v>
      </c>
      <c r="AD213" s="1">
        <v>0</v>
      </c>
      <c r="AE213" s="1">
        <v>0.18</v>
      </c>
      <c r="AF213" s="1">
        <v>0</v>
      </c>
      <c r="AG213" s="1"/>
      <c r="AH213" s="1" t="s">
        <v>1010</v>
      </c>
      <c r="AI213" s="1">
        <v>1</v>
      </c>
      <c r="AJ213" s="1" t="s">
        <v>1009</v>
      </c>
      <c r="AK213" s="1">
        <v>2</v>
      </c>
      <c r="AL213" s="1">
        <v>89.919600000000003</v>
      </c>
      <c r="AM213" s="1" t="s">
        <v>1009</v>
      </c>
      <c r="AN213" s="1">
        <v>6.4704743465634103</v>
      </c>
      <c r="AO213" s="1">
        <v>0.97667537306617502</v>
      </c>
      <c r="AP213" s="1"/>
      <c r="AQ213" s="1"/>
      <c r="AR213" s="1"/>
      <c r="AS213" s="1"/>
      <c r="AT213" s="1"/>
    </row>
    <row r="214" spans="1:46">
      <c r="A214" s="1" t="s">
        <v>1011</v>
      </c>
      <c r="B214" s="1">
        <v>161</v>
      </c>
      <c r="C214" s="1" t="s">
        <v>1011</v>
      </c>
      <c r="D214" s="1" t="s">
        <v>1012</v>
      </c>
      <c r="E214" s="1" t="s">
        <v>47</v>
      </c>
      <c r="F214" s="1" t="s">
        <v>1013</v>
      </c>
      <c r="G214" s="1" t="s">
        <v>456</v>
      </c>
      <c r="H214" s="2" t="s">
        <v>1014</v>
      </c>
      <c r="I214" s="1">
        <v>87</v>
      </c>
      <c r="J214" s="1">
        <v>0.2</v>
      </c>
      <c r="K214" s="1" t="s">
        <v>52</v>
      </c>
      <c r="L214" s="1" t="s">
        <v>52</v>
      </c>
      <c r="M214" s="1">
        <v>3.22</v>
      </c>
      <c r="N214" s="1">
        <v>43</v>
      </c>
      <c r="O214" s="1">
        <v>68.242279999999994</v>
      </c>
      <c r="P214" s="1">
        <v>-167.11974000000001</v>
      </c>
      <c r="Q214" s="1">
        <v>1.1425000000000001</v>
      </c>
      <c r="R214" s="1">
        <v>31.683</v>
      </c>
      <c r="S214" s="1">
        <v>378.495</v>
      </c>
      <c r="T214" s="1">
        <v>219.78</v>
      </c>
      <c r="U214" s="1">
        <v>38.700000000000003</v>
      </c>
      <c r="V214" s="1">
        <v>1960</v>
      </c>
      <c r="W214" s="3">
        <v>0.76929999999999998</v>
      </c>
      <c r="X214" s="1" t="s">
        <v>1015</v>
      </c>
      <c r="Y214" s="1">
        <v>1.1399999999999999</v>
      </c>
      <c r="Z214" s="1">
        <v>0.6</v>
      </c>
      <c r="AA214" s="1">
        <v>0.65300000000000002</v>
      </c>
      <c r="AB214" s="1">
        <v>4.9000000000000004</v>
      </c>
      <c r="AC214" s="1">
        <v>0.4</v>
      </c>
      <c r="AD214" s="1">
        <v>0.03</v>
      </c>
      <c r="AE214" s="1">
        <v>0.44</v>
      </c>
      <c r="AF214" s="1">
        <v>0.43</v>
      </c>
      <c r="AG214" s="1"/>
      <c r="AH214" s="1" t="s">
        <v>1016</v>
      </c>
      <c r="AI214" s="1">
        <v>5</v>
      </c>
      <c r="AJ214" s="1" t="s">
        <v>1015</v>
      </c>
      <c r="AK214" s="1">
        <v>2</v>
      </c>
      <c r="AL214" s="1">
        <v>87.6584</v>
      </c>
      <c r="AM214" s="1" t="s">
        <v>1015</v>
      </c>
      <c r="AN214" s="1">
        <v>5.6790697674418604</v>
      </c>
      <c r="AO214" s="1">
        <v>0.85721807810443196</v>
      </c>
      <c r="AP214" s="1"/>
      <c r="AQ214" s="1"/>
      <c r="AR214" s="1"/>
      <c r="AS214" s="1"/>
      <c r="AT214" s="1"/>
    </row>
    <row r="215" spans="1:46">
      <c r="A215" s="1" t="s">
        <v>1017</v>
      </c>
      <c r="B215" s="1">
        <v>162</v>
      </c>
      <c r="C215" s="1" t="s">
        <v>1017</v>
      </c>
      <c r="D215" s="1" t="s">
        <v>1018</v>
      </c>
      <c r="E215" s="1" t="s">
        <v>47</v>
      </c>
      <c r="F215" s="1" t="s">
        <v>1013</v>
      </c>
      <c r="G215" s="1" t="s">
        <v>456</v>
      </c>
      <c r="H215" s="2" t="s">
        <v>1014</v>
      </c>
      <c r="I215" s="1">
        <v>87</v>
      </c>
      <c r="J215" s="1">
        <v>0.2</v>
      </c>
      <c r="K215" s="1" t="s">
        <v>65</v>
      </c>
      <c r="L215" s="1" t="s">
        <v>65</v>
      </c>
      <c r="M215" s="1">
        <v>20.010000000000002</v>
      </c>
      <c r="N215" s="1">
        <v>43</v>
      </c>
      <c r="O215" s="1">
        <v>68.242279999999994</v>
      </c>
      <c r="P215" s="1">
        <v>-167.11975000000001</v>
      </c>
      <c r="Q215" s="1">
        <v>1.107</v>
      </c>
      <c r="R215" s="1">
        <v>31.688500000000001</v>
      </c>
      <c r="S215" s="1">
        <v>380.21600000000001</v>
      </c>
      <c r="T215" s="1"/>
      <c r="U215" s="1"/>
      <c r="V215" s="1"/>
      <c r="W215" s="3">
        <v>1.1771</v>
      </c>
      <c r="X215" s="1" t="s">
        <v>1019</v>
      </c>
      <c r="Y215" s="1">
        <v>0.94</v>
      </c>
      <c r="Z215" s="1">
        <v>0.78</v>
      </c>
      <c r="AA215" s="1">
        <v>0.64300000000000002</v>
      </c>
      <c r="AB215" s="1">
        <v>4.2</v>
      </c>
      <c r="AC215" s="1">
        <v>0.4</v>
      </c>
      <c r="AD215" s="1">
        <v>0.02</v>
      </c>
      <c r="AE215" s="1">
        <v>0.51</v>
      </c>
      <c r="AF215" s="1">
        <v>0.42</v>
      </c>
      <c r="AG215" s="1"/>
      <c r="AH215" s="1" t="s">
        <v>1020</v>
      </c>
      <c r="AI215" s="1">
        <v>3</v>
      </c>
      <c r="AJ215" s="1" t="s">
        <v>1019</v>
      </c>
      <c r="AK215" s="1">
        <v>2</v>
      </c>
      <c r="AL215" s="1">
        <v>87.5762</v>
      </c>
      <c r="AM215" s="1" t="s">
        <v>1019</v>
      </c>
      <c r="AN215" s="1"/>
      <c r="AO215" s="1"/>
      <c r="AP215" s="1"/>
      <c r="AQ215" s="1"/>
      <c r="AR215" s="1"/>
      <c r="AS215" s="1"/>
      <c r="AT215" s="1"/>
    </row>
    <row r="216" spans="1:46">
      <c r="A216" s="1" t="s">
        <v>1021</v>
      </c>
      <c r="B216" s="1">
        <v>163</v>
      </c>
      <c r="C216" s="1" t="s">
        <v>1021</v>
      </c>
      <c r="D216" s="1" t="s">
        <v>1022</v>
      </c>
      <c r="E216" s="1" t="s">
        <v>47</v>
      </c>
      <c r="F216" s="1" t="s">
        <v>1013</v>
      </c>
      <c r="G216" s="1" t="s">
        <v>456</v>
      </c>
      <c r="H216" s="2" t="s">
        <v>1014</v>
      </c>
      <c r="I216" s="1">
        <v>87</v>
      </c>
      <c r="J216" s="1">
        <v>0.2</v>
      </c>
      <c r="K216" s="1" t="s">
        <v>150</v>
      </c>
      <c r="L216" s="1" t="s">
        <v>78</v>
      </c>
      <c r="M216" s="1">
        <v>39.950000000000003</v>
      </c>
      <c r="N216" s="1">
        <v>43</v>
      </c>
      <c r="O216" s="1">
        <v>68.242279999999994</v>
      </c>
      <c r="P216" s="1">
        <v>-167.11974000000001</v>
      </c>
      <c r="Q216" s="1">
        <v>1.2625</v>
      </c>
      <c r="R216" s="1">
        <v>31.742999999999999</v>
      </c>
      <c r="S216" s="1">
        <v>379.71899999999999</v>
      </c>
      <c r="T216" s="1">
        <v>151.6</v>
      </c>
      <c r="U216" s="1">
        <v>23.36</v>
      </c>
      <c r="V216" s="1">
        <v>16020</v>
      </c>
      <c r="W216" s="3">
        <v>1.3075000000000001</v>
      </c>
      <c r="X216" s="1" t="s">
        <v>1023</v>
      </c>
      <c r="Y216" s="1">
        <v>0.86</v>
      </c>
      <c r="Z216" s="1">
        <v>1</v>
      </c>
      <c r="AA216" s="1">
        <v>0.61299999999999999</v>
      </c>
      <c r="AB216" s="1">
        <v>3.6</v>
      </c>
      <c r="AC216" s="1">
        <v>0.3</v>
      </c>
      <c r="AD216" s="1">
        <v>0.02</v>
      </c>
      <c r="AE216" s="1">
        <v>0.56999999999999995</v>
      </c>
      <c r="AF216" s="1">
        <v>0.32</v>
      </c>
      <c r="AG216" s="1"/>
      <c r="AH216" s="1" t="s">
        <v>1024</v>
      </c>
      <c r="AI216" s="1">
        <v>1</v>
      </c>
      <c r="AJ216" s="1" t="s">
        <v>1023</v>
      </c>
      <c r="AK216" s="1">
        <v>2</v>
      </c>
      <c r="AL216" s="1">
        <v>87.269599999999997</v>
      </c>
      <c r="AM216" s="1" t="s">
        <v>1023</v>
      </c>
      <c r="AN216" s="1">
        <v>6.4897260273972597</v>
      </c>
      <c r="AO216" s="1">
        <v>0.97958128715430404</v>
      </c>
      <c r="AP216" s="1"/>
      <c r="AQ216" s="1"/>
      <c r="AR216" s="1"/>
      <c r="AS216" s="1"/>
      <c r="AT216" s="1"/>
    </row>
    <row r="217" spans="1:46">
      <c r="A217" s="1" t="s">
        <v>1025</v>
      </c>
      <c r="B217" s="1">
        <v>158</v>
      </c>
      <c r="C217" s="1" t="s">
        <v>1025</v>
      </c>
      <c r="D217" s="1" t="s">
        <v>1026</v>
      </c>
      <c r="E217" s="1" t="s">
        <v>47</v>
      </c>
      <c r="F217" s="1" t="s">
        <v>304</v>
      </c>
      <c r="G217" s="1" t="s">
        <v>456</v>
      </c>
      <c r="H217" s="2" t="s">
        <v>1027</v>
      </c>
      <c r="I217" s="1">
        <v>86</v>
      </c>
      <c r="J217" s="1">
        <v>0.2</v>
      </c>
      <c r="K217" s="1" t="s">
        <v>52</v>
      </c>
      <c r="L217" s="1" t="s">
        <v>52</v>
      </c>
      <c r="M217" s="1">
        <v>2.59</v>
      </c>
      <c r="N217" s="1">
        <v>48</v>
      </c>
      <c r="O217" s="1">
        <v>68.18544</v>
      </c>
      <c r="P217" s="1">
        <v>-167.31098</v>
      </c>
      <c r="Q217" s="1">
        <v>3.0960000000000001</v>
      </c>
      <c r="R217" s="1">
        <v>32.1815</v>
      </c>
      <c r="S217" s="1">
        <v>359.64100000000002</v>
      </c>
      <c r="T217" s="1">
        <v>148.08000000000001</v>
      </c>
      <c r="U217" s="1">
        <v>25.74</v>
      </c>
      <c r="V217" s="1">
        <v>2000</v>
      </c>
      <c r="W217" s="3">
        <v>0.50129999999999997</v>
      </c>
      <c r="X217" s="1" t="s">
        <v>1028</v>
      </c>
      <c r="Y217" s="1">
        <v>0.37</v>
      </c>
      <c r="Z217" s="1">
        <v>0.39</v>
      </c>
      <c r="AA217" s="1">
        <v>0.53900000000000003</v>
      </c>
      <c r="AB217" s="1">
        <v>1.8</v>
      </c>
      <c r="AC217" s="1">
        <v>0</v>
      </c>
      <c r="AD217" s="1">
        <v>0.01</v>
      </c>
      <c r="AE217" s="1">
        <v>0.2</v>
      </c>
      <c r="AF217" s="1">
        <v>0.01</v>
      </c>
      <c r="AG217" s="1"/>
      <c r="AH217" s="1" t="s">
        <v>1029</v>
      </c>
      <c r="AI217" s="1">
        <v>5</v>
      </c>
      <c r="AJ217" s="1" t="s">
        <v>1028</v>
      </c>
      <c r="AK217" s="1">
        <v>2</v>
      </c>
      <c r="AL217" s="1">
        <v>87.7517</v>
      </c>
      <c r="AM217" s="1" t="s">
        <v>1028</v>
      </c>
      <c r="AN217" s="1">
        <v>5.7529137529137504</v>
      </c>
      <c r="AO217" s="1">
        <v>0.868364340062453</v>
      </c>
      <c r="AP217" s="1"/>
      <c r="AQ217" s="1"/>
      <c r="AR217" s="1"/>
      <c r="AS217" s="1"/>
      <c r="AT217" s="1"/>
    </row>
    <row r="218" spans="1:46">
      <c r="A218" s="1" t="s">
        <v>1030</v>
      </c>
      <c r="B218" s="1">
        <v>160</v>
      </c>
      <c r="C218" s="1" t="s">
        <v>1030</v>
      </c>
      <c r="D218" s="1" t="s">
        <v>1031</v>
      </c>
      <c r="E218" s="1" t="s">
        <v>47</v>
      </c>
      <c r="F218" s="1" t="s">
        <v>304</v>
      </c>
      <c r="G218" s="1" t="s">
        <v>456</v>
      </c>
      <c r="H218" s="2" t="s">
        <v>1027</v>
      </c>
      <c r="I218" s="1">
        <v>86</v>
      </c>
      <c r="J218" s="1">
        <v>0.2</v>
      </c>
      <c r="K218" s="1" t="s">
        <v>150</v>
      </c>
      <c r="L218" s="1" t="s">
        <v>78</v>
      </c>
      <c r="M218" s="1">
        <v>44.88</v>
      </c>
      <c r="N218" s="1">
        <v>48</v>
      </c>
      <c r="O218" s="1">
        <v>68.18544</v>
      </c>
      <c r="P218" s="1">
        <v>-167.31098</v>
      </c>
      <c r="Q218" s="1">
        <v>2.4264999999999999</v>
      </c>
      <c r="R218" s="1">
        <v>32.2395</v>
      </c>
      <c r="S218" s="1">
        <v>360.41500000000002</v>
      </c>
      <c r="T218" s="1">
        <v>184.16</v>
      </c>
      <c r="U218" s="1">
        <v>28.6</v>
      </c>
      <c r="V218" s="1">
        <v>2360</v>
      </c>
      <c r="W218" s="3">
        <v>1.3344</v>
      </c>
      <c r="X218" s="1" t="s">
        <v>1032</v>
      </c>
      <c r="Y218" s="1">
        <v>1.17</v>
      </c>
      <c r="Z218" s="1">
        <v>0.26</v>
      </c>
      <c r="AA218" s="1">
        <v>0.68899999999999995</v>
      </c>
      <c r="AB218" s="1">
        <v>2.2000000000000002</v>
      </c>
      <c r="AC218" s="1">
        <v>0.1</v>
      </c>
      <c r="AD218" s="1">
        <v>0.02</v>
      </c>
      <c r="AE218" s="1">
        <v>0.95</v>
      </c>
      <c r="AF218" s="1">
        <v>0.12</v>
      </c>
      <c r="AG218" s="1"/>
      <c r="AH218" s="1" t="s">
        <v>1033</v>
      </c>
      <c r="AI218" s="1">
        <v>1</v>
      </c>
      <c r="AJ218" s="1" t="s">
        <v>1032</v>
      </c>
      <c r="AK218" s="1">
        <v>2</v>
      </c>
      <c r="AL218" s="1">
        <v>85.198800000000006</v>
      </c>
      <c r="AM218" s="1" t="s">
        <v>1032</v>
      </c>
      <c r="AN218" s="1">
        <v>6.4391608391608397</v>
      </c>
      <c r="AO218" s="1">
        <v>0.97194880591107002</v>
      </c>
      <c r="AP218" s="1"/>
      <c r="AQ218" s="1"/>
      <c r="AR218" s="1"/>
      <c r="AS218" s="1"/>
      <c r="AT218" s="1"/>
    </row>
    <row r="219" spans="1:46">
      <c r="A219" s="1" t="s">
        <v>1034</v>
      </c>
      <c r="B219" s="1">
        <v>153</v>
      </c>
      <c r="C219" s="1" t="s">
        <v>1034</v>
      </c>
      <c r="D219" s="1" t="s">
        <v>1035</v>
      </c>
      <c r="E219" s="1" t="s">
        <v>47</v>
      </c>
      <c r="F219" s="1" t="s">
        <v>1036</v>
      </c>
      <c r="G219" s="1" t="s">
        <v>456</v>
      </c>
      <c r="H219" s="2" t="s">
        <v>1037</v>
      </c>
      <c r="I219" s="1">
        <v>85</v>
      </c>
      <c r="J219" s="1">
        <v>0.2</v>
      </c>
      <c r="K219" s="1" t="s">
        <v>52</v>
      </c>
      <c r="L219" s="1" t="s">
        <v>52</v>
      </c>
      <c r="M219" s="1">
        <v>2.97</v>
      </c>
      <c r="N219" s="1">
        <v>49</v>
      </c>
      <c r="O219" s="1">
        <v>68.128159999999994</v>
      </c>
      <c r="P219" s="1">
        <v>-167.501</v>
      </c>
      <c r="Q219" s="1">
        <v>5.6550000000000002</v>
      </c>
      <c r="R219" s="1">
        <v>32.177</v>
      </c>
      <c r="S219" s="1">
        <v>312.37400000000002</v>
      </c>
      <c r="T219" s="1">
        <v>171.8</v>
      </c>
      <c r="U219" s="1">
        <v>29.64</v>
      </c>
      <c r="V219" s="1">
        <v>2360</v>
      </c>
      <c r="W219" s="3">
        <v>0.13900000000000001</v>
      </c>
      <c r="X219" s="1" t="s">
        <v>1038</v>
      </c>
      <c r="Y219" s="1">
        <v>0.27</v>
      </c>
      <c r="Z219" s="1">
        <v>0.12</v>
      </c>
      <c r="AA219" s="1">
        <v>0.36399999999999999</v>
      </c>
      <c r="AB219" s="1">
        <v>1</v>
      </c>
      <c r="AC219" s="1">
        <v>0.1</v>
      </c>
      <c r="AD219" s="1">
        <v>0</v>
      </c>
      <c r="AE219" s="1">
        <v>0.16</v>
      </c>
      <c r="AF219" s="1">
        <v>0.1</v>
      </c>
      <c r="AG219" s="1"/>
      <c r="AH219" s="1" t="s">
        <v>1039</v>
      </c>
      <c r="AI219" s="1">
        <v>6</v>
      </c>
      <c r="AJ219" s="1" t="s">
        <v>1038</v>
      </c>
      <c r="AK219" s="1">
        <v>1.7</v>
      </c>
      <c r="AL219" s="1">
        <v>92.686899999999994</v>
      </c>
      <c r="AM219" s="1" t="s">
        <v>1038</v>
      </c>
      <c r="AN219" s="1">
        <v>5.79622132253711</v>
      </c>
      <c r="AO219" s="1">
        <v>0.87490133170371498</v>
      </c>
      <c r="AP219" s="1"/>
      <c r="AQ219" s="1"/>
      <c r="AR219" s="1"/>
      <c r="AS219" s="1"/>
      <c r="AT219" s="1"/>
    </row>
    <row r="220" spans="1:46">
      <c r="A220" s="1" t="s">
        <v>1040</v>
      </c>
      <c r="B220" s="1">
        <v>154</v>
      </c>
      <c r="C220" s="1" t="s">
        <v>1040</v>
      </c>
      <c r="D220" s="1" t="s">
        <v>1041</v>
      </c>
      <c r="E220" s="1" t="s">
        <v>47</v>
      </c>
      <c r="F220" s="1" t="s">
        <v>1036</v>
      </c>
      <c r="G220" s="1" t="s">
        <v>456</v>
      </c>
      <c r="H220" s="2" t="s">
        <v>1037</v>
      </c>
      <c r="I220" s="1">
        <v>85</v>
      </c>
      <c r="J220" s="1">
        <v>0.2</v>
      </c>
      <c r="K220" s="1" t="s">
        <v>1042</v>
      </c>
      <c r="L220" s="1" t="s">
        <v>65</v>
      </c>
      <c r="M220" s="1">
        <v>10.220000000000001</v>
      </c>
      <c r="N220" s="1">
        <v>49</v>
      </c>
      <c r="O220" s="1">
        <v>68.128159999999994</v>
      </c>
      <c r="P220" s="1">
        <v>-167.501</v>
      </c>
      <c r="Q220" s="1">
        <v>5.6574999999999998</v>
      </c>
      <c r="R220" s="1">
        <v>32.1785</v>
      </c>
      <c r="S220" s="1">
        <v>310.80599999999998</v>
      </c>
      <c r="T220" s="1"/>
      <c r="U220" s="1"/>
      <c r="V220" s="1"/>
      <c r="W220" s="3">
        <v>0.21609999999999999</v>
      </c>
      <c r="X220" s="1" t="s">
        <v>1043</v>
      </c>
      <c r="Y220" s="1">
        <v>0.26</v>
      </c>
      <c r="Z220" s="1">
        <v>0.2</v>
      </c>
      <c r="AA220" s="1">
        <v>0.377</v>
      </c>
      <c r="AB220" s="1">
        <v>1</v>
      </c>
      <c r="AC220" s="1">
        <v>0.1</v>
      </c>
      <c r="AD220" s="1">
        <v>0</v>
      </c>
      <c r="AE220" s="1">
        <v>0.14000000000000001</v>
      </c>
      <c r="AF220" s="1">
        <v>0.1</v>
      </c>
      <c r="AG220" s="1"/>
      <c r="AH220" s="1" t="s">
        <v>1044</v>
      </c>
      <c r="AI220" s="1">
        <v>5</v>
      </c>
      <c r="AJ220" s="1" t="s">
        <v>1043</v>
      </c>
      <c r="AK220" s="1">
        <v>1.7</v>
      </c>
      <c r="AL220" s="1">
        <v>92.958299999999994</v>
      </c>
      <c r="AM220" s="1" t="s">
        <v>1043</v>
      </c>
      <c r="AN220" s="1"/>
      <c r="AO220" s="1"/>
      <c r="AP220" s="1"/>
      <c r="AQ220" s="1"/>
      <c r="AR220" s="1"/>
      <c r="AS220" s="1"/>
      <c r="AT220" s="1"/>
    </row>
    <row r="221" spans="1:46">
      <c r="A221" s="1" t="s">
        <v>1045</v>
      </c>
      <c r="B221" s="1">
        <v>155</v>
      </c>
      <c r="C221" s="1" t="s">
        <v>1045</v>
      </c>
      <c r="D221" s="1" t="s">
        <v>1046</v>
      </c>
      <c r="E221" s="1" t="s">
        <v>47</v>
      </c>
      <c r="F221" s="1" t="s">
        <v>1036</v>
      </c>
      <c r="G221" s="1" t="s">
        <v>456</v>
      </c>
      <c r="H221" s="2" t="s">
        <v>1037</v>
      </c>
      <c r="I221" s="1">
        <v>85</v>
      </c>
      <c r="J221" s="1">
        <v>0.2</v>
      </c>
      <c r="K221" s="1" t="s">
        <v>486</v>
      </c>
      <c r="L221" s="1" t="s">
        <v>65</v>
      </c>
      <c r="M221" s="1">
        <v>19.95</v>
      </c>
      <c r="N221" s="1">
        <v>49</v>
      </c>
      <c r="O221" s="1">
        <v>68.128159999999994</v>
      </c>
      <c r="P221" s="1">
        <v>-167.501</v>
      </c>
      <c r="Q221" s="1">
        <v>2.61</v>
      </c>
      <c r="R221" s="1">
        <v>32.4405</v>
      </c>
      <c r="S221" s="1">
        <v>347.68</v>
      </c>
      <c r="T221" s="1">
        <v>159.12</v>
      </c>
      <c r="U221" s="1">
        <v>28</v>
      </c>
      <c r="V221" s="1">
        <v>2380.00000000001</v>
      </c>
      <c r="W221" s="3">
        <v>0.29139999999999999</v>
      </c>
      <c r="X221" s="1" t="s">
        <v>1047</v>
      </c>
      <c r="Y221" s="1">
        <v>0.43</v>
      </c>
      <c r="Z221" s="1">
        <v>0.59</v>
      </c>
      <c r="AA221" s="1">
        <v>0.83699999999999997</v>
      </c>
      <c r="AB221" s="1">
        <v>3.4</v>
      </c>
      <c r="AC221" s="1">
        <v>1.1000000000000001</v>
      </c>
      <c r="AD221" s="1">
        <v>0.06</v>
      </c>
      <c r="AE221" s="1">
        <v>2.59</v>
      </c>
      <c r="AF221" s="1">
        <v>1.1599999999999999</v>
      </c>
      <c r="AG221" s="1"/>
      <c r="AH221" s="1" t="s">
        <v>1048</v>
      </c>
      <c r="AI221" s="1">
        <v>4</v>
      </c>
      <c r="AJ221" s="1" t="s">
        <v>1047</v>
      </c>
      <c r="AK221" s="1">
        <v>1.7</v>
      </c>
      <c r="AL221" s="1">
        <v>80.745099999999994</v>
      </c>
      <c r="AM221" s="1" t="s">
        <v>1047</v>
      </c>
      <c r="AN221" s="1">
        <v>5.6828571428571397</v>
      </c>
      <c r="AO221" s="1">
        <v>0.85778975741239905</v>
      </c>
      <c r="AP221" s="1"/>
      <c r="AQ221" s="1"/>
      <c r="AR221" s="1"/>
      <c r="AS221" s="1"/>
      <c r="AT221" s="1"/>
    </row>
    <row r="222" spans="1:46">
      <c r="A222" s="1" t="s">
        <v>1049</v>
      </c>
      <c r="B222" s="1">
        <v>156</v>
      </c>
      <c r="C222" s="1" t="s">
        <v>1049</v>
      </c>
      <c r="D222" s="1" t="s">
        <v>1050</v>
      </c>
      <c r="E222" s="1" t="s">
        <v>47</v>
      </c>
      <c r="F222" s="1" t="s">
        <v>1036</v>
      </c>
      <c r="G222" s="1" t="s">
        <v>456</v>
      </c>
      <c r="H222" s="2" t="s">
        <v>1037</v>
      </c>
      <c r="I222" s="1">
        <v>85</v>
      </c>
      <c r="J222" s="1">
        <v>0.2</v>
      </c>
      <c r="K222" s="1" t="s">
        <v>65</v>
      </c>
      <c r="L222" s="1" t="s">
        <v>65</v>
      </c>
      <c r="M222" s="1">
        <v>30.39</v>
      </c>
      <c r="N222" s="1">
        <v>49</v>
      </c>
      <c r="O222" s="1">
        <v>68.128159999999994</v>
      </c>
      <c r="P222" s="1">
        <v>-167.501</v>
      </c>
      <c r="Q222" s="1">
        <v>2.2320000000000002</v>
      </c>
      <c r="R222" s="1">
        <v>32.459000000000003</v>
      </c>
      <c r="S222" s="1">
        <v>349.79899999999998</v>
      </c>
      <c r="T222" s="1"/>
      <c r="U222" s="1"/>
      <c r="V222" s="1"/>
      <c r="W222" s="3">
        <v>0.30580000000000002</v>
      </c>
      <c r="X222" s="1" t="s">
        <v>1051</v>
      </c>
      <c r="Y222" s="1">
        <v>0.26</v>
      </c>
      <c r="Z222" s="1">
        <v>1.08</v>
      </c>
      <c r="AA222" s="1">
        <v>0.93300000000000005</v>
      </c>
      <c r="AB222" s="1">
        <v>3.7</v>
      </c>
      <c r="AC222" s="1">
        <v>1.5</v>
      </c>
      <c r="AD222" s="1">
        <v>7.0000000000000007E-2</v>
      </c>
      <c r="AE222" s="1">
        <v>3.05</v>
      </c>
      <c r="AF222" s="1">
        <v>1.57</v>
      </c>
      <c r="AG222" s="1"/>
      <c r="AH222" s="1" t="s">
        <v>1052</v>
      </c>
      <c r="AI222" s="1">
        <v>3</v>
      </c>
      <c r="AJ222" s="1" t="s">
        <v>1051</v>
      </c>
      <c r="AK222" s="1">
        <v>1.7</v>
      </c>
      <c r="AL222" s="1">
        <v>77.706400000000002</v>
      </c>
      <c r="AM222" s="1" t="s">
        <v>1051</v>
      </c>
      <c r="AN222" s="1"/>
      <c r="AO222" s="1"/>
      <c r="AP222" s="1"/>
      <c r="AQ222" s="1"/>
      <c r="AR222" s="1"/>
      <c r="AS222" s="1"/>
      <c r="AT222" s="1"/>
    </row>
    <row r="223" spans="1:46">
      <c r="A223" s="1" t="s">
        <v>1053</v>
      </c>
      <c r="B223" s="1">
        <v>157</v>
      </c>
      <c r="C223" s="1" t="s">
        <v>1053</v>
      </c>
      <c r="D223" s="1" t="s">
        <v>1054</v>
      </c>
      <c r="E223" s="1" t="s">
        <v>47</v>
      </c>
      <c r="F223" s="1" t="s">
        <v>1036</v>
      </c>
      <c r="G223" s="1" t="s">
        <v>456</v>
      </c>
      <c r="H223" s="2" t="s">
        <v>1037</v>
      </c>
      <c r="I223" s="1">
        <v>85</v>
      </c>
      <c r="J223" s="1">
        <v>0.2</v>
      </c>
      <c r="K223" s="1" t="s">
        <v>150</v>
      </c>
      <c r="L223" s="1" t="s">
        <v>78</v>
      </c>
      <c r="M223" s="1">
        <v>45.88</v>
      </c>
      <c r="N223" s="1">
        <v>49</v>
      </c>
      <c r="O223" s="1">
        <v>68.128159999999994</v>
      </c>
      <c r="P223" s="1">
        <v>-167.50102000000001</v>
      </c>
      <c r="Q223" s="1">
        <v>2.4020000000000001</v>
      </c>
      <c r="R223" s="1">
        <v>32.511000000000003</v>
      </c>
      <c r="S223" s="1">
        <v>347.09800000000001</v>
      </c>
      <c r="T223" s="1">
        <v>207.82</v>
      </c>
      <c r="U223" s="1">
        <v>33.479999999999997</v>
      </c>
      <c r="V223" s="1">
        <v>3480</v>
      </c>
      <c r="W223" s="3">
        <v>0.307</v>
      </c>
      <c r="X223" s="1" t="s">
        <v>1055</v>
      </c>
      <c r="Y223" s="1">
        <v>0.56000000000000005</v>
      </c>
      <c r="Z223" s="1">
        <v>0.72</v>
      </c>
      <c r="AA223" s="1">
        <v>0.90100000000000002</v>
      </c>
      <c r="AB223" s="1">
        <v>3.1</v>
      </c>
      <c r="AC223" s="1">
        <v>1.8</v>
      </c>
      <c r="AD223" s="1">
        <v>0.08</v>
      </c>
      <c r="AE223" s="1">
        <v>3.03</v>
      </c>
      <c r="AF223" s="1">
        <v>1.88</v>
      </c>
      <c r="AG223" s="1"/>
      <c r="AH223" s="1" t="s">
        <v>1056</v>
      </c>
      <c r="AI223" s="1">
        <v>1</v>
      </c>
      <c r="AJ223" s="1" t="s">
        <v>1055</v>
      </c>
      <c r="AK223" s="1">
        <v>1.7</v>
      </c>
      <c r="AL223" s="1">
        <v>73.475099999999998</v>
      </c>
      <c r="AM223" s="1" t="s">
        <v>1055</v>
      </c>
      <c r="AN223" s="1">
        <v>6.2072879330943902</v>
      </c>
      <c r="AO223" s="1">
        <v>0.93694912197651103</v>
      </c>
      <c r="AP223" s="1"/>
      <c r="AQ223" s="1"/>
      <c r="AR223" s="1"/>
      <c r="AS223" s="1"/>
      <c r="AT223" s="1"/>
    </row>
    <row r="224" spans="1:46">
      <c r="A224" s="1" t="s">
        <v>1057</v>
      </c>
      <c r="B224" s="1">
        <v>149</v>
      </c>
      <c r="C224" s="1" t="s">
        <v>1057</v>
      </c>
      <c r="D224" s="1" t="s">
        <v>1058</v>
      </c>
      <c r="E224" s="1" t="s">
        <v>47</v>
      </c>
      <c r="F224" s="1" t="s">
        <v>1059</v>
      </c>
      <c r="G224" s="1" t="s">
        <v>456</v>
      </c>
      <c r="H224" s="2" t="s">
        <v>1060</v>
      </c>
      <c r="I224" s="1">
        <v>84</v>
      </c>
      <c r="J224" s="1">
        <v>0.2</v>
      </c>
      <c r="K224" s="1" t="s">
        <v>52</v>
      </c>
      <c r="L224" s="1" t="s">
        <v>52</v>
      </c>
      <c r="M224" s="1">
        <v>3.35</v>
      </c>
      <c r="N224" s="1">
        <v>53</v>
      </c>
      <c r="O224" s="1">
        <v>68.013220000000004</v>
      </c>
      <c r="P224" s="1">
        <v>-167.87114</v>
      </c>
      <c r="Q224" s="1">
        <v>3.81</v>
      </c>
      <c r="R224" s="1">
        <v>32.781500000000001</v>
      </c>
      <c r="S224" s="1">
        <v>310.11500000000001</v>
      </c>
      <c r="T224" s="1">
        <v>227.58</v>
      </c>
      <c r="U224" s="1">
        <v>40.54</v>
      </c>
      <c r="V224" s="1">
        <v>18220</v>
      </c>
      <c r="W224" s="3">
        <v>0.51570000000000005</v>
      </c>
      <c r="X224" s="1" t="s">
        <v>1061</v>
      </c>
      <c r="Y224" s="1">
        <v>0.51</v>
      </c>
      <c r="Z224" s="1">
        <v>0.05</v>
      </c>
      <c r="AA224" s="1">
        <v>1.2470000000000001</v>
      </c>
      <c r="AB224" s="1">
        <v>5.0999999999999996</v>
      </c>
      <c r="AC224" s="1">
        <v>7.3</v>
      </c>
      <c r="AD224" s="1">
        <v>0.16</v>
      </c>
      <c r="AE224" s="1">
        <v>3.71</v>
      </c>
      <c r="AF224" s="1">
        <v>7.46</v>
      </c>
      <c r="AG224" s="1"/>
      <c r="AH224" s="1" t="s">
        <v>1062</v>
      </c>
      <c r="AI224" s="1">
        <v>6</v>
      </c>
      <c r="AJ224" s="1" t="s">
        <v>1061</v>
      </c>
      <c r="AK224" s="1">
        <v>2</v>
      </c>
      <c r="AL224" s="1">
        <v>83.712999999999994</v>
      </c>
      <c r="AM224" s="1" t="s">
        <v>1061</v>
      </c>
      <c r="AN224" s="1">
        <v>5.6137148495313296</v>
      </c>
      <c r="AO224" s="1">
        <v>0.84735318483491795</v>
      </c>
      <c r="AP224" s="1"/>
      <c r="AQ224" s="1"/>
      <c r="AR224" s="1"/>
      <c r="AS224" s="1"/>
      <c r="AT224" s="1"/>
    </row>
    <row r="225" spans="1:46">
      <c r="A225" s="1" t="s">
        <v>1063</v>
      </c>
      <c r="B225" s="1">
        <v>150</v>
      </c>
      <c r="C225" s="1" t="s">
        <v>1063</v>
      </c>
      <c r="D225" s="1" t="s">
        <v>1064</v>
      </c>
      <c r="E225" s="1" t="s">
        <v>47</v>
      </c>
      <c r="F225" s="1" t="s">
        <v>1059</v>
      </c>
      <c r="G225" s="1" t="s">
        <v>456</v>
      </c>
      <c r="H225" s="2" t="s">
        <v>1060</v>
      </c>
      <c r="I225" s="1">
        <v>84</v>
      </c>
      <c r="J225" s="1">
        <v>0.2</v>
      </c>
      <c r="K225" s="1" t="s">
        <v>486</v>
      </c>
      <c r="L225" s="1" t="s">
        <v>65</v>
      </c>
      <c r="M225" s="1">
        <v>20.399999999999999</v>
      </c>
      <c r="N225" s="1">
        <v>53</v>
      </c>
      <c r="O225" s="1">
        <v>68.013220000000004</v>
      </c>
      <c r="P225" s="1">
        <v>-167.87114</v>
      </c>
      <c r="Q225" s="1">
        <v>3.512</v>
      </c>
      <c r="R225" s="1">
        <v>32.777500000000003</v>
      </c>
      <c r="S225" s="1">
        <v>305.53500000000003</v>
      </c>
      <c r="T225" s="1">
        <v>601.78</v>
      </c>
      <c r="U225" s="1">
        <v>79.48</v>
      </c>
      <c r="V225" s="1">
        <v>11470</v>
      </c>
      <c r="W225" s="3">
        <v>0.65439999999999998</v>
      </c>
      <c r="X225" s="1" t="s">
        <v>1065</v>
      </c>
      <c r="Y225" s="1">
        <v>1.1100000000000001</v>
      </c>
      <c r="Z225" s="1">
        <v>0.7</v>
      </c>
      <c r="AA225" s="1">
        <v>1.3109999999999999</v>
      </c>
      <c r="AB225" s="1">
        <v>6.6</v>
      </c>
      <c r="AC225" s="1">
        <v>7</v>
      </c>
      <c r="AD225" s="1">
        <v>0.15</v>
      </c>
      <c r="AE225" s="1">
        <v>3.78</v>
      </c>
      <c r="AF225" s="1">
        <v>7.15</v>
      </c>
      <c r="AG225" s="1"/>
      <c r="AH225" s="1" t="s">
        <v>1066</v>
      </c>
      <c r="AI225" s="1">
        <v>4</v>
      </c>
      <c r="AJ225" s="1" t="s">
        <v>1065</v>
      </c>
      <c r="AK225" s="1">
        <v>2</v>
      </c>
      <c r="AL225" s="1">
        <v>82.918300000000002</v>
      </c>
      <c r="AM225" s="1" t="s">
        <v>1065</v>
      </c>
      <c r="AN225" s="1">
        <v>7.5714645193759402</v>
      </c>
      <c r="AO225" s="1">
        <v>1.1428625689624099</v>
      </c>
      <c r="AP225" s="1"/>
      <c r="AQ225" s="1"/>
      <c r="AR225" s="1"/>
      <c r="AS225" s="1" t="s">
        <v>716</v>
      </c>
      <c r="AT225" s="1"/>
    </row>
    <row r="226" spans="1:46">
      <c r="A226" s="1" t="s">
        <v>1067</v>
      </c>
      <c r="B226" s="1">
        <v>151</v>
      </c>
      <c r="C226" s="1" t="s">
        <v>1067</v>
      </c>
      <c r="D226" s="1" t="s">
        <v>1068</v>
      </c>
      <c r="E226" s="1" t="s">
        <v>47</v>
      </c>
      <c r="F226" s="1" t="s">
        <v>1059</v>
      </c>
      <c r="G226" s="1" t="s">
        <v>456</v>
      </c>
      <c r="H226" s="2" t="s">
        <v>1060</v>
      </c>
      <c r="I226" s="1">
        <v>84</v>
      </c>
      <c r="J226" s="1">
        <v>0.2</v>
      </c>
      <c r="K226" s="1" t="s">
        <v>65</v>
      </c>
      <c r="L226" s="1" t="s">
        <v>65</v>
      </c>
      <c r="M226" s="1">
        <v>29.99</v>
      </c>
      <c r="N226" s="1">
        <v>53</v>
      </c>
      <c r="O226" s="1">
        <v>68.013220000000004</v>
      </c>
      <c r="P226" s="1">
        <v>-167.87114</v>
      </c>
      <c r="Q226" s="1">
        <v>2.8555000000000001</v>
      </c>
      <c r="R226" s="1">
        <v>32.765999999999998</v>
      </c>
      <c r="S226" s="1">
        <v>296.08300000000003</v>
      </c>
      <c r="T226" s="1"/>
      <c r="U226" s="1"/>
      <c r="V226" s="1"/>
      <c r="W226" s="3">
        <v>0.35720000000000002</v>
      </c>
      <c r="X226" s="1" t="s">
        <v>1069</v>
      </c>
      <c r="Y226" s="1">
        <v>0.7</v>
      </c>
      <c r="Z226" s="1">
        <v>1.69</v>
      </c>
      <c r="AA226" s="1">
        <v>1.2689999999999999</v>
      </c>
      <c r="AB226" s="1">
        <v>8</v>
      </c>
      <c r="AC226" s="1">
        <v>6.5</v>
      </c>
      <c r="AD226" s="1">
        <v>0.14000000000000001</v>
      </c>
      <c r="AE226" s="1">
        <v>3.75</v>
      </c>
      <c r="AF226" s="1">
        <v>6.64</v>
      </c>
      <c r="AG226" s="1"/>
      <c r="AH226" s="1" t="s">
        <v>1070</v>
      </c>
      <c r="AI226" s="1">
        <v>3</v>
      </c>
      <c r="AJ226" s="1" t="s">
        <v>1069</v>
      </c>
      <c r="AK226" s="1">
        <v>2</v>
      </c>
      <c r="AL226" s="1">
        <v>74.494799999999998</v>
      </c>
      <c r="AM226" s="1" t="s">
        <v>1069</v>
      </c>
      <c r="AN226" s="1"/>
      <c r="AO226" s="1"/>
      <c r="AP226" s="1"/>
      <c r="AQ226" s="1"/>
      <c r="AR226" s="1"/>
      <c r="AS226" s="1"/>
      <c r="AT226" s="1"/>
    </row>
    <row r="227" spans="1:46">
      <c r="A227" s="1" t="s">
        <v>1071</v>
      </c>
      <c r="B227" s="1">
        <v>152</v>
      </c>
      <c r="C227" s="1" t="s">
        <v>1071</v>
      </c>
      <c r="D227" s="1" t="s">
        <v>1072</v>
      </c>
      <c r="E227" s="1" t="s">
        <v>47</v>
      </c>
      <c r="F227" s="1" t="s">
        <v>1059</v>
      </c>
      <c r="G227" s="1" t="s">
        <v>456</v>
      </c>
      <c r="H227" s="2" t="s">
        <v>1060</v>
      </c>
      <c r="I227" s="1">
        <v>84</v>
      </c>
      <c r="J227" s="1">
        <v>0.2</v>
      </c>
      <c r="K227" s="1" t="s">
        <v>150</v>
      </c>
      <c r="L227" s="1" t="s">
        <v>78</v>
      </c>
      <c r="M227" s="1">
        <v>49.79</v>
      </c>
      <c r="N227" s="1">
        <v>53</v>
      </c>
      <c r="O227" s="1">
        <v>68.013239999999996</v>
      </c>
      <c r="P227" s="1">
        <v>-167.87114</v>
      </c>
      <c r="Q227" s="1">
        <v>2.8544999999999998</v>
      </c>
      <c r="R227" s="1">
        <v>32.765500000000003</v>
      </c>
      <c r="S227" s="1">
        <v>296.08300000000003</v>
      </c>
      <c r="T227" s="1">
        <v>159.13</v>
      </c>
      <c r="U227" s="1">
        <v>24.16</v>
      </c>
      <c r="V227" s="1">
        <v>5380</v>
      </c>
      <c r="W227" s="3">
        <v>0.34710000000000002</v>
      </c>
      <c r="X227" s="1" t="s">
        <v>1073</v>
      </c>
      <c r="Y227" s="1">
        <v>0.94</v>
      </c>
      <c r="Z227" s="1">
        <v>1.69</v>
      </c>
      <c r="AA227" s="1">
        <v>1.4119999999999999</v>
      </c>
      <c r="AB227" s="1">
        <v>8.3000000000000007</v>
      </c>
      <c r="AC227" s="1">
        <v>8.6999999999999993</v>
      </c>
      <c r="AD227" s="1">
        <v>0.19</v>
      </c>
      <c r="AE227" s="1">
        <v>4.49</v>
      </c>
      <c r="AF227" s="1">
        <v>8.89</v>
      </c>
      <c r="AG227" s="1"/>
      <c r="AH227" s="1" t="s">
        <v>1074</v>
      </c>
      <c r="AI227" s="1">
        <v>1</v>
      </c>
      <c r="AJ227" s="1" t="s">
        <v>1073</v>
      </c>
      <c r="AK227" s="1">
        <v>2</v>
      </c>
      <c r="AL227" s="1">
        <v>72.987200000000001</v>
      </c>
      <c r="AM227" s="1" t="s">
        <v>1073</v>
      </c>
      <c r="AN227" s="1">
        <v>6.58650662251656</v>
      </c>
      <c r="AO227" s="1">
        <v>0.99418967887042398</v>
      </c>
      <c r="AP227" s="1"/>
      <c r="AQ227" s="1"/>
      <c r="AR227" s="1"/>
      <c r="AS227" s="1" t="s">
        <v>716</v>
      </c>
      <c r="AT227" s="1"/>
    </row>
    <row r="228" spans="1:46">
      <c r="A228" s="1" t="s">
        <v>1075</v>
      </c>
      <c r="B228" s="1">
        <v>142</v>
      </c>
      <c r="C228" s="1" t="s">
        <v>1075</v>
      </c>
      <c r="D228" s="1" t="s">
        <v>1076</v>
      </c>
      <c r="E228" s="1" t="s">
        <v>47</v>
      </c>
      <c r="F228" s="1" t="s">
        <v>1077</v>
      </c>
      <c r="G228" s="1" t="s">
        <v>456</v>
      </c>
      <c r="H228" s="2" t="s">
        <v>1078</v>
      </c>
      <c r="I228" s="1">
        <v>82</v>
      </c>
      <c r="J228" s="1">
        <v>0.2</v>
      </c>
      <c r="K228" s="1" t="s">
        <v>52</v>
      </c>
      <c r="L228" s="1" t="s">
        <v>52</v>
      </c>
      <c r="M228" s="1">
        <v>2.77</v>
      </c>
      <c r="N228" s="1">
        <v>58</v>
      </c>
      <c r="O228" s="1">
        <v>67.898079999999993</v>
      </c>
      <c r="P228" s="1">
        <v>-168.24039999999999</v>
      </c>
      <c r="Q228" s="1">
        <v>3.605</v>
      </c>
      <c r="R228" s="1">
        <v>32.844999999999999</v>
      </c>
      <c r="S228" s="1">
        <v>313.54399999999998</v>
      </c>
      <c r="T228" s="1"/>
      <c r="U228" s="1"/>
      <c r="V228" s="1"/>
      <c r="W228" s="3">
        <v>1.3571</v>
      </c>
      <c r="X228" s="1" t="s">
        <v>1079</v>
      </c>
      <c r="Y228" s="1">
        <v>2.08</v>
      </c>
      <c r="Z228" s="1">
        <v>0.14000000000000001</v>
      </c>
      <c r="AA228" s="1">
        <v>1.4570000000000001</v>
      </c>
      <c r="AB228" s="1">
        <v>17.7</v>
      </c>
      <c r="AC228" s="1">
        <v>12.7</v>
      </c>
      <c r="AD228" s="1">
        <v>0.17</v>
      </c>
      <c r="AE228" s="1">
        <v>3.1</v>
      </c>
      <c r="AF228" s="1">
        <v>12.87</v>
      </c>
      <c r="AG228" s="1"/>
      <c r="AH228" s="1" t="s">
        <v>1080</v>
      </c>
      <c r="AI228" s="1">
        <v>6</v>
      </c>
      <c r="AJ228" s="1" t="s">
        <v>1079</v>
      </c>
      <c r="AK228" s="1">
        <v>2</v>
      </c>
      <c r="AL228" s="1">
        <v>75.872299999999996</v>
      </c>
      <c r="AM228" s="1" t="s">
        <v>1079</v>
      </c>
      <c r="AN228" s="1"/>
      <c r="AO228" s="1"/>
      <c r="AP228" s="1"/>
      <c r="AQ228" s="1"/>
      <c r="AR228" s="1"/>
      <c r="AS228" s="1" t="s">
        <v>1081</v>
      </c>
      <c r="AT228" s="1"/>
    </row>
    <row r="229" spans="1:46">
      <c r="A229" s="1" t="s">
        <v>1082</v>
      </c>
      <c r="B229" s="1">
        <v>145</v>
      </c>
      <c r="C229" s="1" t="s">
        <v>1082</v>
      </c>
      <c r="D229" s="1" t="s">
        <v>1083</v>
      </c>
      <c r="E229" s="1" t="s">
        <v>47</v>
      </c>
      <c r="F229" s="1" t="s">
        <v>1077</v>
      </c>
      <c r="G229" s="1" t="s">
        <v>456</v>
      </c>
      <c r="H229" s="2" t="s">
        <v>1084</v>
      </c>
      <c r="I229" s="1">
        <v>83</v>
      </c>
      <c r="J229" s="1">
        <v>0.2</v>
      </c>
      <c r="K229" s="1" t="s">
        <v>52</v>
      </c>
      <c r="L229" s="1" t="s">
        <v>52</v>
      </c>
      <c r="M229" s="1">
        <v>2.88</v>
      </c>
      <c r="N229" s="1">
        <v>51</v>
      </c>
      <c r="O229" s="1">
        <v>67.671580000000006</v>
      </c>
      <c r="P229" s="1">
        <v>-168.96288000000001</v>
      </c>
      <c r="Q229" s="1">
        <v>3.867</v>
      </c>
      <c r="R229" s="1">
        <v>32.884500000000003</v>
      </c>
      <c r="S229" s="1">
        <v>391.78300000000002</v>
      </c>
      <c r="T229" s="1">
        <v>1292.24</v>
      </c>
      <c r="U229" s="1">
        <v>217.94</v>
      </c>
      <c r="V229" s="1">
        <v>4139.99999999999</v>
      </c>
      <c r="W229" s="3">
        <v>12.9137</v>
      </c>
      <c r="X229" s="1" t="s">
        <v>1085</v>
      </c>
      <c r="Y229" s="1">
        <v>26.18</v>
      </c>
      <c r="Z229" s="1">
        <v>1.25</v>
      </c>
      <c r="AA229" s="1">
        <v>0.434</v>
      </c>
      <c r="AB229" s="1">
        <v>3.8</v>
      </c>
      <c r="AC229" s="1">
        <v>0.4</v>
      </c>
      <c r="AD229" s="1">
        <v>0.01</v>
      </c>
      <c r="AE229" s="1">
        <v>0.09</v>
      </c>
      <c r="AF229" s="1">
        <v>0.41</v>
      </c>
      <c r="AG229" s="1"/>
      <c r="AH229" s="1" t="s">
        <v>1086</v>
      </c>
      <c r="AI229" s="1">
        <v>22</v>
      </c>
      <c r="AJ229" s="1" t="s">
        <v>1085</v>
      </c>
      <c r="AK229" s="1">
        <v>1</v>
      </c>
      <c r="AL229" s="1">
        <v>69.540400000000005</v>
      </c>
      <c r="AM229" s="1" t="s">
        <v>1085</v>
      </c>
      <c r="AN229" s="1">
        <v>5.9293383500045902</v>
      </c>
      <c r="AO229" s="1">
        <v>0.89499446792522097</v>
      </c>
      <c r="AP229" s="1"/>
      <c r="AQ229" s="1"/>
      <c r="AR229" s="1"/>
      <c r="AS229" s="1"/>
      <c r="AT229" s="1"/>
    </row>
    <row r="230" spans="1:46">
      <c r="A230" s="1" t="s">
        <v>1087</v>
      </c>
      <c r="B230" s="1">
        <v>146</v>
      </c>
      <c r="C230" s="1" t="s">
        <v>1087</v>
      </c>
      <c r="D230" s="1" t="s">
        <v>1088</v>
      </c>
      <c r="E230" s="1" t="s">
        <v>47</v>
      </c>
      <c r="F230" s="1" t="s">
        <v>1077</v>
      </c>
      <c r="G230" s="1" t="s">
        <v>456</v>
      </c>
      <c r="H230" s="2" t="s">
        <v>1084</v>
      </c>
      <c r="I230" s="1">
        <v>83</v>
      </c>
      <c r="J230" s="1">
        <v>0.2</v>
      </c>
      <c r="K230" s="1" t="s">
        <v>1089</v>
      </c>
      <c r="L230" s="1" t="s">
        <v>65</v>
      </c>
      <c r="M230" s="1">
        <v>7.06</v>
      </c>
      <c r="N230" s="1">
        <v>51</v>
      </c>
      <c r="O230" s="1">
        <v>67.671580000000006</v>
      </c>
      <c r="P230" s="1">
        <v>-168.96288000000001</v>
      </c>
      <c r="Q230" s="1">
        <v>3.8664999999999998</v>
      </c>
      <c r="R230" s="1">
        <v>32.884</v>
      </c>
      <c r="S230" s="1">
        <v>390.678</v>
      </c>
      <c r="T230" s="1"/>
      <c r="U230" s="1"/>
      <c r="V230" s="1"/>
      <c r="W230" s="3">
        <v>14.3538</v>
      </c>
      <c r="X230" s="1" t="s">
        <v>1090</v>
      </c>
      <c r="Y230" s="1">
        <v>24.6</v>
      </c>
      <c r="Z230" s="1">
        <v>0.89</v>
      </c>
      <c r="AA230" s="1">
        <v>0.46100000000000002</v>
      </c>
      <c r="AB230" s="1">
        <v>4.0999999999999996</v>
      </c>
      <c r="AC230" s="1">
        <v>0.6</v>
      </c>
      <c r="AD230" s="1">
        <v>0.02</v>
      </c>
      <c r="AE230" s="1">
        <v>0.17</v>
      </c>
      <c r="AF230" s="1">
        <v>0.62</v>
      </c>
      <c r="AG230" s="1"/>
      <c r="AH230" s="1" t="s">
        <v>1091</v>
      </c>
      <c r="AI230" s="1">
        <v>13</v>
      </c>
      <c r="AJ230" s="1" t="s">
        <v>1090</v>
      </c>
      <c r="AK230" s="1">
        <v>1</v>
      </c>
      <c r="AL230" s="1">
        <v>69.543099999999995</v>
      </c>
      <c r="AM230" s="1" t="s">
        <v>1090</v>
      </c>
      <c r="AN230" s="1"/>
      <c r="AO230" s="1"/>
      <c r="AP230" s="1"/>
      <c r="AQ230" s="1"/>
      <c r="AR230" s="1"/>
      <c r="AS230" s="1" t="s">
        <v>1092</v>
      </c>
      <c r="AT230" s="1"/>
    </row>
    <row r="231" spans="1:46">
      <c r="A231" s="1" t="s">
        <v>1093</v>
      </c>
      <c r="B231" s="1">
        <v>147</v>
      </c>
      <c r="C231" s="1" t="s">
        <v>1093</v>
      </c>
      <c r="D231" s="1" t="s">
        <v>1094</v>
      </c>
      <c r="E231" s="1" t="s">
        <v>47</v>
      </c>
      <c r="F231" s="1" t="s">
        <v>1077</v>
      </c>
      <c r="G231" s="1" t="s">
        <v>456</v>
      </c>
      <c r="H231" s="2" t="s">
        <v>1084</v>
      </c>
      <c r="I231" s="1">
        <v>83</v>
      </c>
      <c r="J231" s="1">
        <v>0.2</v>
      </c>
      <c r="K231" s="1" t="s">
        <v>1089</v>
      </c>
      <c r="L231" s="1" t="s">
        <v>65</v>
      </c>
      <c r="M231" s="1">
        <v>16.760000000000002</v>
      </c>
      <c r="N231" s="1">
        <v>51</v>
      </c>
      <c r="O231" s="1">
        <v>67.671580000000006</v>
      </c>
      <c r="P231" s="1">
        <v>-168.96288000000001</v>
      </c>
      <c r="Q231" s="1">
        <v>3.8210000000000002</v>
      </c>
      <c r="R231" s="1">
        <v>32.887</v>
      </c>
      <c r="S231" s="1">
        <v>379.94299999999998</v>
      </c>
      <c r="T231" s="1"/>
      <c r="U231" s="1"/>
      <c r="V231" s="1"/>
      <c r="W231" s="3">
        <v>13.033300000000001</v>
      </c>
      <c r="X231" s="1" t="s">
        <v>1095</v>
      </c>
      <c r="Y231" s="1">
        <v>13.81</v>
      </c>
      <c r="Z231" s="1">
        <v>1.19</v>
      </c>
      <c r="AA231" s="1">
        <v>0.60899999999999999</v>
      </c>
      <c r="AB231" s="1">
        <v>5.8</v>
      </c>
      <c r="AC231" s="1">
        <v>2.7</v>
      </c>
      <c r="AD231" s="1">
        <v>0.06</v>
      </c>
      <c r="AE231" s="1">
        <v>0.59</v>
      </c>
      <c r="AF231" s="1">
        <v>2.76</v>
      </c>
      <c r="AG231" s="1"/>
      <c r="AH231" s="1" t="s">
        <v>1096</v>
      </c>
      <c r="AI231" s="1">
        <v>5</v>
      </c>
      <c r="AJ231" s="1" t="s">
        <v>1095</v>
      </c>
      <c r="AK231" s="1">
        <v>1</v>
      </c>
      <c r="AL231" s="1">
        <v>70.139300000000006</v>
      </c>
      <c r="AM231" s="1" t="s">
        <v>1095</v>
      </c>
      <c r="AN231" s="1"/>
      <c r="AO231" s="1"/>
      <c r="AP231" s="1"/>
      <c r="AQ231" s="1"/>
      <c r="AR231" s="1"/>
      <c r="AS231" s="1" t="s">
        <v>1097</v>
      </c>
      <c r="AT231" s="1"/>
    </row>
    <row r="232" spans="1:46">
      <c r="A232" s="1" t="s">
        <v>1098</v>
      </c>
      <c r="B232" s="1">
        <v>143</v>
      </c>
      <c r="C232" s="1" t="s">
        <v>1098</v>
      </c>
      <c r="D232" s="1" t="s">
        <v>1099</v>
      </c>
      <c r="E232" s="1" t="s">
        <v>47</v>
      </c>
      <c r="F232" s="1" t="s">
        <v>1077</v>
      </c>
      <c r="G232" s="1" t="s">
        <v>456</v>
      </c>
      <c r="H232" s="2" t="s">
        <v>1078</v>
      </c>
      <c r="I232" s="1">
        <v>82</v>
      </c>
      <c r="J232" s="1">
        <v>0.2</v>
      </c>
      <c r="K232" s="1" t="s">
        <v>65</v>
      </c>
      <c r="L232" s="1" t="s">
        <v>65</v>
      </c>
      <c r="M232" s="1">
        <v>19.7</v>
      </c>
      <c r="N232" s="1">
        <v>58</v>
      </c>
      <c r="O232" s="1">
        <v>67.898079999999993</v>
      </c>
      <c r="P232" s="1">
        <v>-168.24039999999999</v>
      </c>
      <c r="Q232" s="1">
        <v>3.1055000000000001</v>
      </c>
      <c r="R232" s="1">
        <v>32.853999999999999</v>
      </c>
      <c r="S232" s="1">
        <v>306.625</v>
      </c>
      <c r="T232" s="1"/>
      <c r="U232" s="1"/>
      <c r="V232" s="1"/>
      <c r="W232" s="3">
        <v>1.7428999999999999</v>
      </c>
      <c r="X232" s="1" t="s">
        <v>1100</v>
      </c>
      <c r="Y232" s="1">
        <v>1.8</v>
      </c>
      <c r="Z232" s="1">
        <v>1.18</v>
      </c>
      <c r="AA232" s="1">
        <v>1.518</v>
      </c>
      <c r="AB232" s="1">
        <v>17.8</v>
      </c>
      <c r="AC232" s="1">
        <v>12.5</v>
      </c>
      <c r="AD232" s="1">
        <v>0.17</v>
      </c>
      <c r="AE232" s="1">
        <v>3.72</v>
      </c>
      <c r="AF232" s="1">
        <v>12.67</v>
      </c>
      <c r="AG232" s="1"/>
      <c r="AH232" s="1" t="s">
        <v>1101</v>
      </c>
      <c r="AI232" s="1">
        <v>4</v>
      </c>
      <c r="AJ232" s="1" t="s">
        <v>1100</v>
      </c>
      <c r="AK232" s="1">
        <v>2</v>
      </c>
      <c r="AL232" s="1">
        <v>74.557199999999995</v>
      </c>
      <c r="AM232" s="1" t="s">
        <v>1100</v>
      </c>
      <c r="AN232" s="1"/>
      <c r="AO232" s="1"/>
      <c r="AP232" s="1"/>
      <c r="AQ232" s="1"/>
      <c r="AR232" s="1"/>
      <c r="AS232" s="1"/>
      <c r="AT232" s="1"/>
    </row>
    <row r="233" spans="1:46">
      <c r="A233" s="1" t="s">
        <v>1102</v>
      </c>
      <c r="B233" s="1">
        <v>148</v>
      </c>
      <c r="C233" s="1" t="s">
        <v>1102</v>
      </c>
      <c r="D233" s="1" t="s">
        <v>1103</v>
      </c>
      <c r="E233" s="1" t="s">
        <v>47</v>
      </c>
      <c r="F233" s="1" t="s">
        <v>1077</v>
      </c>
      <c r="G233" s="1" t="s">
        <v>456</v>
      </c>
      <c r="H233" s="2" t="s">
        <v>1084</v>
      </c>
      <c r="I233" s="1">
        <v>83</v>
      </c>
      <c r="J233" s="1">
        <v>0.2</v>
      </c>
      <c r="K233" s="1" t="s">
        <v>1089</v>
      </c>
      <c r="L233" s="1" t="s">
        <v>65</v>
      </c>
      <c r="M233" s="1">
        <v>26.05</v>
      </c>
      <c r="N233" s="1">
        <v>51</v>
      </c>
      <c r="O233" s="1">
        <v>67.671580000000006</v>
      </c>
      <c r="P233" s="1">
        <v>-168.96288000000001</v>
      </c>
      <c r="Q233" s="1">
        <v>3.4474999999999998</v>
      </c>
      <c r="R233" s="1">
        <v>32.895499999999998</v>
      </c>
      <c r="S233" s="1">
        <v>328.04399999999998</v>
      </c>
      <c r="T233" s="1"/>
      <c r="U233" s="1"/>
      <c r="V233" s="1"/>
      <c r="W233" s="3">
        <v>7.6006999999999998</v>
      </c>
      <c r="X233" s="1" t="s">
        <v>1104</v>
      </c>
      <c r="Y233" s="1">
        <v>12.12</v>
      </c>
      <c r="Z233" s="1">
        <v>2.06</v>
      </c>
      <c r="AA233" s="1">
        <v>1.2130000000000001</v>
      </c>
      <c r="AB233" s="1">
        <v>13.2</v>
      </c>
      <c r="AC233" s="1">
        <v>10.1</v>
      </c>
      <c r="AD233" s="1">
        <v>0.17</v>
      </c>
      <c r="AE233" s="1">
        <v>2.77</v>
      </c>
      <c r="AF233" s="1">
        <v>10.27</v>
      </c>
      <c r="AG233" s="1"/>
      <c r="AH233" s="1" t="s">
        <v>1105</v>
      </c>
      <c r="AI233" s="1">
        <v>1</v>
      </c>
      <c r="AJ233" s="1" t="s">
        <v>1104</v>
      </c>
      <c r="AK233" s="1">
        <v>1</v>
      </c>
      <c r="AL233" s="1">
        <v>75.817400000000006</v>
      </c>
      <c r="AM233" s="1" t="s">
        <v>1104</v>
      </c>
      <c r="AN233" s="1"/>
      <c r="AO233" s="1"/>
      <c r="AP233" s="1"/>
      <c r="AQ233" s="1"/>
      <c r="AR233" s="1"/>
      <c r="AS233" s="1"/>
      <c r="AT233" s="1"/>
    </row>
    <row r="234" spans="1:46">
      <c r="A234" s="1" t="s">
        <v>1106</v>
      </c>
      <c r="B234" s="1">
        <v>144</v>
      </c>
      <c r="C234" s="1" t="s">
        <v>1106</v>
      </c>
      <c r="D234" s="1" t="s">
        <v>1107</v>
      </c>
      <c r="E234" s="1" t="s">
        <v>47</v>
      </c>
      <c r="F234" s="1" t="s">
        <v>1077</v>
      </c>
      <c r="G234" s="1" t="s">
        <v>456</v>
      </c>
      <c r="H234" s="2" t="s">
        <v>1078</v>
      </c>
      <c r="I234" s="1">
        <v>82</v>
      </c>
      <c r="J234" s="1">
        <v>0.2</v>
      </c>
      <c r="K234" s="1" t="s">
        <v>150</v>
      </c>
      <c r="L234" s="1" t="s">
        <v>78</v>
      </c>
      <c r="M234" s="1">
        <v>55.15</v>
      </c>
      <c r="N234" s="1">
        <v>58</v>
      </c>
      <c r="O234" s="1">
        <v>67.898060000000001</v>
      </c>
      <c r="P234" s="1">
        <v>-168.24039999999999</v>
      </c>
      <c r="Q234" s="1">
        <v>2.835</v>
      </c>
      <c r="R234" s="1">
        <v>32.845500000000001</v>
      </c>
      <c r="S234" s="1">
        <v>285.89999999999998</v>
      </c>
      <c r="T234" s="1"/>
      <c r="U234" s="1"/>
      <c r="V234" s="1"/>
      <c r="W234" s="3">
        <v>0.9738</v>
      </c>
      <c r="X234" s="1" t="s">
        <v>1108</v>
      </c>
      <c r="Y234" s="1">
        <v>1.07</v>
      </c>
      <c r="Z234" s="1">
        <v>4.21</v>
      </c>
      <c r="AA234" s="1">
        <v>1.6</v>
      </c>
      <c r="AB234" s="1">
        <v>22.9</v>
      </c>
      <c r="AC234" s="1">
        <v>12.4</v>
      </c>
      <c r="AD234" s="1">
        <v>0.19</v>
      </c>
      <c r="AE234" s="1">
        <v>5.25</v>
      </c>
      <c r="AF234" s="1">
        <v>12.59</v>
      </c>
      <c r="AG234" s="1"/>
      <c r="AH234" s="1" t="s">
        <v>1109</v>
      </c>
      <c r="AI234" s="1">
        <v>1</v>
      </c>
      <c r="AJ234" s="1" t="s">
        <v>1108</v>
      </c>
      <c r="AK234" s="1">
        <v>2</v>
      </c>
      <c r="AL234" s="1">
        <v>21.5549</v>
      </c>
      <c r="AM234" s="1" t="s">
        <v>1108</v>
      </c>
      <c r="AN234" s="1"/>
      <c r="AO234" s="1"/>
      <c r="AP234" s="1"/>
      <c r="AQ234" s="1"/>
      <c r="AR234" s="1"/>
      <c r="AS234" s="1"/>
      <c r="AT234" s="1"/>
    </row>
    <row r="235" spans="1:46">
      <c r="A235" s="1" t="s">
        <v>1110</v>
      </c>
      <c r="B235" s="1">
        <v>138</v>
      </c>
      <c r="C235" s="1" t="s">
        <v>1110</v>
      </c>
      <c r="D235" s="1" t="s">
        <v>1111</v>
      </c>
      <c r="E235" s="1" t="s">
        <v>47</v>
      </c>
      <c r="F235" s="1" t="s">
        <v>1112</v>
      </c>
      <c r="G235" s="1" t="s">
        <v>456</v>
      </c>
      <c r="H235" s="2" t="s">
        <v>1113</v>
      </c>
      <c r="I235" s="1">
        <v>81</v>
      </c>
      <c r="J235" s="1">
        <v>0.2</v>
      </c>
      <c r="K235" s="1" t="s">
        <v>1114</v>
      </c>
      <c r="L235" s="1" t="s">
        <v>52</v>
      </c>
      <c r="M235" s="1">
        <v>2.71</v>
      </c>
      <c r="N235" s="1">
        <v>50</v>
      </c>
      <c r="O235" s="1">
        <v>67.783420000000007</v>
      </c>
      <c r="P235" s="1">
        <v>-168.59994</v>
      </c>
      <c r="Q235" s="1">
        <v>3.7814999999999999</v>
      </c>
      <c r="R235" s="1">
        <v>32.825499999999998</v>
      </c>
      <c r="S235" s="1">
        <v>354.48700000000002</v>
      </c>
      <c r="T235" s="1">
        <v>530.26</v>
      </c>
      <c r="U235" s="1">
        <v>94.78</v>
      </c>
      <c r="V235" s="1">
        <v>20020</v>
      </c>
      <c r="W235" s="3">
        <v>5.2946</v>
      </c>
      <c r="X235" s="1" t="s">
        <v>1115</v>
      </c>
      <c r="Y235" s="1">
        <v>9.44</v>
      </c>
      <c r="Z235" s="1">
        <v>1.43</v>
      </c>
      <c r="AA235" s="1">
        <v>0.89700000000000002</v>
      </c>
      <c r="AB235" s="1">
        <v>8.8000000000000007</v>
      </c>
      <c r="AC235" s="1">
        <v>5.9</v>
      </c>
      <c r="AD235" s="1">
        <v>0.15</v>
      </c>
      <c r="AE235" s="1">
        <v>0.67</v>
      </c>
      <c r="AF235" s="1">
        <v>6.05</v>
      </c>
      <c r="AG235" s="1"/>
      <c r="AH235" s="1" t="s">
        <v>1116</v>
      </c>
      <c r="AI235" s="1">
        <v>6</v>
      </c>
      <c r="AJ235" s="1" t="s">
        <v>1115</v>
      </c>
      <c r="AK235" s="1">
        <v>1.8</v>
      </c>
      <c r="AL235" s="1">
        <v>75.951300000000003</v>
      </c>
      <c r="AM235" s="1" t="s">
        <v>1115</v>
      </c>
      <c r="AN235" s="1">
        <v>5.59464021945558</v>
      </c>
      <c r="AO235" s="1">
        <v>0.84447399538952195</v>
      </c>
      <c r="AP235" s="1"/>
      <c r="AQ235" s="1"/>
      <c r="AR235" s="1"/>
      <c r="AS235" s="1" t="s">
        <v>1117</v>
      </c>
      <c r="AT235" s="1"/>
    </row>
    <row r="236" spans="1:46">
      <c r="A236" s="1" t="s">
        <v>1118</v>
      </c>
      <c r="B236" s="1">
        <v>139</v>
      </c>
      <c r="C236" s="1" t="s">
        <v>1118</v>
      </c>
      <c r="D236" s="1" t="s">
        <v>1119</v>
      </c>
      <c r="E236" s="1" t="s">
        <v>47</v>
      </c>
      <c r="F236" s="1" t="s">
        <v>1112</v>
      </c>
      <c r="G236" s="1" t="s">
        <v>456</v>
      </c>
      <c r="H236" s="2" t="s">
        <v>1113</v>
      </c>
      <c r="I236" s="1">
        <v>81</v>
      </c>
      <c r="J236" s="1">
        <v>0.2</v>
      </c>
      <c r="K236" s="1">
        <v>10</v>
      </c>
      <c r="L236" s="1" t="s">
        <v>65</v>
      </c>
      <c r="M236" s="1">
        <v>9.85</v>
      </c>
      <c r="N236" s="1">
        <v>50</v>
      </c>
      <c r="O236" s="1">
        <v>67.783420000000007</v>
      </c>
      <c r="P236" s="1">
        <v>-168.59994</v>
      </c>
      <c r="Q236" s="1">
        <v>3.569</v>
      </c>
      <c r="R236" s="1">
        <v>32.840000000000003</v>
      </c>
      <c r="S236" s="1">
        <v>319.19</v>
      </c>
      <c r="T236" s="1">
        <v>253.64</v>
      </c>
      <c r="U236" s="1">
        <v>43.06</v>
      </c>
      <c r="V236" s="1">
        <v>8080</v>
      </c>
      <c r="W236" s="3">
        <v>2.4359999999999999</v>
      </c>
      <c r="X236" s="1" t="s">
        <v>1120</v>
      </c>
      <c r="Y236" s="1">
        <v>3.46</v>
      </c>
      <c r="Z236" s="1">
        <v>1.76</v>
      </c>
      <c r="AA236" s="1">
        <v>1.274</v>
      </c>
      <c r="AB236" s="1">
        <v>13.6</v>
      </c>
      <c r="AC236" s="1">
        <v>10.4</v>
      </c>
      <c r="AD236" s="1">
        <v>0.16</v>
      </c>
      <c r="AE236" s="1">
        <v>2.76</v>
      </c>
      <c r="AF236" s="1">
        <v>10.56</v>
      </c>
      <c r="AG236" s="1"/>
      <c r="AH236" s="1" t="s">
        <v>1121</v>
      </c>
      <c r="AI236" s="1">
        <v>5</v>
      </c>
      <c r="AJ236" s="1" t="s">
        <v>1120</v>
      </c>
      <c r="AK236" s="1">
        <v>1.8</v>
      </c>
      <c r="AL236" s="1">
        <v>76.661600000000007</v>
      </c>
      <c r="AM236" s="1" t="s">
        <v>1120</v>
      </c>
      <c r="AN236" s="1">
        <v>5.8903855085926597</v>
      </c>
      <c r="AO236" s="1">
        <v>0.88911479374983504</v>
      </c>
      <c r="AP236" s="1"/>
      <c r="AQ236" s="1"/>
      <c r="AR236" s="1"/>
      <c r="AS236" s="1" t="s">
        <v>512</v>
      </c>
      <c r="AT236" s="1"/>
    </row>
    <row r="237" spans="1:46">
      <c r="A237" s="1" t="s">
        <v>1122</v>
      </c>
      <c r="B237" s="1">
        <v>140</v>
      </c>
      <c r="C237" s="1" t="s">
        <v>1122</v>
      </c>
      <c r="D237" s="1" t="s">
        <v>1123</v>
      </c>
      <c r="E237" s="1" t="s">
        <v>47</v>
      </c>
      <c r="F237" s="1" t="s">
        <v>1112</v>
      </c>
      <c r="G237" s="1" t="s">
        <v>456</v>
      </c>
      <c r="H237" s="2" t="s">
        <v>1113</v>
      </c>
      <c r="I237" s="1">
        <v>81</v>
      </c>
      <c r="J237" s="1">
        <v>0.2</v>
      </c>
      <c r="K237" s="1">
        <v>20</v>
      </c>
      <c r="L237" s="1" t="s">
        <v>65</v>
      </c>
      <c r="M237" s="1">
        <v>19.91</v>
      </c>
      <c r="N237" s="1">
        <v>50</v>
      </c>
      <c r="O237" s="1">
        <v>67.783420000000007</v>
      </c>
      <c r="P237" s="1">
        <v>-168.59994</v>
      </c>
      <c r="Q237" s="1">
        <v>3.3559999999999999</v>
      </c>
      <c r="R237" s="1">
        <v>32.836500000000001</v>
      </c>
      <c r="S237" s="1">
        <v>307.226</v>
      </c>
      <c r="T237" s="1"/>
      <c r="U237" s="1"/>
      <c r="V237" s="1"/>
      <c r="W237" s="3">
        <v>1.5102</v>
      </c>
      <c r="X237" s="1" t="s">
        <v>1124</v>
      </c>
      <c r="Y237" s="1">
        <v>1.75</v>
      </c>
      <c r="Z237" s="1">
        <v>2.23</v>
      </c>
      <c r="AA237" s="1">
        <v>1.39</v>
      </c>
      <c r="AB237" s="1">
        <v>15.5</v>
      </c>
      <c r="AC237" s="1">
        <v>10.6</v>
      </c>
      <c r="AD237" s="1">
        <v>0.17</v>
      </c>
      <c r="AE237" s="1">
        <v>4.16</v>
      </c>
      <c r="AF237" s="1">
        <v>10.77</v>
      </c>
      <c r="AG237" s="1"/>
      <c r="AH237" s="1" t="s">
        <v>1125</v>
      </c>
      <c r="AI237" s="1">
        <v>4</v>
      </c>
      <c r="AJ237" s="1" t="s">
        <v>1124</v>
      </c>
      <c r="AK237" s="1">
        <v>1.8</v>
      </c>
      <c r="AL237" s="1">
        <v>69.4572</v>
      </c>
      <c r="AM237" s="1" t="s">
        <v>1124</v>
      </c>
      <c r="AN237" s="1"/>
      <c r="AO237" s="1"/>
      <c r="AP237" s="1"/>
      <c r="AQ237" s="1"/>
      <c r="AR237" s="1"/>
      <c r="AS237" s="1" t="s">
        <v>1126</v>
      </c>
      <c r="AT237" s="1"/>
    </row>
    <row r="238" spans="1:46">
      <c r="A238" s="1" t="s">
        <v>1127</v>
      </c>
      <c r="B238" s="1">
        <v>141</v>
      </c>
      <c r="C238" s="1" t="s">
        <v>1127</v>
      </c>
      <c r="D238" s="1" t="s">
        <v>1128</v>
      </c>
      <c r="E238" s="1" t="s">
        <v>47</v>
      </c>
      <c r="F238" s="1" t="s">
        <v>1112</v>
      </c>
      <c r="G238" s="1" t="s">
        <v>456</v>
      </c>
      <c r="H238" s="2" t="s">
        <v>1113</v>
      </c>
      <c r="I238" s="1">
        <v>81</v>
      </c>
      <c r="J238" s="1">
        <v>0.2</v>
      </c>
      <c r="K238" s="1" t="s">
        <v>150</v>
      </c>
      <c r="L238" s="1" t="s">
        <v>78</v>
      </c>
      <c r="M238" s="1">
        <v>47.08</v>
      </c>
      <c r="N238" s="1">
        <v>50</v>
      </c>
      <c r="O238" s="1">
        <v>67.783410000000003</v>
      </c>
      <c r="P238" s="1">
        <v>-168.59994</v>
      </c>
      <c r="Q238" s="1">
        <v>3.1920000000000002</v>
      </c>
      <c r="R238" s="1">
        <v>32.832999999999998</v>
      </c>
      <c r="S238" s="1">
        <v>300.84800000000001</v>
      </c>
      <c r="T238" s="1">
        <v>246.68</v>
      </c>
      <c r="U238" s="1">
        <v>37.58</v>
      </c>
      <c r="V238" s="1">
        <v>5640.00000000001</v>
      </c>
      <c r="W238" s="3">
        <v>1.198</v>
      </c>
      <c r="X238" s="1" t="s">
        <v>1129</v>
      </c>
      <c r="Y238" s="1">
        <v>1.98</v>
      </c>
      <c r="Z238" s="1">
        <v>1.69</v>
      </c>
      <c r="AA238" s="1">
        <v>1.4059999999999999</v>
      </c>
      <c r="AB238" s="1">
        <v>16.100000000000001</v>
      </c>
      <c r="AC238" s="1">
        <v>10.8</v>
      </c>
      <c r="AD238" s="1">
        <v>0.17</v>
      </c>
      <c r="AE238" s="1">
        <v>4.22</v>
      </c>
      <c r="AF238" s="1">
        <v>10.97</v>
      </c>
      <c r="AG238" s="1"/>
      <c r="AH238" s="1" t="s">
        <v>1130</v>
      </c>
      <c r="AI238" s="1">
        <v>1</v>
      </c>
      <c r="AJ238" s="1" t="s">
        <v>1129</v>
      </c>
      <c r="AK238" s="1">
        <v>1.8</v>
      </c>
      <c r="AL238" s="1">
        <v>54.073599999999999</v>
      </c>
      <c r="AM238" s="1" t="s">
        <v>1129</v>
      </c>
      <c r="AN238" s="1">
        <v>6.5641298563065504</v>
      </c>
      <c r="AO238" s="1">
        <v>0.99081205378212001</v>
      </c>
      <c r="AP238" s="1"/>
      <c r="AQ238" s="1"/>
      <c r="AR238" s="1"/>
      <c r="AS238" s="1"/>
      <c r="AT238" s="1"/>
    </row>
    <row r="239" spans="1:46">
      <c r="A239" s="1" t="s">
        <v>1131</v>
      </c>
      <c r="B239" s="1">
        <v>134</v>
      </c>
      <c r="C239" s="1" t="s">
        <v>1131</v>
      </c>
      <c r="D239" s="1" t="s">
        <v>1132</v>
      </c>
      <c r="E239" s="1" t="s">
        <v>47</v>
      </c>
      <c r="F239" s="1" t="s">
        <v>1133</v>
      </c>
      <c r="G239" s="1" t="s">
        <v>456</v>
      </c>
      <c r="H239" s="2" t="s">
        <v>1134</v>
      </c>
      <c r="I239" s="1">
        <v>80</v>
      </c>
      <c r="J239" s="1">
        <v>0.2</v>
      </c>
      <c r="K239" s="1" t="s">
        <v>52</v>
      </c>
      <c r="L239" s="1" t="s">
        <v>52</v>
      </c>
      <c r="M239" s="1">
        <v>3.23</v>
      </c>
      <c r="N239" s="1">
        <v>50</v>
      </c>
      <c r="O239" s="1">
        <v>67.671419999999998</v>
      </c>
      <c r="P239" s="1">
        <v>-168.95905999999999</v>
      </c>
      <c r="Q239" s="1">
        <v>3.9205000000000001</v>
      </c>
      <c r="R239" s="1">
        <v>32.881999999999998</v>
      </c>
      <c r="S239" s="1">
        <v>429.428</v>
      </c>
      <c r="T239" s="1">
        <v>1292.24</v>
      </c>
      <c r="U239" s="1">
        <v>217.94</v>
      </c>
      <c r="V239" s="1">
        <v>4139.99999999999</v>
      </c>
      <c r="W239" s="3">
        <v>14.221</v>
      </c>
      <c r="X239" s="1" t="s">
        <v>1135</v>
      </c>
      <c r="Y239" s="1">
        <v>24.76</v>
      </c>
      <c r="Z239" s="1">
        <v>7.78</v>
      </c>
      <c r="AA239" s="1">
        <v>0.34899999999999998</v>
      </c>
      <c r="AB239" s="1">
        <v>2.9</v>
      </c>
      <c r="AC239" s="1">
        <v>0.2</v>
      </c>
      <c r="AD239" s="1">
        <v>0.01</v>
      </c>
      <c r="AE239" s="1">
        <v>0.02</v>
      </c>
      <c r="AF239" s="1">
        <v>0.21</v>
      </c>
      <c r="AG239" s="1"/>
      <c r="AH239" s="1" t="s">
        <v>1136</v>
      </c>
      <c r="AI239" s="1">
        <v>10</v>
      </c>
      <c r="AJ239" s="1" t="s">
        <v>1137</v>
      </c>
      <c r="AK239" s="1">
        <v>1</v>
      </c>
      <c r="AL239" s="1">
        <v>68.871700000000004</v>
      </c>
      <c r="AM239" s="1" t="s">
        <v>1135</v>
      </c>
      <c r="AN239" s="1">
        <v>5.9293383500045902</v>
      </c>
      <c r="AO239" s="1">
        <v>0.89499446792522097</v>
      </c>
      <c r="AP239" s="1"/>
      <c r="AQ239" s="1"/>
      <c r="AR239" s="1"/>
      <c r="AS239" s="1" t="s">
        <v>1138</v>
      </c>
      <c r="AT239" s="1"/>
    </row>
    <row r="240" spans="1:46">
      <c r="A240" s="1" t="s">
        <v>1139</v>
      </c>
      <c r="B240" s="1">
        <v>135</v>
      </c>
      <c r="C240" s="1" t="s">
        <v>1139</v>
      </c>
      <c r="D240" s="1" t="s">
        <v>1140</v>
      </c>
      <c r="E240" s="1" t="s">
        <v>47</v>
      </c>
      <c r="F240" s="1" t="s">
        <v>1133</v>
      </c>
      <c r="G240" s="1" t="s">
        <v>456</v>
      </c>
      <c r="H240" s="2" t="s">
        <v>1134</v>
      </c>
      <c r="I240" s="1">
        <v>80</v>
      </c>
      <c r="J240" s="1">
        <v>0.2</v>
      </c>
      <c r="K240" s="1" t="s">
        <v>512</v>
      </c>
      <c r="L240" s="1" t="s">
        <v>65</v>
      </c>
      <c r="M240" s="1">
        <v>9.6999999999999993</v>
      </c>
      <c r="N240" s="1">
        <v>50</v>
      </c>
      <c r="O240" s="1">
        <v>67.671340000000001</v>
      </c>
      <c r="P240" s="1">
        <v>-168.95927</v>
      </c>
      <c r="Q240" s="1">
        <v>3.8359999999999999</v>
      </c>
      <c r="R240" s="1">
        <v>32.883000000000003</v>
      </c>
      <c r="S240" s="1">
        <v>415.702</v>
      </c>
      <c r="T240" s="1">
        <v>804.94</v>
      </c>
      <c r="U240" s="1">
        <v>144.88</v>
      </c>
      <c r="V240" s="1">
        <v>5520.00000000001</v>
      </c>
      <c r="W240" s="3">
        <v>18.993400000000001</v>
      </c>
      <c r="X240" s="1" t="s">
        <v>1141</v>
      </c>
      <c r="Y240" s="1">
        <v>14.76</v>
      </c>
      <c r="Z240" s="1">
        <v>2.63</v>
      </c>
      <c r="AA240" s="1">
        <v>1.0169999999999999</v>
      </c>
      <c r="AB240" s="1">
        <v>10.6</v>
      </c>
      <c r="AC240" s="1">
        <v>8</v>
      </c>
      <c r="AD240" s="1">
        <v>0.12</v>
      </c>
      <c r="AE240" s="1">
        <v>1.84</v>
      </c>
      <c r="AF240" s="1">
        <v>8.1199999999999992</v>
      </c>
      <c r="AG240" s="1"/>
      <c r="AH240" s="1" t="s">
        <v>1142</v>
      </c>
      <c r="AI240" s="1">
        <v>7</v>
      </c>
      <c r="AJ240" s="1" t="s">
        <v>1143</v>
      </c>
      <c r="AK240" s="1">
        <v>1</v>
      </c>
      <c r="AL240" s="1">
        <v>68.880200000000002</v>
      </c>
      <c r="AM240" s="1" t="s">
        <v>1141</v>
      </c>
      <c r="AN240" s="1">
        <v>5.5559083379348397</v>
      </c>
      <c r="AO240" s="1">
        <v>0.83862767365054203</v>
      </c>
      <c r="AP240" s="1"/>
      <c r="AQ240" s="1"/>
      <c r="AR240" s="1"/>
      <c r="AS240" s="1"/>
      <c r="AT240" s="1"/>
    </row>
    <row r="241" spans="1:46">
      <c r="A241" s="1" t="s">
        <v>1144</v>
      </c>
      <c r="B241" s="1">
        <v>136</v>
      </c>
      <c r="C241" s="1" t="s">
        <v>1144</v>
      </c>
      <c r="D241" s="1" t="s">
        <v>1145</v>
      </c>
      <c r="E241" s="1" t="s">
        <v>47</v>
      </c>
      <c r="F241" s="1" t="s">
        <v>1133</v>
      </c>
      <c r="G241" s="1" t="s">
        <v>456</v>
      </c>
      <c r="H241" s="2" t="s">
        <v>1134</v>
      </c>
      <c r="I241" s="1">
        <v>80</v>
      </c>
      <c r="J241" s="1">
        <v>0.2</v>
      </c>
      <c r="K241" s="1" t="s">
        <v>1146</v>
      </c>
      <c r="L241" s="1" t="s">
        <v>65</v>
      </c>
      <c r="M241" s="1">
        <v>20.09</v>
      </c>
      <c r="N241" s="1">
        <v>50</v>
      </c>
      <c r="O241" s="1">
        <v>67.671300000000002</v>
      </c>
      <c r="P241" s="1">
        <v>-168.95941999999999</v>
      </c>
      <c r="Q241" s="1">
        <v>3.3584999999999998</v>
      </c>
      <c r="R241" s="1">
        <v>32.880499999999998</v>
      </c>
      <c r="S241" s="1">
        <v>322.89800000000002</v>
      </c>
      <c r="T241" s="1"/>
      <c r="U241" s="1"/>
      <c r="V241" s="1"/>
      <c r="W241" s="3">
        <v>5.3292999999999999</v>
      </c>
      <c r="X241" s="1" t="s">
        <v>1147</v>
      </c>
      <c r="Y241" s="1">
        <v>7.13</v>
      </c>
      <c r="Z241" s="1">
        <v>0.66</v>
      </c>
      <c r="AA241" s="1">
        <v>1.306</v>
      </c>
      <c r="AB241" s="1">
        <v>14.4</v>
      </c>
      <c r="AC241" s="1">
        <v>11</v>
      </c>
      <c r="AD241" s="1">
        <v>0.17</v>
      </c>
      <c r="AE241" s="1">
        <v>3.27</v>
      </c>
      <c r="AF241" s="1">
        <v>11.17</v>
      </c>
      <c r="AG241" s="1"/>
      <c r="AH241" s="1" t="s">
        <v>1148</v>
      </c>
      <c r="AI241" s="1">
        <v>4</v>
      </c>
      <c r="AJ241" s="1" t="s">
        <v>1147</v>
      </c>
      <c r="AK241" s="1">
        <v>1</v>
      </c>
      <c r="AL241" s="1">
        <v>76.723500000000001</v>
      </c>
      <c r="AM241" s="1" t="s">
        <v>1147</v>
      </c>
      <c r="AN241" s="1"/>
      <c r="AO241" s="1"/>
      <c r="AP241" s="1"/>
      <c r="AQ241" s="1"/>
      <c r="AR241" s="1"/>
      <c r="AS241" s="1"/>
      <c r="AT241" s="1"/>
    </row>
    <row r="242" spans="1:46">
      <c r="A242" s="1" t="s">
        <v>1149</v>
      </c>
      <c r="B242" s="1">
        <v>137</v>
      </c>
      <c r="C242" s="1" t="s">
        <v>1149</v>
      </c>
      <c r="D242" s="1" t="s">
        <v>1150</v>
      </c>
      <c r="E242" s="1" t="s">
        <v>47</v>
      </c>
      <c r="F242" s="1" t="s">
        <v>1133</v>
      </c>
      <c r="G242" s="1" t="s">
        <v>456</v>
      </c>
      <c r="H242" s="2" t="s">
        <v>1134</v>
      </c>
      <c r="I242" s="1">
        <v>80</v>
      </c>
      <c r="J242" s="1">
        <v>0.2</v>
      </c>
      <c r="K242" s="1" t="s">
        <v>150</v>
      </c>
      <c r="L242" s="1" t="s">
        <v>78</v>
      </c>
      <c r="M242" s="1">
        <v>46.79</v>
      </c>
      <c r="N242" s="1">
        <v>50</v>
      </c>
      <c r="O242" s="1">
        <v>67.671180000000007</v>
      </c>
      <c r="P242" s="1">
        <v>-168.9598</v>
      </c>
      <c r="Q242" s="1">
        <v>2.8610000000000002</v>
      </c>
      <c r="R242" s="1">
        <v>32.901000000000003</v>
      </c>
      <c r="S242" s="1">
        <v>297.38200000000001</v>
      </c>
      <c r="T242" s="1">
        <v>378.3</v>
      </c>
      <c r="U242" s="1">
        <v>58.68</v>
      </c>
      <c r="V242" s="1">
        <v>7600</v>
      </c>
      <c r="W242" s="3">
        <v>1.2130000000000001</v>
      </c>
      <c r="X242" s="1" t="s">
        <v>1151</v>
      </c>
      <c r="Y242" s="1">
        <v>2.4300000000000002</v>
      </c>
      <c r="Z242" s="1">
        <v>2.11</v>
      </c>
      <c r="AA242" s="1">
        <v>1.536</v>
      </c>
      <c r="AB242" s="1">
        <v>18</v>
      </c>
      <c r="AC242" s="1">
        <v>11.9</v>
      </c>
      <c r="AD242" s="1">
        <v>0.19</v>
      </c>
      <c r="AE242" s="1">
        <v>4.58</v>
      </c>
      <c r="AF242" s="1">
        <v>12.09</v>
      </c>
      <c r="AG242" s="1"/>
      <c r="AH242" s="1" t="s">
        <v>1152</v>
      </c>
      <c r="AI242" s="1">
        <v>1</v>
      </c>
      <c r="AJ242" s="1" t="s">
        <v>1151</v>
      </c>
      <c r="AK242" s="1">
        <v>1</v>
      </c>
      <c r="AL242" s="1">
        <v>34.416499999999999</v>
      </c>
      <c r="AM242" s="1" t="s">
        <v>1151</v>
      </c>
      <c r="AN242" s="1">
        <v>6.4468302658486696</v>
      </c>
      <c r="AO242" s="1">
        <v>0.97310645522244099</v>
      </c>
      <c r="AP242" s="1"/>
      <c r="AQ242" s="1"/>
      <c r="AR242" s="1"/>
      <c r="AS242" s="1"/>
      <c r="AT242" s="1"/>
    </row>
    <row r="243" spans="1:46">
      <c r="A243" s="1" t="s">
        <v>1153</v>
      </c>
      <c r="B243" s="1">
        <v>167</v>
      </c>
      <c r="C243" s="1" t="s">
        <v>1153</v>
      </c>
      <c r="D243" s="1" t="s">
        <v>1154</v>
      </c>
      <c r="E243" s="1" t="s">
        <v>47</v>
      </c>
      <c r="F243" s="1" t="s">
        <v>1155</v>
      </c>
      <c r="G243" s="1" t="s">
        <v>456</v>
      </c>
      <c r="H243" s="2" t="s">
        <v>1156</v>
      </c>
      <c r="I243" s="1">
        <v>89</v>
      </c>
      <c r="J243" s="1">
        <v>0.2</v>
      </c>
      <c r="K243" s="1" t="s">
        <v>52</v>
      </c>
      <c r="L243" s="1" t="s">
        <v>52</v>
      </c>
      <c r="M243" s="1">
        <v>4.0199999999999996</v>
      </c>
      <c r="N243" s="1">
        <v>23</v>
      </c>
      <c r="O243" s="1">
        <v>67.603960000000001</v>
      </c>
      <c r="P243" s="1">
        <v>-164.43068</v>
      </c>
      <c r="Q243" s="1">
        <v>3.3935</v>
      </c>
      <c r="R243" s="1">
        <v>30.401</v>
      </c>
      <c r="S243" s="1">
        <v>375.19600000000003</v>
      </c>
      <c r="T243" s="1">
        <v>143.91999999999999</v>
      </c>
      <c r="U243" s="1">
        <v>25.72</v>
      </c>
      <c r="V243" s="1">
        <v>1559.99999999999</v>
      </c>
      <c r="W243" s="3">
        <v>0.4738</v>
      </c>
      <c r="X243" s="1" t="s">
        <v>1157</v>
      </c>
      <c r="Y243" s="1">
        <v>0.5</v>
      </c>
      <c r="Z243" s="1">
        <v>0.01</v>
      </c>
      <c r="AA243" s="1">
        <v>0.51200000000000001</v>
      </c>
      <c r="AB243" s="1">
        <v>3.7</v>
      </c>
      <c r="AC243" s="1">
        <v>0.1</v>
      </c>
      <c r="AD243" s="1">
        <v>0</v>
      </c>
      <c r="AE243" s="1">
        <v>0.02</v>
      </c>
      <c r="AF243" s="1">
        <v>0.1</v>
      </c>
      <c r="AG243" s="1"/>
      <c r="AH243" s="1" t="s">
        <v>1158</v>
      </c>
      <c r="AI243" s="1">
        <v>3</v>
      </c>
      <c r="AJ243" s="1" t="s">
        <v>1157</v>
      </c>
      <c r="AK243" s="1">
        <v>2</v>
      </c>
      <c r="AL243" s="1">
        <v>89.794799999999995</v>
      </c>
      <c r="AM243" s="1" t="s">
        <v>1157</v>
      </c>
      <c r="AN243" s="1">
        <v>5.59564541213064</v>
      </c>
      <c r="AO243" s="1">
        <v>0.84462572258575697</v>
      </c>
      <c r="AP243" s="1"/>
      <c r="AQ243" s="1"/>
      <c r="AR243" s="1"/>
      <c r="AS243" s="1"/>
      <c r="AT243" s="1"/>
    </row>
    <row r="244" spans="1:46">
      <c r="A244" s="1" t="s">
        <v>1159</v>
      </c>
      <c r="B244" s="1">
        <v>168</v>
      </c>
      <c r="C244" s="1" t="s">
        <v>1159</v>
      </c>
      <c r="D244" s="1" t="s">
        <v>1160</v>
      </c>
      <c r="E244" s="1" t="s">
        <v>47</v>
      </c>
      <c r="F244" s="1" t="s">
        <v>1155</v>
      </c>
      <c r="G244" s="1" t="s">
        <v>456</v>
      </c>
      <c r="H244" s="2" t="s">
        <v>1156</v>
      </c>
      <c r="I244" s="1">
        <v>89</v>
      </c>
      <c r="J244" s="1">
        <v>0.2</v>
      </c>
      <c r="K244" s="1" t="s">
        <v>65</v>
      </c>
      <c r="L244" s="1" t="s">
        <v>65</v>
      </c>
      <c r="M244" s="1">
        <v>9.61</v>
      </c>
      <c r="N244" s="1">
        <v>23</v>
      </c>
      <c r="O244" s="1">
        <v>67.603960000000001</v>
      </c>
      <c r="P244" s="1">
        <v>-164.43065999999999</v>
      </c>
      <c r="Q244" s="1">
        <v>2.7429999999999999</v>
      </c>
      <c r="R244" s="1">
        <v>30.945499999999999</v>
      </c>
      <c r="S244" s="1">
        <v>388.75299999999999</v>
      </c>
      <c r="T244" s="1"/>
      <c r="U244" s="1"/>
      <c r="V244" s="1"/>
      <c r="W244" s="3">
        <v>0.76390000000000002</v>
      </c>
      <c r="X244" s="1" t="s">
        <v>1161</v>
      </c>
      <c r="Y244" s="1">
        <v>0.75</v>
      </c>
      <c r="Z244" s="1">
        <v>0.02</v>
      </c>
      <c r="AA244" s="1">
        <v>0.54200000000000004</v>
      </c>
      <c r="AB244" s="1">
        <v>4.2</v>
      </c>
      <c r="AC244" s="1">
        <v>0</v>
      </c>
      <c r="AD244" s="1">
        <v>0</v>
      </c>
      <c r="AE244" s="1">
        <v>0.04</v>
      </c>
      <c r="AF244" s="1">
        <v>0</v>
      </c>
      <c r="AG244" s="1"/>
      <c r="AH244" s="1" t="s">
        <v>1162</v>
      </c>
      <c r="AI244" s="1">
        <v>2</v>
      </c>
      <c r="AJ244" s="1" t="s">
        <v>1161</v>
      </c>
      <c r="AK244" s="1">
        <v>2</v>
      </c>
      <c r="AL244" s="1">
        <v>88.837999999999994</v>
      </c>
      <c r="AM244" s="1" t="s">
        <v>1161</v>
      </c>
      <c r="AN244" s="1"/>
      <c r="AO244" s="1"/>
      <c r="AP244" s="1"/>
      <c r="AQ244" s="1"/>
      <c r="AR244" s="1"/>
      <c r="AS244" s="1"/>
      <c r="AT244" s="1"/>
    </row>
    <row r="245" spans="1:46">
      <c r="A245" s="1" t="s">
        <v>1163</v>
      </c>
      <c r="B245" s="1">
        <v>169</v>
      </c>
      <c r="C245" s="1" t="s">
        <v>1163</v>
      </c>
      <c r="D245" s="1" t="s">
        <v>1164</v>
      </c>
      <c r="E245" s="1" t="s">
        <v>47</v>
      </c>
      <c r="F245" s="1" t="s">
        <v>1155</v>
      </c>
      <c r="G245" s="1" t="s">
        <v>456</v>
      </c>
      <c r="H245" s="2" t="s">
        <v>1156</v>
      </c>
      <c r="I245" s="1">
        <v>89</v>
      </c>
      <c r="J245" s="1">
        <v>0.2</v>
      </c>
      <c r="K245" s="1" t="s">
        <v>150</v>
      </c>
      <c r="L245" s="1" t="s">
        <v>78</v>
      </c>
      <c r="M245" s="1">
        <v>19.78</v>
      </c>
      <c r="N245" s="1">
        <v>23</v>
      </c>
      <c r="O245" s="1">
        <v>67.603980000000007</v>
      </c>
      <c r="P245" s="1">
        <v>-164.43064000000001</v>
      </c>
      <c r="Q245" s="1">
        <v>0.58499999999999996</v>
      </c>
      <c r="R245" s="1">
        <v>30.936</v>
      </c>
      <c r="S245" s="1">
        <v>407.90199999999999</v>
      </c>
      <c r="T245" s="1">
        <v>179.78</v>
      </c>
      <c r="U245" s="1">
        <v>27.9</v>
      </c>
      <c r="V245" s="1">
        <v>2860</v>
      </c>
      <c r="W245" s="3">
        <v>0.72919999999999996</v>
      </c>
      <c r="X245" s="1" t="s">
        <v>1165</v>
      </c>
      <c r="Y245" s="1">
        <v>0.73</v>
      </c>
      <c r="Z245" s="1">
        <v>0.38</v>
      </c>
      <c r="AA245" s="1">
        <v>0.54400000000000004</v>
      </c>
      <c r="AB245" s="1">
        <v>4.2</v>
      </c>
      <c r="AC245" s="1">
        <v>0</v>
      </c>
      <c r="AD245" s="1">
        <v>0</v>
      </c>
      <c r="AE245" s="1">
        <v>0.09</v>
      </c>
      <c r="AF245" s="1">
        <v>0</v>
      </c>
      <c r="AG245" s="1"/>
      <c r="AH245" s="1" t="s">
        <v>1166</v>
      </c>
      <c r="AI245" s="1">
        <v>1</v>
      </c>
      <c r="AJ245" s="1" t="s">
        <v>1165</v>
      </c>
      <c r="AK245" s="1">
        <v>2</v>
      </c>
      <c r="AL245" s="1">
        <v>83.465500000000006</v>
      </c>
      <c r="AM245" s="1" t="s">
        <v>1165</v>
      </c>
      <c r="AN245" s="1">
        <v>6.4437275985663103</v>
      </c>
      <c r="AO245" s="1">
        <v>0.97263812808548</v>
      </c>
      <c r="AP245" s="1"/>
      <c r="AQ245" s="1"/>
      <c r="AR245" s="1"/>
      <c r="AS245" s="1"/>
      <c r="AT245" s="1"/>
    </row>
    <row r="246" spans="1:46">
      <c r="A246" s="1" t="s">
        <v>1167</v>
      </c>
      <c r="B246" s="1">
        <v>170</v>
      </c>
      <c r="C246" s="1" t="s">
        <v>1167</v>
      </c>
      <c r="D246" s="1" t="s">
        <v>1168</v>
      </c>
      <c r="E246" s="1" t="s">
        <v>47</v>
      </c>
      <c r="F246" s="1" t="s">
        <v>411</v>
      </c>
      <c r="G246" s="1" t="s">
        <v>456</v>
      </c>
      <c r="H246" s="2" t="s">
        <v>1169</v>
      </c>
      <c r="I246" s="1">
        <v>90</v>
      </c>
      <c r="J246" s="1">
        <v>0.2</v>
      </c>
      <c r="K246" s="1" t="s">
        <v>52</v>
      </c>
      <c r="L246" s="1" t="s">
        <v>52</v>
      </c>
      <c r="M246" s="1">
        <v>3.85</v>
      </c>
      <c r="N246" s="1">
        <v>35</v>
      </c>
      <c r="O246" s="1">
        <v>67.538979999999995</v>
      </c>
      <c r="P246" s="1">
        <v>-164.87797</v>
      </c>
      <c r="Q246" s="1">
        <v>5.3049999999999997</v>
      </c>
      <c r="R246" s="1">
        <v>31.404499999999999</v>
      </c>
      <c r="S246" s="1">
        <v>319.34100000000001</v>
      </c>
      <c r="T246" s="1">
        <v>122.34</v>
      </c>
      <c r="U246" s="1">
        <v>20.36</v>
      </c>
      <c r="V246" s="1">
        <v>2360</v>
      </c>
      <c r="W246" s="3">
        <v>0.38169999999999998</v>
      </c>
      <c r="X246" s="1" t="s">
        <v>1170</v>
      </c>
      <c r="Y246" s="1">
        <v>0.4</v>
      </c>
      <c r="Z246" s="1">
        <v>0.21</v>
      </c>
      <c r="AA246" s="1">
        <v>0.47299999999999998</v>
      </c>
      <c r="AB246" s="1">
        <v>2.6</v>
      </c>
      <c r="AC246" s="1">
        <v>0.1</v>
      </c>
      <c r="AD246" s="1">
        <v>0</v>
      </c>
      <c r="AE246" s="1">
        <v>0.16</v>
      </c>
      <c r="AF246" s="1">
        <v>0.1</v>
      </c>
      <c r="AG246" s="1"/>
      <c r="AH246" s="1" t="s">
        <v>1171</v>
      </c>
      <c r="AI246" s="1">
        <v>4</v>
      </c>
      <c r="AJ246" s="1" t="s">
        <v>1170</v>
      </c>
      <c r="AK246" s="1">
        <v>2</v>
      </c>
      <c r="AL246" s="1">
        <v>89.694000000000003</v>
      </c>
      <c r="AM246" s="1" t="s">
        <v>1170</v>
      </c>
      <c r="AN246" s="1">
        <v>6.0088408644400797</v>
      </c>
      <c r="AO246" s="1">
        <v>0.90699484746265302</v>
      </c>
      <c r="AP246" s="1"/>
      <c r="AQ246" s="1"/>
      <c r="AR246" s="1"/>
      <c r="AS246" s="1"/>
      <c r="AT246" s="1"/>
    </row>
    <row r="247" spans="1:46">
      <c r="A247" s="1" t="s">
        <v>1172</v>
      </c>
      <c r="B247" s="1">
        <v>171</v>
      </c>
      <c r="C247" s="1" t="s">
        <v>1172</v>
      </c>
      <c r="D247" s="1" t="s">
        <v>1173</v>
      </c>
      <c r="E247" s="1" t="s">
        <v>47</v>
      </c>
      <c r="F247" s="1" t="s">
        <v>411</v>
      </c>
      <c r="G247" s="1" t="s">
        <v>456</v>
      </c>
      <c r="H247" s="2" t="s">
        <v>1169</v>
      </c>
      <c r="I247" s="1">
        <v>90</v>
      </c>
      <c r="J247" s="1">
        <v>0.2</v>
      </c>
      <c r="K247" s="1" t="s">
        <v>65</v>
      </c>
      <c r="L247" s="1" t="s">
        <v>65</v>
      </c>
      <c r="M247" s="1">
        <v>20</v>
      </c>
      <c r="N247" s="1">
        <v>35</v>
      </c>
      <c r="O247" s="1">
        <v>67.539140000000003</v>
      </c>
      <c r="P247" s="1">
        <v>-164.87916000000001</v>
      </c>
      <c r="Q247" s="1">
        <v>3.5615000000000001</v>
      </c>
      <c r="R247" s="1">
        <v>31.792000000000002</v>
      </c>
      <c r="S247" s="1">
        <v>343.63400000000001</v>
      </c>
      <c r="T247" s="1"/>
      <c r="U247" s="1"/>
      <c r="V247" s="1"/>
      <c r="W247" s="3">
        <v>0.87929999999999997</v>
      </c>
      <c r="X247" s="1" t="s">
        <v>1174</v>
      </c>
      <c r="Y247" s="1">
        <v>1.17</v>
      </c>
      <c r="Z247" s="1">
        <v>0.15</v>
      </c>
      <c r="AA247" s="1">
        <v>0.54300000000000004</v>
      </c>
      <c r="AB247" s="1">
        <v>2.1</v>
      </c>
      <c r="AC247" s="1">
        <v>0</v>
      </c>
      <c r="AD247" s="1">
        <v>0</v>
      </c>
      <c r="AE247" s="1">
        <v>0.15</v>
      </c>
      <c r="AF247" s="1">
        <v>0</v>
      </c>
      <c r="AG247" s="1"/>
      <c r="AH247" s="1" t="s">
        <v>1175</v>
      </c>
      <c r="AI247" s="1">
        <v>2</v>
      </c>
      <c r="AJ247" s="1" t="s">
        <v>1174</v>
      </c>
      <c r="AK247" s="1">
        <v>2</v>
      </c>
      <c r="AL247" s="1">
        <v>88.004499999999993</v>
      </c>
      <c r="AM247" s="1" t="s">
        <v>1174</v>
      </c>
      <c r="AN247" s="1"/>
      <c r="AO247" s="1"/>
      <c r="AP247" s="1"/>
      <c r="AQ247" s="1"/>
      <c r="AR247" s="1"/>
      <c r="AS247" s="1"/>
      <c r="AT247" s="1"/>
    </row>
    <row r="248" spans="1:46">
      <c r="A248" s="1" t="s">
        <v>1176</v>
      </c>
      <c r="B248" s="1">
        <v>172</v>
      </c>
      <c r="C248" s="1" t="s">
        <v>1176</v>
      </c>
      <c r="D248" s="1" t="s">
        <v>1177</v>
      </c>
      <c r="E248" s="1" t="s">
        <v>47</v>
      </c>
      <c r="F248" s="1" t="s">
        <v>411</v>
      </c>
      <c r="G248" s="1" t="s">
        <v>456</v>
      </c>
      <c r="H248" s="2" t="s">
        <v>1169</v>
      </c>
      <c r="I248" s="1">
        <v>90</v>
      </c>
      <c r="J248" s="1">
        <v>0.2</v>
      </c>
      <c r="K248" s="1" t="s">
        <v>150</v>
      </c>
      <c r="L248" s="1" t="s">
        <v>78</v>
      </c>
      <c r="M248" s="1">
        <v>31.57</v>
      </c>
      <c r="N248" s="1">
        <v>35</v>
      </c>
      <c r="O248" s="1">
        <v>67.539140000000003</v>
      </c>
      <c r="P248" s="1">
        <v>-164.87916000000001</v>
      </c>
      <c r="Q248" s="1">
        <v>3.6244999999999998</v>
      </c>
      <c r="R248" s="1">
        <v>31.795000000000002</v>
      </c>
      <c r="S248" s="1">
        <v>342.78199999999998</v>
      </c>
      <c r="T248" s="1">
        <v>158.06</v>
      </c>
      <c r="U248" s="1">
        <v>26.42</v>
      </c>
      <c r="V248" s="1">
        <v>1780</v>
      </c>
      <c r="W248" s="3">
        <v>1.4563999999999999</v>
      </c>
      <c r="X248" s="1" t="s">
        <v>1178</v>
      </c>
      <c r="Y248" s="1">
        <v>1.32</v>
      </c>
      <c r="Z248" s="1">
        <v>0.15</v>
      </c>
      <c r="AA248" s="1">
        <v>0.56200000000000006</v>
      </c>
      <c r="AB248" s="1">
        <v>1.7</v>
      </c>
      <c r="AC248" s="1">
        <v>0</v>
      </c>
      <c r="AD248" s="1">
        <v>0</v>
      </c>
      <c r="AE248" s="1">
        <v>0.06</v>
      </c>
      <c r="AF248" s="1">
        <v>0</v>
      </c>
      <c r="AG248" s="1"/>
      <c r="AH248" s="1" t="s">
        <v>1179</v>
      </c>
      <c r="AI248" s="1">
        <v>1</v>
      </c>
      <c r="AJ248" s="1" t="s">
        <v>1178</v>
      </c>
      <c r="AK248" s="1">
        <v>2</v>
      </c>
      <c r="AL248" s="1">
        <v>85.790199999999999</v>
      </c>
      <c r="AM248" s="1" t="s">
        <v>1178</v>
      </c>
      <c r="AN248" s="1">
        <v>5.9825889477668399</v>
      </c>
      <c r="AO248" s="1">
        <v>0.90303229400254204</v>
      </c>
      <c r="AP248" s="1"/>
      <c r="AQ248" s="1"/>
      <c r="AR248" s="1"/>
      <c r="AS248" s="1"/>
      <c r="AT248" s="1"/>
    </row>
    <row r="249" spans="1:46">
      <c r="A249" s="1" t="s">
        <v>1180</v>
      </c>
      <c r="B249" s="1">
        <v>173</v>
      </c>
      <c r="C249" s="1" t="s">
        <v>1180</v>
      </c>
      <c r="D249" s="1" t="s">
        <v>1181</v>
      </c>
      <c r="E249" s="1" t="s">
        <v>47</v>
      </c>
      <c r="F249" s="1" t="s">
        <v>1182</v>
      </c>
      <c r="G249" s="1" t="s">
        <v>456</v>
      </c>
      <c r="H249" s="2" t="s">
        <v>1183</v>
      </c>
      <c r="I249" s="1">
        <v>91</v>
      </c>
      <c r="J249" s="1">
        <v>0.2</v>
      </c>
      <c r="K249" s="1" t="s">
        <v>52</v>
      </c>
      <c r="L249" s="1" t="s">
        <v>52</v>
      </c>
      <c r="M249" s="1">
        <v>3.61</v>
      </c>
      <c r="N249" s="1">
        <v>37</v>
      </c>
      <c r="O249" s="1">
        <v>67.475399999999993</v>
      </c>
      <c r="P249" s="1">
        <v>-165.33776</v>
      </c>
      <c r="Q249" s="1">
        <v>5.7954999999999997</v>
      </c>
      <c r="R249" s="1">
        <v>31.992999999999999</v>
      </c>
      <c r="S249" s="1">
        <v>301.62799999999999</v>
      </c>
      <c r="T249" s="1">
        <v>136.47999999999999</v>
      </c>
      <c r="U249" s="1">
        <v>23.02</v>
      </c>
      <c r="V249" s="1">
        <v>2100</v>
      </c>
      <c r="W249" s="3">
        <v>0.32790000000000002</v>
      </c>
      <c r="X249" s="1" t="s">
        <v>1184</v>
      </c>
      <c r="Y249" s="1">
        <v>0.48</v>
      </c>
      <c r="Z249" s="1">
        <v>0.08</v>
      </c>
      <c r="AA249" s="1">
        <v>0.29899999999999999</v>
      </c>
      <c r="AB249" s="1">
        <v>0.6</v>
      </c>
      <c r="AC249" s="1">
        <v>0</v>
      </c>
      <c r="AD249" s="1">
        <v>0</v>
      </c>
      <c r="AE249" s="1">
        <v>7.0000000000000007E-2</v>
      </c>
      <c r="AF249" s="1">
        <v>0</v>
      </c>
      <c r="AG249" s="1"/>
      <c r="AH249" s="1" t="s">
        <v>1185</v>
      </c>
      <c r="AI249" s="1">
        <v>4</v>
      </c>
      <c r="AJ249" s="1" t="s">
        <v>1184</v>
      </c>
      <c r="AK249" s="1">
        <v>1.4</v>
      </c>
      <c r="AL249" s="1">
        <v>94.036699999999996</v>
      </c>
      <c r="AM249" s="1" t="s">
        <v>1184</v>
      </c>
      <c r="AN249" s="1">
        <v>5.92875760208514</v>
      </c>
      <c r="AO249" s="1">
        <v>0.89490680786190802</v>
      </c>
      <c r="AP249" s="1"/>
      <c r="AQ249" s="1"/>
      <c r="AR249" s="1"/>
      <c r="AS249" s="1"/>
      <c r="AT249" s="1"/>
    </row>
    <row r="250" spans="1:46">
      <c r="A250" s="1" t="s">
        <v>1186</v>
      </c>
      <c r="B250" s="1">
        <v>174</v>
      </c>
      <c r="C250" s="1" t="s">
        <v>1186</v>
      </c>
      <c r="D250" s="1" t="s">
        <v>1187</v>
      </c>
      <c r="E250" s="1" t="s">
        <v>47</v>
      </c>
      <c r="F250" s="1" t="s">
        <v>1182</v>
      </c>
      <c r="G250" s="1" t="s">
        <v>456</v>
      </c>
      <c r="H250" s="2" t="s">
        <v>1183</v>
      </c>
      <c r="I250" s="1">
        <v>91</v>
      </c>
      <c r="J250" s="1">
        <v>0.2</v>
      </c>
      <c r="K250" s="1" t="s">
        <v>65</v>
      </c>
      <c r="L250" s="1" t="s">
        <v>65</v>
      </c>
      <c r="M250" s="1">
        <v>20.29</v>
      </c>
      <c r="N250" s="1">
        <v>37</v>
      </c>
      <c r="O250" s="1">
        <v>67.475399999999993</v>
      </c>
      <c r="P250" s="1">
        <v>-165.33778000000001</v>
      </c>
      <c r="Q250" s="1">
        <v>2.7559999999999998</v>
      </c>
      <c r="R250" s="1">
        <v>32.263500000000001</v>
      </c>
      <c r="S250" s="1">
        <v>342.71199999999999</v>
      </c>
      <c r="T250" s="1"/>
      <c r="U250" s="1"/>
      <c r="V250" s="1"/>
      <c r="W250" s="3">
        <v>0.74109999999999998</v>
      </c>
      <c r="X250" s="1" t="s">
        <v>1188</v>
      </c>
      <c r="Y250" s="1">
        <v>0.95</v>
      </c>
      <c r="Z250" s="1">
        <v>0.21</v>
      </c>
      <c r="AA250" s="1">
        <v>0.72899999999999998</v>
      </c>
      <c r="AB250" s="1">
        <v>2.9</v>
      </c>
      <c r="AC250" s="1">
        <v>0.8</v>
      </c>
      <c r="AD250" s="1">
        <v>0.04</v>
      </c>
      <c r="AE250" s="1">
        <v>1.9</v>
      </c>
      <c r="AF250" s="1">
        <v>0.84</v>
      </c>
      <c r="AG250" s="1"/>
      <c r="AH250" s="1" t="s">
        <v>1189</v>
      </c>
      <c r="AI250" s="1">
        <v>2</v>
      </c>
      <c r="AJ250" s="1" t="s">
        <v>1188</v>
      </c>
      <c r="AK250" s="1">
        <v>1.4</v>
      </c>
      <c r="AL250" s="1">
        <v>84.766800000000003</v>
      </c>
      <c r="AM250" s="1" t="s">
        <v>1188</v>
      </c>
      <c r="AN250" s="1"/>
      <c r="AO250" s="1"/>
      <c r="AP250" s="1"/>
      <c r="AQ250" s="1"/>
      <c r="AR250" s="1"/>
      <c r="AS250" s="1"/>
      <c r="AT250" s="1"/>
    </row>
    <row r="251" spans="1:46">
      <c r="A251" s="1" t="s">
        <v>1190</v>
      </c>
      <c r="B251" s="1">
        <v>175</v>
      </c>
      <c r="C251" s="1" t="s">
        <v>1190</v>
      </c>
      <c r="D251" s="1" t="s">
        <v>1191</v>
      </c>
      <c r="E251" s="1" t="s">
        <v>47</v>
      </c>
      <c r="F251" s="1" t="s">
        <v>1182</v>
      </c>
      <c r="G251" s="1" t="s">
        <v>456</v>
      </c>
      <c r="H251" s="2" t="s">
        <v>1183</v>
      </c>
      <c r="I251" s="1">
        <v>91</v>
      </c>
      <c r="J251" s="1">
        <v>0.2</v>
      </c>
      <c r="K251" s="1" t="s">
        <v>150</v>
      </c>
      <c r="L251" s="1" t="s">
        <v>78</v>
      </c>
      <c r="M251" s="1">
        <v>33.340000000000003</v>
      </c>
      <c r="N251" s="1">
        <v>37</v>
      </c>
      <c r="O251" s="1">
        <v>67.475399999999993</v>
      </c>
      <c r="P251" s="1">
        <v>-165.33779999999999</v>
      </c>
      <c r="Q251" s="1">
        <v>1.988</v>
      </c>
      <c r="R251" s="1">
        <v>32.366</v>
      </c>
      <c r="S251" s="1">
        <v>348.76499999999999</v>
      </c>
      <c r="T251" s="1">
        <v>226.12</v>
      </c>
      <c r="U251" s="1">
        <v>39.659999999999997</v>
      </c>
      <c r="V251" s="1">
        <v>4599.99999999999</v>
      </c>
      <c r="W251" s="3">
        <v>0.80159999999999998</v>
      </c>
      <c r="X251" s="1" t="s">
        <v>1192</v>
      </c>
      <c r="Y251" s="1">
        <v>0.67</v>
      </c>
      <c r="Z251" s="1">
        <v>1.07</v>
      </c>
      <c r="AA251" s="1">
        <v>0.87</v>
      </c>
      <c r="AB251" s="1">
        <v>3.3</v>
      </c>
      <c r="AC251" s="1">
        <v>1.2</v>
      </c>
      <c r="AD251" s="1">
        <v>0.06</v>
      </c>
      <c r="AE251" s="1">
        <v>2.75</v>
      </c>
      <c r="AF251" s="1">
        <v>1.26</v>
      </c>
      <c r="AG251" s="1"/>
      <c r="AH251" s="1" t="s">
        <v>1193</v>
      </c>
      <c r="AI251" s="1">
        <v>1</v>
      </c>
      <c r="AJ251" s="1" t="s">
        <v>1192</v>
      </c>
      <c r="AK251" s="1">
        <v>1.4</v>
      </c>
      <c r="AL251" s="1">
        <v>71.097700000000003</v>
      </c>
      <c r="AM251" s="1" t="s">
        <v>1192</v>
      </c>
      <c r="AN251" s="1">
        <v>5.7014624306606203</v>
      </c>
      <c r="AO251" s="1">
        <v>0.86059810274122495</v>
      </c>
      <c r="AP251" s="1"/>
      <c r="AQ251" s="1"/>
      <c r="AR251" s="1"/>
      <c r="AS251" s="1"/>
      <c r="AT251" s="1"/>
    </row>
    <row r="252" spans="1:46">
      <c r="A252" s="1" t="s">
        <v>1194</v>
      </c>
      <c r="B252" s="1">
        <v>176</v>
      </c>
      <c r="C252" s="1" t="s">
        <v>1194</v>
      </c>
      <c r="D252" s="1" t="s">
        <v>1195</v>
      </c>
      <c r="E252" s="1" t="s">
        <v>47</v>
      </c>
      <c r="F252" s="1" t="s">
        <v>1196</v>
      </c>
      <c r="G252" s="1" t="s">
        <v>456</v>
      </c>
      <c r="H252" s="2" t="s">
        <v>1197</v>
      </c>
      <c r="I252" s="1">
        <v>93</v>
      </c>
      <c r="J252" s="1">
        <v>0.2</v>
      </c>
      <c r="K252" s="1" t="s">
        <v>52</v>
      </c>
      <c r="L252" s="1" t="s">
        <v>52</v>
      </c>
      <c r="M252" s="1">
        <v>4.04</v>
      </c>
      <c r="N252" s="1">
        <v>41</v>
      </c>
      <c r="O252" s="1">
        <v>67.347980000000007</v>
      </c>
      <c r="P252" s="1">
        <v>-166.23894000000001</v>
      </c>
      <c r="Q252" s="1">
        <v>4.9119999999999999</v>
      </c>
      <c r="R252" s="1">
        <v>32.088000000000001</v>
      </c>
      <c r="S252" s="1">
        <v>314.62900000000002</v>
      </c>
      <c r="T252" s="1">
        <v>181.24</v>
      </c>
      <c r="U252" s="1">
        <v>34.08</v>
      </c>
      <c r="V252" s="1">
        <v>1920</v>
      </c>
      <c r="W252" s="3">
        <v>0.51029999999999998</v>
      </c>
      <c r="X252" s="1" t="s">
        <v>1198</v>
      </c>
      <c r="Y252" s="1">
        <v>1.06</v>
      </c>
      <c r="Z252" s="1">
        <v>7.0000000000000007E-2</v>
      </c>
      <c r="AA252" s="1">
        <v>0.434</v>
      </c>
      <c r="AB252" s="1">
        <v>1.1000000000000001</v>
      </c>
      <c r="AC252" s="1">
        <v>0.1</v>
      </c>
      <c r="AD252" s="1">
        <v>0.01</v>
      </c>
      <c r="AE252" s="1">
        <v>0.22</v>
      </c>
      <c r="AF252" s="1">
        <v>0.11</v>
      </c>
      <c r="AG252" s="1"/>
      <c r="AH252" s="1" t="s">
        <v>1199</v>
      </c>
      <c r="AI252" s="1">
        <v>5</v>
      </c>
      <c r="AJ252" s="1" t="s">
        <v>1198</v>
      </c>
      <c r="AK252" s="1">
        <v>2</v>
      </c>
      <c r="AL252" s="1">
        <v>90.878399999999999</v>
      </c>
      <c r="AM252" s="1" t="s">
        <v>1198</v>
      </c>
      <c r="AN252" s="1">
        <v>5.3180751173708902</v>
      </c>
      <c r="AO252" s="1">
        <v>0.80272831960315405</v>
      </c>
      <c r="AP252" s="1"/>
      <c r="AQ252" s="1"/>
      <c r="AR252" s="1"/>
      <c r="AS252" s="1"/>
      <c r="AT252" s="1"/>
    </row>
    <row r="253" spans="1:46">
      <c r="A253" s="1" t="s">
        <v>1200</v>
      </c>
      <c r="B253" s="1">
        <v>177</v>
      </c>
      <c r="C253" s="1" t="s">
        <v>1200</v>
      </c>
      <c r="D253" s="1" t="s">
        <v>1201</v>
      </c>
      <c r="E253" s="1" t="s">
        <v>47</v>
      </c>
      <c r="F253" s="1" t="s">
        <v>1196</v>
      </c>
      <c r="G253" s="1" t="s">
        <v>456</v>
      </c>
      <c r="H253" s="2" t="s">
        <v>1197</v>
      </c>
      <c r="I253" s="1">
        <v>93</v>
      </c>
      <c r="J253" s="1">
        <v>0.2</v>
      </c>
      <c r="K253" s="1" t="s">
        <v>65</v>
      </c>
      <c r="L253" s="1" t="s">
        <v>65</v>
      </c>
      <c r="M253" s="1">
        <v>20.41</v>
      </c>
      <c r="N253" s="1">
        <v>41</v>
      </c>
      <c r="O253" s="1">
        <v>67.347970000000004</v>
      </c>
      <c r="P253" s="1">
        <v>-166.23894000000001</v>
      </c>
      <c r="Q253" s="1">
        <v>4.7430000000000003</v>
      </c>
      <c r="R253" s="1">
        <v>32.087499999999999</v>
      </c>
      <c r="S253" s="1">
        <v>316.87700000000001</v>
      </c>
      <c r="T253" s="1"/>
      <c r="U253" s="1"/>
      <c r="V253" s="1"/>
      <c r="W253" s="3">
        <v>0.75670000000000004</v>
      </c>
      <c r="X253" s="1" t="s">
        <v>1202</v>
      </c>
      <c r="Y253" s="1">
        <v>0.87</v>
      </c>
      <c r="Z253" s="1">
        <v>0.25</v>
      </c>
      <c r="AA253" s="1">
        <v>0.52600000000000002</v>
      </c>
      <c r="AB253" s="1">
        <v>1.6</v>
      </c>
      <c r="AC253" s="1">
        <v>0.2</v>
      </c>
      <c r="AD253" s="1">
        <v>0.02</v>
      </c>
      <c r="AE253" s="1">
        <v>0.68</v>
      </c>
      <c r="AF253" s="1">
        <v>0.22</v>
      </c>
      <c r="AG253" s="1"/>
      <c r="AH253" s="1" t="s">
        <v>1203</v>
      </c>
      <c r="AI253" s="1">
        <v>3</v>
      </c>
      <c r="AJ253" s="1" t="s">
        <v>1202</v>
      </c>
      <c r="AK253" s="1">
        <v>2</v>
      </c>
      <c r="AL253" s="1">
        <v>90.849100000000007</v>
      </c>
      <c r="AM253" s="1" t="s">
        <v>1202</v>
      </c>
      <c r="AN253" s="1"/>
      <c r="AO253" s="1"/>
      <c r="AP253" s="1"/>
      <c r="AQ253" s="1"/>
      <c r="AR253" s="1"/>
      <c r="AS253" s="1"/>
      <c r="AT253" s="1"/>
    </row>
    <row r="254" spans="1:46">
      <c r="A254" s="1" t="s">
        <v>1204</v>
      </c>
      <c r="B254" s="1">
        <v>178</v>
      </c>
      <c r="C254" s="1" t="s">
        <v>1204</v>
      </c>
      <c r="D254" s="1" t="s">
        <v>1205</v>
      </c>
      <c r="E254" s="1" t="s">
        <v>47</v>
      </c>
      <c r="F254" s="1" t="s">
        <v>1196</v>
      </c>
      <c r="G254" s="1" t="s">
        <v>456</v>
      </c>
      <c r="H254" s="2" t="s">
        <v>1197</v>
      </c>
      <c r="I254" s="1">
        <v>93</v>
      </c>
      <c r="J254" s="1">
        <v>0.2</v>
      </c>
      <c r="K254" s="1" t="s">
        <v>150</v>
      </c>
      <c r="L254" s="1" t="s">
        <v>78</v>
      </c>
      <c r="M254" s="1">
        <v>35.93</v>
      </c>
      <c r="N254" s="1">
        <v>41</v>
      </c>
      <c r="O254" s="1">
        <v>67.34796</v>
      </c>
      <c r="P254" s="1">
        <v>-166.23894000000001</v>
      </c>
      <c r="Q254" s="1">
        <v>2.1795</v>
      </c>
      <c r="R254" s="1">
        <v>32.131999999999998</v>
      </c>
      <c r="S254" s="1">
        <v>340.59</v>
      </c>
      <c r="T254" s="1">
        <v>219.04</v>
      </c>
      <c r="U254" s="1">
        <v>33.92</v>
      </c>
      <c r="V254" s="1">
        <v>5860.00000000001</v>
      </c>
      <c r="W254" s="3">
        <v>0.8387</v>
      </c>
      <c r="X254" s="1" t="s">
        <v>1206</v>
      </c>
      <c r="Y254" s="1">
        <v>0.79</v>
      </c>
      <c r="Z254" s="1">
        <v>1.53</v>
      </c>
      <c r="AA254" s="1">
        <v>0.85799999999999998</v>
      </c>
      <c r="AB254" s="1">
        <v>3.7</v>
      </c>
      <c r="AC254" s="1">
        <v>0.5</v>
      </c>
      <c r="AD254" s="1">
        <v>0.05</v>
      </c>
      <c r="AE254" s="1">
        <v>2.37</v>
      </c>
      <c r="AF254" s="1">
        <v>0.55000000000000004</v>
      </c>
      <c r="AG254" s="1"/>
      <c r="AH254" s="1" t="s">
        <v>1207</v>
      </c>
      <c r="AI254" s="1">
        <v>1</v>
      </c>
      <c r="AJ254" s="1" t="s">
        <v>1206</v>
      </c>
      <c r="AK254" s="1">
        <v>2</v>
      </c>
      <c r="AL254" s="1">
        <v>61.824599999999997</v>
      </c>
      <c r="AM254" s="1" t="s">
        <v>1206</v>
      </c>
      <c r="AN254" s="1">
        <v>6.4575471698113196</v>
      </c>
      <c r="AO254" s="1">
        <v>0.97472410110359597</v>
      </c>
      <c r="AP254" s="1"/>
      <c r="AQ254" s="1"/>
      <c r="AR254" s="1"/>
      <c r="AS254" s="1"/>
      <c r="AT254" s="1"/>
    </row>
    <row r="255" spans="1:46">
      <c r="A255" s="1" t="s">
        <v>1208</v>
      </c>
      <c r="B255" s="1">
        <v>179</v>
      </c>
      <c r="C255" s="1" t="s">
        <v>1208</v>
      </c>
      <c r="D255" s="1" t="s">
        <v>1209</v>
      </c>
      <c r="E255" s="1" t="s">
        <v>47</v>
      </c>
      <c r="F255" s="1" t="s">
        <v>1210</v>
      </c>
      <c r="G255" s="1" t="s">
        <v>456</v>
      </c>
      <c r="H255" s="2" t="s">
        <v>1211</v>
      </c>
      <c r="I255" s="1">
        <v>95</v>
      </c>
      <c r="J255" s="1">
        <v>0.2</v>
      </c>
      <c r="K255" s="1" t="s">
        <v>52</v>
      </c>
      <c r="L255" s="1" t="s">
        <v>52</v>
      </c>
      <c r="M255" s="1">
        <v>3.58</v>
      </c>
      <c r="N255" s="1">
        <v>43</v>
      </c>
      <c r="O255" s="1">
        <v>67.219899999999996</v>
      </c>
      <c r="P255" s="1">
        <v>-167.14944</v>
      </c>
      <c r="Q255" s="1">
        <v>2.8050000000000002</v>
      </c>
      <c r="R255" s="1">
        <v>32.343000000000004</v>
      </c>
      <c r="S255" s="1">
        <v>336.27800000000002</v>
      </c>
      <c r="T255" s="1">
        <v>217.86</v>
      </c>
      <c r="U255" s="1">
        <v>36.36</v>
      </c>
      <c r="V255" s="1">
        <v>3560.00000000001</v>
      </c>
      <c r="W255" s="3">
        <v>9.8900000000000002E-2</v>
      </c>
      <c r="X255" s="1" t="s">
        <v>1212</v>
      </c>
      <c r="Y255" s="1">
        <v>0.41</v>
      </c>
      <c r="Z255" s="1">
        <v>0.57999999999999996</v>
      </c>
      <c r="AA255" s="1">
        <v>0.82</v>
      </c>
      <c r="AB255" s="1">
        <v>2.5</v>
      </c>
      <c r="AC255" s="1">
        <v>1.1000000000000001</v>
      </c>
      <c r="AD255" s="1">
        <v>0.06</v>
      </c>
      <c r="AE255" s="1">
        <v>2.17</v>
      </c>
      <c r="AF255" s="1">
        <v>1.1599999999999999</v>
      </c>
      <c r="AG255" s="1"/>
      <c r="AH255" s="1" t="s">
        <v>1213</v>
      </c>
      <c r="AI255" s="1">
        <v>5</v>
      </c>
      <c r="AJ255" s="1" t="s">
        <v>1212</v>
      </c>
      <c r="AK255" s="1">
        <v>2</v>
      </c>
      <c r="AL255" s="1">
        <v>76.289900000000003</v>
      </c>
      <c r="AM255" s="1" t="s">
        <v>1212</v>
      </c>
      <c r="AN255" s="1">
        <v>5.9917491749174898</v>
      </c>
      <c r="AO255" s="1">
        <v>0.90441496979886704</v>
      </c>
      <c r="AP255" s="1"/>
      <c r="AQ255" s="1"/>
      <c r="AR255" s="1"/>
      <c r="AS255" s="1"/>
      <c r="AT255" s="1"/>
    </row>
    <row r="256" spans="1:46">
      <c r="A256" s="1" t="s">
        <v>1214</v>
      </c>
      <c r="B256" s="1">
        <v>180</v>
      </c>
      <c r="C256" s="1" t="s">
        <v>1214</v>
      </c>
      <c r="D256" s="1" t="s">
        <v>1215</v>
      </c>
      <c r="E256" s="1" t="s">
        <v>47</v>
      </c>
      <c r="F256" s="1" t="s">
        <v>1210</v>
      </c>
      <c r="G256" s="1" t="s">
        <v>456</v>
      </c>
      <c r="H256" s="2" t="s">
        <v>1211</v>
      </c>
      <c r="I256" s="1">
        <v>95</v>
      </c>
      <c r="J256" s="1">
        <v>0.2</v>
      </c>
      <c r="K256" s="1" t="s">
        <v>65</v>
      </c>
      <c r="L256" s="1" t="s">
        <v>65</v>
      </c>
      <c r="M256" s="1">
        <v>30.27</v>
      </c>
      <c r="N256" s="1">
        <v>43</v>
      </c>
      <c r="O256" s="1">
        <v>67.219890000000007</v>
      </c>
      <c r="P256" s="1">
        <v>-167.14944</v>
      </c>
      <c r="Q256" s="1">
        <v>2.661</v>
      </c>
      <c r="R256" s="1">
        <v>32.354500000000002</v>
      </c>
      <c r="S256" s="1">
        <v>334.06</v>
      </c>
      <c r="T256" s="1"/>
      <c r="U256" s="1"/>
      <c r="V256" s="1"/>
      <c r="W256" s="3">
        <v>0.42059999999999997</v>
      </c>
      <c r="X256" s="1" t="s">
        <v>1216</v>
      </c>
      <c r="Y256" s="1">
        <v>0.68</v>
      </c>
      <c r="Z256" s="1">
        <v>0.97</v>
      </c>
      <c r="AA256" s="1">
        <v>0.78</v>
      </c>
      <c r="AB256" s="1">
        <v>3.7</v>
      </c>
      <c r="AC256" s="1">
        <v>1.3</v>
      </c>
      <c r="AD256" s="1">
        <v>0.05</v>
      </c>
      <c r="AE256" s="1">
        <v>2.13</v>
      </c>
      <c r="AF256" s="1">
        <v>1.35</v>
      </c>
      <c r="AG256" s="1"/>
      <c r="AH256" s="1" t="s">
        <v>1217</v>
      </c>
      <c r="AI256" s="1">
        <v>2</v>
      </c>
      <c r="AJ256" s="1" t="s">
        <v>1216</v>
      </c>
      <c r="AK256" s="1">
        <v>2</v>
      </c>
      <c r="AL256" s="1">
        <v>76.568299999999994</v>
      </c>
      <c r="AM256" s="1" t="s">
        <v>1216</v>
      </c>
      <c r="AN256" s="1"/>
      <c r="AO256" s="1"/>
      <c r="AP256" s="1"/>
      <c r="AQ256" s="1"/>
      <c r="AR256" s="1"/>
      <c r="AS256" s="1"/>
      <c r="AT256" s="1"/>
    </row>
    <row r="257" spans="1:46">
      <c r="A257" s="1" t="s">
        <v>1218</v>
      </c>
      <c r="B257" s="1">
        <v>181</v>
      </c>
      <c r="C257" s="1" t="s">
        <v>1218</v>
      </c>
      <c r="D257" s="1" t="s">
        <v>1219</v>
      </c>
      <c r="E257" s="1" t="s">
        <v>47</v>
      </c>
      <c r="F257" s="1" t="s">
        <v>1210</v>
      </c>
      <c r="G257" s="1" t="s">
        <v>456</v>
      </c>
      <c r="H257" s="2" t="s">
        <v>1211</v>
      </c>
      <c r="I257" s="1">
        <v>95</v>
      </c>
      <c r="J257" s="1">
        <v>0.2</v>
      </c>
      <c r="K257" s="1" t="s">
        <v>150</v>
      </c>
      <c r="L257" s="1" t="s">
        <v>78</v>
      </c>
      <c r="M257" s="1">
        <v>39.31</v>
      </c>
      <c r="N257" s="1">
        <v>43</v>
      </c>
      <c r="O257" s="1">
        <v>67.219899999999996</v>
      </c>
      <c r="P257" s="1">
        <v>-167.14944</v>
      </c>
      <c r="Q257" s="1">
        <v>2.7370000000000001</v>
      </c>
      <c r="R257" s="1">
        <v>32.454999999999998</v>
      </c>
      <c r="S257" s="1">
        <v>314.11700000000002</v>
      </c>
      <c r="T257" s="1">
        <v>267.76</v>
      </c>
      <c r="U257" s="1">
        <v>44.9</v>
      </c>
      <c r="V257" s="1">
        <v>5120</v>
      </c>
      <c r="W257" s="3">
        <v>0.67469999999999997</v>
      </c>
      <c r="X257" s="1" t="s">
        <v>1220</v>
      </c>
      <c r="Y257" s="1">
        <v>1.43</v>
      </c>
      <c r="Z257" s="1">
        <v>1.32</v>
      </c>
      <c r="AA257" s="1">
        <v>1.002</v>
      </c>
      <c r="AB257" s="1">
        <v>4.2</v>
      </c>
      <c r="AC257" s="1">
        <v>3.2</v>
      </c>
      <c r="AD257" s="1">
        <v>0.11</v>
      </c>
      <c r="AE257" s="1">
        <v>3.43</v>
      </c>
      <c r="AF257" s="1">
        <v>3.31</v>
      </c>
      <c r="AG257" s="1"/>
      <c r="AH257" s="1" t="s">
        <v>1221</v>
      </c>
      <c r="AI257" s="1">
        <v>1</v>
      </c>
      <c r="AJ257" s="1" t="s">
        <v>1220</v>
      </c>
      <c r="AK257" s="1">
        <v>2</v>
      </c>
      <c r="AL257" s="1">
        <v>61.688099999999999</v>
      </c>
      <c r="AM257" s="1" t="s">
        <v>1220</v>
      </c>
      <c r="AN257" s="1">
        <v>5.9634743875278398</v>
      </c>
      <c r="AO257" s="1">
        <v>0.90014707736269295</v>
      </c>
      <c r="AP257" s="1"/>
      <c r="AQ257" s="1"/>
      <c r="AR257" s="1"/>
      <c r="AS257" s="1"/>
      <c r="AT257" s="1"/>
    </row>
    <row r="258" spans="1:46">
      <c r="A258" s="1" t="s">
        <v>1222</v>
      </c>
      <c r="B258" s="1">
        <v>182</v>
      </c>
      <c r="C258" s="1" t="s">
        <v>1222</v>
      </c>
      <c r="D258" s="1" t="s">
        <v>1223</v>
      </c>
      <c r="E258" s="1" t="s">
        <v>47</v>
      </c>
      <c r="F258" s="1" t="s">
        <v>1224</v>
      </c>
      <c r="G258" s="1" t="s">
        <v>456</v>
      </c>
      <c r="H258" s="2" t="s">
        <v>1225</v>
      </c>
      <c r="I258" s="1">
        <v>97</v>
      </c>
      <c r="J258" s="1">
        <v>0.2</v>
      </c>
      <c r="K258" s="1" t="s">
        <v>52</v>
      </c>
      <c r="L258" s="1" t="s">
        <v>52</v>
      </c>
      <c r="M258" s="1">
        <v>3.87</v>
      </c>
      <c r="N258" s="1">
        <v>37</v>
      </c>
      <c r="O258" s="1">
        <v>67.091419999999999</v>
      </c>
      <c r="P258" s="1">
        <v>-168.04751999999999</v>
      </c>
      <c r="Q258" s="1">
        <v>2.9935</v>
      </c>
      <c r="R258" s="1">
        <v>32.298000000000002</v>
      </c>
      <c r="S258" s="1">
        <v>345.20600000000002</v>
      </c>
      <c r="T258" s="1">
        <v>184.66</v>
      </c>
      <c r="U258" s="1">
        <v>32.340000000000003</v>
      </c>
      <c r="V258" s="1">
        <v>6720</v>
      </c>
      <c r="W258" s="3">
        <v>0.35899999999999999</v>
      </c>
      <c r="X258" s="1" t="s">
        <v>1226</v>
      </c>
      <c r="Y258" s="1">
        <v>0.22</v>
      </c>
      <c r="Z258" s="1">
        <v>0.87</v>
      </c>
      <c r="AA258" s="1">
        <v>0.73599999999999999</v>
      </c>
      <c r="AB258" s="1">
        <v>2.7</v>
      </c>
      <c r="AC258" s="1">
        <v>1.5</v>
      </c>
      <c r="AD258" s="1">
        <v>0.04</v>
      </c>
      <c r="AE258" s="1">
        <v>1.61</v>
      </c>
      <c r="AF258" s="1">
        <v>1.54</v>
      </c>
      <c r="AG258" s="1"/>
      <c r="AH258" s="1" t="s">
        <v>1227</v>
      </c>
      <c r="AI258" s="1">
        <v>4</v>
      </c>
      <c r="AJ258" s="1" t="s">
        <v>1226</v>
      </c>
      <c r="AK258" s="1">
        <v>2</v>
      </c>
      <c r="AL258" s="1">
        <v>79.593699999999998</v>
      </c>
      <c r="AM258" s="1" t="s">
        <v>1226</v>
      </c>
      <c r="AN258" s="1">
        <v>5.7099567099567103</v>
      </c>
      <c r="AO258" s="1">
        <v>0.86188025810667301</v>
      </c>
      <c r="AP258" s="1"/>
      <c r="AQ258" s="1"/>
      <c r="AR258" s="1"/>
      <c r="AS258" s="1"/>
      <c r="AT258" s="1"/>
    </row>
    <row r="259" spans="1:46">
      <c r="A259" s="1" t="s">
        <v>1228</v>
      </c>
      <c r="B259" s="1">
        <v>183</v>
      </c>
      <c r="C259" s="1" t="s">
        <v>1228</v>
      </c>
      <c r="D259" s="1" t="s">
        <v>1229</v>
      </c>
      <c r="E259" s="1" t="s">
        <v>47</v>
      </c>
      <c r="F259" s="1" t="s">
        <v>1224</v>
      </c>
      <c r="G259" s="1" t="s">
        <v>456</v>
      </c>
      <c r="H259" s="2" t="s">
        <v>1225</v>
      </c>
      <c r="I259" s="1">
        <v>97</v>
      </c>
      <c r="J259" s="1">
        <v>0.2</v>
      </c>
      <c r="K259" s="1" t="s">
        <v>150</v>
      </c>
      <c r="L259" s="1" t="s">
        <v>78</v>
      </c>
      <c r="M259" s="1">
        <v>33.43</v>
      </c>
      <c r="N259" s="1">
        <v>37</v>
      </c>
      <c r="O259" s="1">
        <v>67.091419999999999</v>
      </c>
      <c r="P259" s="1">
        <v>-168.04754</v>
      </c>
      <c r="Q259" s="1">
        <v>2.7349999999999999</v>
      </c>
      <c r="R259" s="1">
        <v>32.310499999999998</v>
      </c>
      <c r="S259" s="1">
        <v>345.685</v>
      </c>
      <c r="T259" s="1">
        <v>214.34</v>
      </c>
      <c r="U259" s="1">
        <v>34.54</v>
      </c>
      <c r="V259" s="1">
        <v>7800</v>
      </c>
      <c r="W259" s="3">
        <v>0.43669999999999998</v>
      </c>
      <c r="X259" s="1" t="s">
        <v>1230</v>
      </c>
      <c r="Y259" s="1">
        <v>0.46</v>
      </c>
      <c r="Z259" s="1">
        <v>1.57</v>
      </c>
      <c r="AA259" s="1">
        <v>0.77200000000000002</v>
      </c>
      <c r="AB259" s="1">
        <v>2.9</v>
      </c>
      <c r="AC259" s="1">
        <v>1</v>
      </c>
      <c r="AD259" s="1">
        <v>0.04</v>
      </c>
      <c r="AE259" s="1">
        <v>1.93</v>
      </c>
      <c r="AF259" s="1">
        <v>1.04</v>
      </c>
      <c r="AG259" s="1"/>
      <c r="AH259" s="1" t="s">
        <v>1231</v>
      </c>
      <c r="AI259" s="1">
        <v>1</v>
      </c>
      <c r="AJ259" s="1" t="s">
        <v>1230</v>
      </c>
      <c r="AK259" s="1">
        <v>2</v>
      </c>
      <c r="AL259" s="1">
        <v>64.0869</v>
      </c>
      <c r="AM259" s="1" t="s">
        <v>1230</v>
      </c>
      <c r="AN259" s="1">
        <v>6.2055587724377501</v>
      </c>
      <c r="AO259" s="1">
        <v>0.93668811659437801</v>
      </c>
      <c r="AP259" s="1"/>
      <c r="AQ259" s="1"/>
      <c r="AR259" s="1"/>
      <c r="AS259" s="1"/>
      <c r="AT259" s="1"/>
    </row>
    <row r="260" spans="1:46">
      <c r="A260" s="1" t="s">
        <v>1232</v>
      </c>
      <c r="B260" s="1">
        <v>48</v>
      </c>
      <c r="C260" s="1" t="s">
        <v>1232</v>
      </c>
      <c r="D260" s="1" t="s">
        <v>1233</v>
      </c>
      <c r="E260" s="1" t="s">
        <v>47</v>
      </c>
      <c r="F260" s="1" t="s">
        <v>1234</v>
      </c>
      <c r="G260" s="1" t="s">
        <v>456</v>
      </c>
      <c r="H260" s="2" t="s">
        <v>1235</v>
      </c>
      <c r="I260" s="1">
        <v>25</v>
      </c>
      <c r="J260" s="1">
        <v>0.2</v>
      </c>
      <c r="K260" s="1" t="s">
        <v>52</v>
      </c>
      <c r="L260" s="1" t="s">
        <v>52</v>
      </c>
      <c r="M260" s="1">
        <v>3.02</v>
      </c>
      <c r="N260" s="1">
        <v>36</v>
      </c>
      <c r="O260" s="1">
        <v>67.610820000000004</v>
      </c>
      <c r="P260" s="1">
        <v>-164.93350000000001</v>
      </c>
      <c r="Q260" s="1">
        <v>5.1645000000000003</v>
      </c>
      <c r="R260" s="1">
        <v>31.103000000000002</v>
      </c>
      <c r="S260" s="1">
        <v>347.82600000000002</v>
      </c>
      <c r="T260" s="1"/>
      <c r="U260" s="1"/>
      <c r="V260" s="1"/>
      <c r="W260" s="3">
        <v>0.1575</v>
      </c>
      <c r="X260" s="1" t="s">
        <v>1236</v>
      </c>
      <c r="Y260" s="1"/>
      <c r="Z260" s="1"/>
      <c r="AA260" s="1">
        <v>0.50800000000000001</v>
      </c>
      <c r="AB260" s="1">
        <v>2.1</v>
      </c>
      <c r="AC260" s="1">
        <v>0.2</v>
      </c>
      <c r="AD260" s="1">
        <v>0</v>
      </c>
      <c r="AE260" s="1">
        <v>0.04</v>
      </c>
      <c r="AF260" s="1">
        <v>0.2</v>
      </c>
      <c r="AG260" s="1"/>
      <c r="AH260" s="1" t="s">
        <v>1237</v>
      </c>
      <c r="AI260" s="1">
        <v>8</v>
      </c>
      <c r="AJ260" s="1" t="s">
        <v>1238</v>
      </c>
      <c r="AK260" s="1">
        <v>1.1000000000000001</v>
      </c>
      <c r="AL260" s="1">
        <v>91.657600000000002</v>
      </c>
      <c r="AM260" s="1" t="s">
        <v>1236</v>
      </c>
      <c r="AN260" s="1"/>
      <c r="AO260" s="1"/>
      <c r="AP260" s="1"/>
      <c r="AQ260" s="1"/>
      <c r="AR260" s="1"/>
      <c r="AS260" s="1" t="s">
        <v>1239</v>
      </c>
      <c r="AT260" s="1"/>
    </row>
    <row r="261" spans="1:46">
      <c r="A261" s="1" t="s">
        <v>1240</v>
      </c>
      <c r="B261" s="1">
        <v>50</v>
      </c>
      <c r="C261" s="1" t="s">
        <v>1240</v>
      </c>
      <c r="D261" s="1" t="s">
        <v>1241</v>
      </c>
      <c r="E261" s="1" t="s">
        <v>47</v>
      </c>
      <c r="F261" s="1" t="s">
        <v>1234</v>
      </c>
      <c r="G261" s="1" t="s">
        <v>456</v>
      </c>
      <c r="H261" s="2" t="s">
        <v>1235</v>
      </c>
      <c r="I261" s="1">
        <v>25</v>
      </c>
      <c r="J261" s="1">
        <v>0.2</v>
      </c>
      <c r="K261" s="1"/>
      <c r="L261" s="1" t="s">
        <v>65</v>
      </c>
      <c r="M261" s="1">
        <v>10.16</v>
      </c>
      <c r="N261" s="1">
        <v>36</v>
      </c>
      <c r="O261" s="1">
        <v>67.610820000000004</v>
      </c>
      <c r="P261" s="1">
        <v>-164.93348</v>
      </c>
      <c r="Q261" s="1">
        <v>1.5945</v>
      </c>
      <c r="R261" s="1">
        <v>31.5945</v>
      </c>
      <c r="S261" s="1">
        <v>398.00799999999998</v>
      </c>
      <c r="T261" s="1"/>
      <c r="U261" s="1"/>
      <c r="V261" s="1"/>
      <c r="W261" s="3">
        <v>0.37340000000000001</v>
      </c>
      <c r="X261" s="1" t="s">
        <v>1242</v>
      </c>
      <c r="Y261" s="1"/>
      <c r="Z261" s="1"/>
      <c r="AA261" s="1">
        <v>0.49399999999999999</v>
      </c>
      <c r="AB261" s="1">
        <v>3.3</v>
      </c>
      <c r="AC261" s="1">
        <v>0</v>
      </c>
      <c r="AD261" s="1">
        <v>0</v>
      </c>
      <c r="AE261" s="1">
        <v>0.04</v>
      </c>
      <c r="AF261" s="1">
        <v>0</v>
      </c>
      <c r="AG261" s="1"/>
      <c r="AH261" s="1" t="s">
        <v>1243</v>
      </c>
      <c r="AI261" s="1">
        <v>5</v>
      </c>
      <c r="AJ261" s="1" t="s">
        <v>1242</v>
      </c>
      <c r="AK261" s="1">
        <v>1.1000000000000001</v>
      </c>
      <c r="AL261" s="1">
        <v>91.601100000000002</v>
      </c>
      <c r="AM261" s="1" t="s">
        <v>1242</v>
      </c>
      <c r="AN261" s="1"/>
      <c r="AO261" s="1"/>
      <c r="AP261" s="1"/>
      <c r="AQ261" s="1"/>
      <c r="AR261" s="1"/>
      <c r="AS261" s="1" t="s">
        <v>1244</v>
      </c>
      <c r="AT261" s="1"/>
    </row>
    <row r="262" spans="1:46">
      <c r="A262" s="1" t="s">
        <v>1245</v>
      </c>
      <c r="B262" s="1">
        <v>49</v>
      </c>
      <c r="C262" s="1" t="s">
        <v>1245</v>
      </c>
      <c r="D262" s="1" t="s">
        <v>1246</v>
      </c>
      <c r="E262" s="1" t="s">
        <v>47</v>
      </c>
      <c r="F262" s="1" t="s">
        <v>1234</v>
      </c>
      <c r="G262" s="1" t="s">
        <v>456</v>
      </c>
      <c r="H262" s="2" t="s">
        <v>1235</v>
      </c>
      <c r="I262" s="1">
        <v>25</v>
      </c>
      <c r="J262" s="1">
        <v>0.2</v>
      </c>
      <c r="K262" s="1"/>
      <c r="L262" s="1" t="s">
        <v>65</v>
      </c>
      <c r="M262" s="1">
        <v>20.100000000000001</v>
      </c>
      <c r="N262" s="1">
        <v>36</v>
      </c>
      <c r="O262" s="1">
        <v>67.610820000000004</v>
      </c>
      <c r="P262" s="1">
        <v>-164.93348</v>
      </c>
      <c r="Q262" s="1">
        <v>0.59099999999999997</v>
      </c>
      <c r="R262" s="1">
        <v>31.666</v>
      </c>
      <c r="S262" s="1">
        <v>398.68900000000002</v>
      </c>
      <c r="T262" s="1"/>
      <c r="U262" s="1"/>
      <c r="V262" s="1"/>
      <c r="W262" s="3">
        <v>1.1209</v>
      </c>
      <c r="X262" s="1" t="s">
        <v>1247</v>
      </c>
      <c r="Y262" s="1"/>
      <c r="Z262" s="1"/>
      <c r="AA262" s="1">
        <v>0.77100000000000002</v>
      </c>
      <c r="AB262" s="1">
        <v>7.6</v>
      </c>
      <c r="AC262" s="1">
        <v>1.2</v>
      </c>
      <c r="AD262" s="1">
        <v>0.05</v>
      </c>
      <c r="AE262" s="1">
        <v>0.32</v>
      </c>
      <c r="AF262" s="1">
        <v>1.25</v>
      </c>
      <c r="AG262" s="1"/>
      <c r="AH262" s="1" t="s">
        <v>1248</v>
      </c>
      <c r="AI262" s="1">
        <v>3</v>
      </c>
      <c r="AJ262" s="1" t="s">
        <v>1247</v>
      </c>
      <c r="AK262" s="1">
        <v>1.1000000000000001</v>
      </c>
      <c r="AL262" s="1">
        <v>89.042299999999997</v>
      </c>
      <c r="AM262" s="1" t="s">
        <v>1247</v>
      </c>
      <c r="AN262" s="1"/>
      <c r="AO262" s="1"/>
      <c r="AP262" s="1"/>
      <c r="AQ262" s="1"/>
      <c r="AR262" s="1"/>
      <c r="AS262" s="1"/>
      <c r="AT262" s="1"/>
    </row>
    <row r="263" spans="1:46">
      <c r="A263" s="1" t="s">
        <v>1249</v>
      </c>
      <c r="B263" s="1">
        <v>51</v>
      </c>
      <c r="C263" s="1" t="s">
        <v>1249</v>
      </c>
      <c r="D263" s="1" t="s">
        <v>1250</v>
      </c>
      <c r="E263" s="1" t="s">
        <v>47</v>
      </c>
      <c r="F263" s="1" t="s">
        <v>1234</v>
      </c>
      <c r="G263" s="1" t="s">
        <v>456</v>
      </c>
      <c r="H263" s="2" t="s">
        <v>1235</v>
      </c>
      <c r="I263" s="1">
        <v>25</v>
      </c>
      <c r="J263" s="1">
        <v>0.2</v>
      </c>
      <c r="K263" s="1" t="s">
        <v>261</v>
      </c>
      <c r="L263" s="1" t="s">
        <v>78</v>
      </c>
      <c r="M263" s="1">
        <v>32.729999999999997</v>
      </c>
      <c r="N263" s="1">
        <v>36</v>
      </c>
      <c r="O263" s="1">
        <v>67.610820000000004</v>
      </c>
      <c r="P263" s="1">
        <v>-164.93348</v>
      </c>
      <c r="Q263" s="1">
        <v>-1.4245000000000001</v>
      </c>
      <c r="R263" s="1">
        <v>31.8535</v>
      </c>
      <c r="S263" s="1">
        <v>383.35300000000001</v>
      </c>
      <c r="T263" s="1"/>
      <c r="U263" s="1"/>
      <c r="V263" s="1"/>
      <c r="W263" s="3">
        <v>6.1409000000000002</v>
      </c>
      <c r="X263" s="1" t="s">
        <v>1251</v>
      </c>
      <c r="Y263" s="1"/>
      <c r="Z263" s="1"/>
      <c r="AA263" s="1">
        <v>1.081</v>
      </c>
      <c r="AB263" s="1">
        <v>16.899999999999999</v>
      </c>
      <c r="AC263" s="1">
        <v>2.9</v>
      </c>
      <c r="AD263" s="1">
        <v>0.11</v>
      </c>
      <c r="AE263" s="1">
        <v>0.27</v>
      </c>
      <c r="AF263" s="1">
        <v>3.01</v>
      </c>
      <c r="AG263" s="1"/>
      <c r="AH263" s="1" t="s">
        <v>1252</v>
      </c>
      <c r="AI263" s="1">
        <v>2</v>
      </c>
      <c r="AJ263" s="1" t="s">
        <v>1253</v>
      </c>
      <c r="AK263" s="1">
        <v>1.1000000000000001</v>
      </c>
      <c r="AL263" s="1">
        <v>78.195400000000006</v>
      </c>
      <c r="AM263" s="1" t="s">
        <v>1251</v>
      </c>
      <c r="AN263" s="1"/>
      <c r="AO263" s="1"/>
      <c r="AP263" s="1"/>
      <c r="AQ263" s="1"/>
      <c r="AR263" s="1"/>
      <c r="AS263" s="1"/>
      <c r="AT263" s="1"/>
    </row>
    <row r="264" spans="1:46">
      <c r="A264" s="1" t="s">
        <v>1254</v>
      </c>
      <c r="B264" s="1">
        <v>53</v>
      </c>
      <c r="C264" s="1" t="s">
        <v>1254</v>
      </c>
      <c r="D264" s="1" t="s">
        <v>1255</v>
      </c>
      <c r="E264" s="1" t="s">
        <v>47</v>
      </c>
      <c r="F264" s="1" t="s">
        <v>1256</v>
      </c>
      <c r="G264" s="1" t="s">
        <v>456</v>
      </c>
      <c r="H264" s="2" t="s">
        <v>1257</v>
      </c>
      <c r="I264" s="1">
        <v>27</v>
      </c>
      <c r="J264" s="1">
        <v>0.2</v>
      </c>
      <c r="K264" s="1" t="s">
        <v>52</v>
      </c>
      <c r="L264" s="1" t="s">
        <v>52</v>
      </c>
      <c r="M264" s="1">
        <v>2.75</v>
      </c>
      <c r="N264" s="1">
        <v>43</v>
      </c>
      <c r="O264" s="1">
        <v>67.62518</v>
      </c>
      <c r="P264" s="1">
        <v>-165.93894</v>
      </c>
      <c r="Q264" s="1">
        <v>4.194</v>
      </c>
      <c r="R264" s="1">
        <v>32.401000000000003</v>
      </c>
      <c r="S264" s="1">
        <v>346.14100000000002</v>
      </c>
      <c r="T264" s="1"/>
      <c r="U264" s="1"/>
      <c r="V264" s="1"/>
      <c r="W264" s="3">
        <v>0.2089</v>
      </c>
      <c r="X264" s="1" t="s">
        <v>1258</v>
      </c>
      <c r="Y264" s="1"/>
      <c r="Z264" s="1"/>
      <c r="AA264" s="1">
        <v>0.59099999999999997</v>
      </c>
      <c r="AB264" s="1">
        <v>1.2</v>
      </c>
      <c r="AC264" s="1">
        <v>0</v>
      </c>
      <c r="AD264" s="1">
        <v>0.01</v>
      </c>
      <c r="AE264" s="1">
        <v>0.25</v>
      </c>
      <c r="AF264" s="1">
        <v>0.01</v>
      </c>
      <c r="AG264" s="1"/>
      <c r="AH264" s="1" t="s">
        <v>1259</v>
      </c>
      <c r="AI264" s="1">
        <v>5</v>
      </c>
      <c r="AJ264" s="1" t="s">
        <v>1258</v>
      </c>
      <c r="AK264" s="1">
        <v>1.1000000000000001</v>
      </c>
      <c r="AL264" s="1">
        <v>89.686499999999995</v>
      </c>
      <c r="AM264" s="1" t="s">
        <v>1258</v>
      </c>
      <c r="AN264" s="1"/>
      <c r="AO264" s="1"/>
      <c r="AP264" s="1"/>
      <c r="AQ264" s="1"/>
      <c r="AR264" s="1"/>
      <c r="AS264" s="1"/>
      <c r="AT264" s="1"/>
    </row>
    <row r="265" spans="1:46">
      <c r="A265" s="1" t="s">
        <v>1260</v>
      </c>
      <c r="B265" s="1">
        <v>54</v>
      </c>
      <c r="C265" s="1" t="s">
        <v>1260</v>
      </c>
      <c r="D265" s="1" t="s">
        <v>1261</v>
      </c>
      <c r="E265" s="1" t="s">
        <v>47</v>
      </c>
      <c r="F265" s="1" t="s">
        <v>1256</v>
      </c>
      <c r="G265" s="1" t="s">
        <v>456</v>
      </c>
      <c r="H265" s="2" t="s">
        <v>1257</v>
      </c>
      <c r="I265" s="1">
        <v>27</v>
      </c>
      <c r="J265" s="1">
        <v>0.2</v>
      </c>
      <c r="K265" s="1" t="s">
        <v>1262</v>
      </c>
      <c r="L265" s="1" t="s">
        <v>65</v>
      </c>
      <c r="M265" s="1">
        <v>10</v>
      </c>
      <c r="N265" s="1">
        <v>43</v>
      </c>
      <c r="O265" s="1">
        <v>67.62518</v>
      </c>
      <c r="P265" s="1">
        <v>-165.93894</v>
      </c>
      <c r="Q265" s="1">
        <v>4.0579999999999998</v>
      </c>
      <c r="R265" s="1">
        <v>32.4</v>
      </c>
      <c r="S265" s="1">
        <v>347.00900000000001</v>
      </c>
      <c r="T265" s="1"/>
      <c r="U265" s="1"/>
      <c r="V265" s="1"/>
      <c r="W265" s="3">
        <v>0.35120000000000001</v>
      </c>
      <c r="X265" s="1" t="s">
        <v>1263</v>
      </c>
      <c r="Y265" s="1"/>
      <c r="Z265" s="1"/>
      <c r="AA265" s="1">
        <v>0.67100000000000004</v>
      </c>
      <c r="AB265" s="1">
        <v>1.3</v>
      </c>
      <c r="AC265" s="1">
        <v>0.3</v>
      </c>
      <c r="AD265" s="1">
        <v>0.02</v>
      </c>
      <c r="AE265" s="1">
        <v>0.88</v>
      </c>
      <c r="AF265" s="1">
        <v>0.32</v>
      </c>
      <c r="AG265" s="1"/>
      <c r="AH265" s="1" t="s">
        <v>1264</v>
      </c>
      <c r="AI265" s="1">
        <v>4</v>
      </c>
      <c r="AJ265" s="1" t="s">
        <v>1263</v>
      </c>
      <c r="AK265" s="1">
        <v>1.1000000000000001</v>
      </c>
      <c r="AL265" s="1">
        <v>90.069400000000002</v>
      </c>
      <c r="AM265" s="1" t="s">
        <v>1263</v>
      </c>
      <c r="AN265" s="1"/>
      <c r="AO265" s="1"/>
      <c r="AP265" s="1"/>
      <c r="AQ265" s="1"/>
      <c r="AR265" s="1"/>
      <c r="AS265" s="1"/>
      <c r="AT265" s="1"/>
    </row>
    <row r="266" spans="1:46">
      <c r="A266" s="1" t="s">
        <v>1265</v>
      </c>
      <c r="B266" s="1">
        <v>55</v>
      </c>
      <c r="C266" s="1" t="s">
        <v>1265</v>
      </c>
      <c r="D266" s="1" t="s">
        <v>1266</v>
      </c>
      <c r="E266" s="1" t="s">
        <v>47</v>
      </c>
      <c r="F266" s="1" t="s">
        <v>1256</v>
      </c>
      <c r="G266" s="1" t="s">
        <v>456</v>
      </c>
      <c r="H266" s="2" t="s">
        <v>1257</v>
      </c>
      <c r="I266" s="1">
        <v>27</v>
      </c>
      <c r="J266" s="1">
        <v>0.2</v>
      </c>
      <c r="K266" s="1"/>
      <c r="L266" s="1" t="s">
        <v>65</v>
      </c>
      <c r="M266" s="1">
        <v>20.13</v>
      </c>
      <c r="N266" s="1">
        <v>43</v>
      </c>
      <c r="O266" s="1">
        <v>67.62518</v>
      </c>
      <c r="P266" s="1">
        <v>-165.93894</v>
      </c>
      <c r="Q266" s="1">
        <v>2.141</v>
      </c>
      <c r="R266" s="1">
        <v>32.454999999999998</v>
      </c>
      <c r="S266" s="1">
        <v>366.37400000000002</v>
      </c>
      <c r="T266" s="1"/>
      <c r="U266" s="1"/>
      <c r="V266" s="1"/>
      <c r="W266" s="3">
        <v>0.38650000000000001</v>
      </c>
      <c r="X266" s="1" t="s">
        <v>1267</v>
      </c>
      <c r="Y266" s="1"/>
      <c r="Z266" s="1"/>
      <c r="AA266" s="1">
        <v>0.83199999999999996</v>
      </c>
      <c r="AB266" s="1">
        <v>7</v>
      </c>
      <c r="AC266" s="1">
        <v>0.6</v>
      </c>
      <c r="AD266" s="1">
        <v>0.05</v>
      </c>
      <c r="AE266" s="1">
        <v>2.33</v>
      </c>
      <c r="AF266" s="1">
        <v>0.65</v>
      </c>
      <c r="AG266" s="1"/>
      <c r="AH266" s="1" t="s">
        <v>1268</v>
      </c>
      <c r="AI266" s="1">
        <v>3</v>
      </c>
      <c r="AJ266" s="1" t="s">
        <v>1267</v>
      </c>
      <c r="AK266" s="1">
        <v>1.1000000000000001</v>
      </c>
      <c r="AL266" s="1">
        <v>79.602800000000002</v>
      </c>
      <c r="AM266" s="1" t="s">
        <v>1267</v>
      </c>
      <c r="AN266" s="1"/>
      <c r="AO266" s="1"/>
      <c r="AP266" s="1"/>
      <c r="AQ266" s="1"/>
      <c r="AR266" s="1"/>
      <c r="AS266" s="1"/>
      <c r="AT266" s="1"/>
    </row>
    <row r="267" spans="1:46">
      <c r="A267" s="1" t="s">
        <v>1269</v>
      </c>
      <c r="B267" s="1">
        <v>52</v>
      </c>
      <c r="C267" s="1" t="s">
        <v>1269</v>
      </c>
      <c r="D267" s="1" t="s">
        <v>1270</v>
      </c>
      <c r="E267" s="1" t="s">
        <v>47</v>
      </c>
      <c r="F267" s="1" t="s">
        <v>1256</v>
      </c>
      <c r="G267" s="1" t="s">
        <v>456</v>
      </c>
      <c r="H267" s="2" t="s">
        <v>1257</v>
      </c>
      <c r="I267" s="1">
        <v>27</v>
      </c>
      <c r="J267" s="1">
        <v>0.2</v>
      </c>
      <c r="K267" s="1" t="s">
        <v>150</v>
      </c>
      <c r="L267" s="1" t="s">
        <v>78</v>
      </c>
      <c r="M267" s="1">
        <v>40.869999999999997</v>
      </c>
      <c r="N267" s="1">
        <v>43</v>
      </c>
      <c r="O267" s="1">
        <v>67.62518</v>
      </c>
      <c r="P267" s="1">
        <v>-165.93896000000001</v>
      </c>
      <c r="Q267" s="1">
        <v>2.1339999999999999</v>
      </c>
      <c r="R267" s="1">
        <v>32.468499999999999</v>
      </c>
      <c r="S267" s="1">
        <v>362.971</v>
      </c>
      <c r="T267" s="1"/>
      <c r="U267" s="1"/>
      <c r="V267" s="1"/>
      <c r="W267" s="3">
        <v>0.48820000000000002</v>
      </c>
      <c r="X267" s="1" t="s">
        <v>1271</v>
      </c>
      <c r="Y267" s="1"/>
      <c r="Z267" s="1"/>
      <c r="AA267" s="1">
        <v>0.85499999999999998</v>
      </c>
      <c r="AB267" s="1">
        <v>3.1</v>
      </c>
      <c r="AC267" s="1">
        <v>0.7</v>
      </c>
      <c r="AD267" s="1">
        <v>0.06</v>
      </c>
      <c r="AE267" s="1">
        <v>2.5099999999999998</v>
      </c>
      <c r="AF267" s="1">
        <v>0.76</v>
      </c>
      <c r="AG267" s="1"/>
      <c r="AH267" s="1" t="s">
        <v>1272</v>
      </c>
      <c r="AI267" s="1">
        <v>1</v>
      </c>
      <c r="AJ267" s="1" t="s">
        <v>1271</v>
      </c>
      <c r="AK267" s="1">
        <v>1.1000000000000001</v>
      </c>
      <c r="AL267" s="1">
        <v>77.249899999999997</v>
      </c>
      <c r="AM267" s="1" t="s">
        <v>1271</v>
      </c>
      <c r="AN267" s="1"/>
      <c r="AO267" s="1"/>
      <c r="AP267" s="1"/>
      <c r="AQ267" s="1"/>
      <c r="AR267" s="1"/>
      <c r="AS267" s="1" t="s">
        <v>1273</v>
      </c>
      <c r="AT267" s="1"/>
    </row>
    <row r="268" spans="1:46">
      <c r="A268" s="1" t="s">
        <v>1274</v>
      </c>
      <c r="B268" s="1">
        <v>271</v>
      </c>
      <c r="C268" s="1" t="s">
        <v>1274</v>
      </c>
      <c r="D268" s="1" t="s">
        <v>1275</v>
      </c>
      <c r="E268" s="1" t="s">
        <v>47</v>
      </c>
      <c r="F268" s="1" t="s">
        <v>1276</v>
      </c>
      <c r="G268" s="1" t="s">
        <v>456</v>
      </c>
      <c r="H268" s="2" t="s">
        <v>1277</v>
      </c>
      <c r="I268" s="1">
        <v>161</v>
      </c>
      <c r="J268" s="1">
        <v>0.2</v>
      </c>
      <c r="K268" s="1" t="s">
        <v>52</v>
      </c>
      <c r="L268" s="1" t="s">
        <v>52</v>
      </c>
      <c r="M268" s="1">
        <v>3.52</v>
      </c>
      <c r="N268" s="1">
        <v>22</v>
      </c>
      <c r="O268" s="1">
        <v>63.224240000000002</v>
      </c>
      <c r="P268" s="1">
        <v>-168.15132</v>
      </c>
      <c r="Q268" s="1">
        <v>7.1539999999999999</v>
      </c>
      <c r="R268" s="1">
        <v>31.655000000000001</v>
      </c>
      <c r="S268" s="1">
        <v>304.83300000000003</v>
      </c>
      <c r="T268" s="1"/>
      <c r="U268" s="1"/>
      <c r="V268" s="1"/>
      <c r="W268" s="3">
        <v>0.8165</v>
      </c>
      <c r="X268" s="1" t="s">
        <v>1278</v>
      </c>
      <c r="Y268" s="1">
        <v>1.25</v>
      </c>
      <c r="Z268" s="1">
        <v>0.61</v>
      </c>
      <c r="AA268" s="1">
        <v>0.46899999999999997</v>
      </c>
      <c r="AB268" s="1">
        <v>3.2</v>
      </c>
      <c r="AC268" s="1">
        <v>0.3</v>
      </c>
      <c r="AD268" s="1">
        <v>0.02</v>
      </c>
      <c r="AE268" s="1">
        <v>0.09</v>
      </c>
      <c r="AF268" s="1">
        <v>0.32</v>
      </c>
      <c r="AG268" s="1"/>
      <c r="AH268" s="1" t="s">
        <v>1279</v>
      </c>
      <c r="AI268" s="1">
        <v>3</v>
      </c>
      <c r="AJ268" s="1" t="s">
        <v>1278</v>
      </c>
      <c r="AK268" s="1">
        <v>2</v>
      </c>
      <c r="AL268" s="1">
        <v>88.013499999999993</v>
      </c>
      <c r="AM268" s="1" t="s">
        <v>1278</v>
      </c>
      <c r="AN268" s="1"/>
      <c r="AO268" s="1"/>
      <c r="AP268" s="1"/>
      <c r="AQ268" s="1"/>
      <c r="AR268" s="1"/>
      <c r="AS268" s="1" t="s">
        <v>1280</v>
      </c>
      <c r="AT268" s="1"/>
    </row>
    <row r="269" spans="1:46">
      <c r="A269" s="1" t="s">
        <v>1281</v>
      </c>
      <c r="B269" s="1">
        <v>272</v>
      </c>
      <c r="C269" s="1" t="s">
        <v>1281</v>
      </c>
      <c r="D269" s="1" t="s">
        <v>1282</v>
      </c>
      <c r="E269" s="1" t="s">
        <v>47</v>
      </c>
      <c r="F269" s="1" t="s">
        <v>1276</v>
      </c>
      <c r="G269" s="1" t="s">
        <v>456</v>
      </c>
      <c r="H269" s="2" t="s">
        <v>1277</v>
      </c>
      <c r="I269" s="1">
        <v>161</v>
      </c>
      <c r="J269" s="1">
        <v>0.2</v>
      </c>
      <c r="K269" s="1" t="s">
        <v>65</v>
      </c>
      <c r="L269" s="1" t="s">
        <v>65</v>
      </c>
      <c r="M269" s="1">
        <v>9.86</v>
      </c>
      <c r="N269" s="1">
        <v>22</v>
      </c>
      <c r="O269" s="1">
        <v>63.224260000000001</v>
      </c>
      <c r="P269" s="1">
        <v>-168.15133</v>
      </c>
      <c r="Q269" s="1">
        <v>3.0449999999999999</v>
      </c>
      <c r="R269" s="1">
        <v>32.122</v>
      </c>
      <c r="S269" s="1">
        <v>335.185</v>
      </c>
      <c r="T269" s="1"/>
      <c r="U269" s="1"/>
      <c r="V269" s="1"/>
      <c r="W269" s="3">
        <v>2.3403</v>
      </c>
      <c r="X269" s="1" t="s">
        <v>1283</v>
      </c>
      <c r="Y269" s="1">
        <v>0.98</v>
      </c>
      <c r="Z269" s="1">
        <v>0.33</v>
      </c>
      <c r="AA269" s="1">
        <v>0.89800000000000002</v>
      </c>
      <c r="AB269" s="1">
        <v>8.1999999999999993</v>
      </c>
      <c r="AC269" s="1">
        <v>2.9</v>
      </c>
      <c r="AD269" s="1">
        <v>7.0000000000000007E-2</v>
      </c>
      <c r="AE269" s="1">
        <v>0.8</v>
      </c>
      <c r="AF269" s="1">
        <v>2.97</v>
      </c>
      <c r="AG269" s="1"/>
      <c r="AH269" s="1" t="s">
        <v>1284</v>
      </c>
      <c r="AI269" s="1">
        <v>2</v>
      </c>
      <c r="AJ269" s="1" t="s">
        <v>1283</v>
      </c>
      <c r="AK269" s="1">
        <v>2</v>
      </c>
      <c r="AL269" s="1">
        <v>82.3429</v>
      </c>
      <c r="AM269" s="1" t="s">
        <v>1283</v>
      </c>
      <c r="AN269" s="1"/>
      <c r="AO269" s="1"/>
      <c r="AP269" s="1"/>
      <c r="AQ269" s="1"/>
      <c r="AR269" s="1"/>
      <c r="AS269" s="1"/>
      <c r="AT269" s="1"/>
    </row>
    <row r="270" spans="1:46">
      <c r="A270" s="1" t="s">
        <v>1285</v>
      </c>
      <c r="B270" s="1">
        <v>273</v>
      </c>
      <c r="C270" s="1" t="s">
        <v>1285</v>
      </c>
      <c r="D270" s="1" t="s">
        <v>1286</v>
      </c>
      <c r="E270" s="1" t="s">
        <v>47</v>
      </c>
      <c r="F270" s="1" t="s">
        <v>1276</v>
      </c>
      <c r="G270" s="1" t="s">
        <v>456</v>
      </c>
      <c r="H270" s="2" t="s">
        <v>1277</v>
      </c>
      <c r="I270" s="1">
        <v>161</v>
      </c>
      <c r="J270" s="1">
        <v>0.2</v>
      </c>
      <c r="K270" s="1" t="s">
        <v>150</v>
      </c>
      <c r="L270" s="1" t="s">
        <v>78</v>
      </c>
      <c r="M270" s="1">
        <v>18.37</v>
      </c>
      <c r="N270" s="1">
        <v>22</v>
      </c>
      <c r="O270" s="1">
        <v>63.224260000000001</v>
      </c>
      <c r="P270" s="1">
        <v>-168.15132</v>
      </c>
      <c r="Q270" s="1">
        <v>2.0705</v>
      </c>
      <c r="R270" s="1">
        <v>32.261000000000003</v>
      </c>
      <c r="S270" s="1">
        <v>334.45699999999999</v>
      </c>
      <c r="T270" s="1"/>
      <c r="U270" s="1"/>
      <c r="V270" s="1"/>
      <c r="W270" s="3">
        <v>2.1699000000000002</v>
      </c>
      <c r="X270" s="1" t="s">
        <v>1287</v>
      </c>
      <c r="Y270" s="1">
        <v>1.97</v>
      </c>
      <c r="Z270" s="1">
        <v>0.98</v>
      </c>
      <c r="AA270" s="1">
        <v>0.96399999999999997</v>
      </c>
      <c r="AB270" s="1">
        <v>9.3000000000000007</v>
      </c>
      <c r="AC270" s="1">
        <v>3.1</v>
      </c>
      <c r="AD270" s="1">
        <v>7.0000000000000007E-2</v>
      </c>
      <c r="AE270" s="1">
        <v>0.96</v>
      </c>
      <c r="AF270" s="1">
        <v>3.17</v>
      </c>
      <c r="AG270" s="1"/>
      <c r="AH270" s="1" t="s">
        <v>1288</v>
      </c>
      <c r="AI270" s="1">
        <v>1</v>
      </c>
      <c r="AJ270" s="1" t="s">
        <v>1287</v>
      </c>
      <c r="AK270" s="1">
        <v>2</v>
      </c>
      <c r="AL270" s="1">
        <v>77.606700000000004</v>
      </c>
      <c r="AM270" s="1" t="s">
        <v>1287</v>
      </c>
      <c r="AN270" s="1"/>
      <c r="AO270" s="1"/>
      <c r="AP270" s="1"/>
      <c r="AQ270" s="1"/>
      <c r="AR270" s="1"/>
      <c r="AS270" s="1"/>
      <c r="AT270" s="1"/>
    </row>
    <row r="271" spans="1:46">
      <c r="A271" s="1" t="s">
        <v>1289</v>
      </c>
      <c r="B271" s="1">
        <v>274</v>
      </c>
      <c r="C271" s="1" t="s">
        <v>1289</v>
      </c>
      <c r="D271" s="1" t="s">
        <v>1290</v>
      </c>
      <c r="E271" s="1" t="s">
        <v>47</v>
      </c>
      <c r="F271" s="1" t="s">
        <v>1291</v>
      </c>
      <c r="G271" s="1" t="s">
        <v>456</v>
      </c>
      <c r="H271" s="2" t="s">
        <v>1292</v>
      </c>
      <c r="I271" s="1">
        <v>163</v>
      </c>
      <c r="J271" s="1">
        <v>0.2</v>
      </c>
      <c r="K271" s="1" t="s">
        <v>52</v>
      </c>
      <c r="L271" s="1" t="s">
        <v>52</v>
      </c>
      <c r="M271" s="1">
        <v>3.05</v>
      </c>
      <c r="N271" s="1">
        <v>34</v>
      </c>
      <c r="O271" s="1">
        <v>63.225949999999997</v>
      </c>
      <c r="P271" s="1">
        <v>-167.36073999999999</v>
      </c>
      <c r="Q271" s="1">
        <v>7.5594999999999999</v>
      </c>
      <c r="R271" s="1">
        <v>30.974</v>
      </c>
      <c r="S271" s="1">
        <v>298.267</v>
      </c>
      <c r="T271" s="1"/>
      <c r="U271" s="1"/>
      <c r="V271" s="1"/>
      <c r="W271" s="3">
        <v>0.88170000000000004</v>
      </c>
      <c r="X271" s="1" t="s">
        <v>1293</v>
      </c>
      <c r="Y271" s="1">
        <v>0.73</v>
      </c>
      <c r="Z271" s="1">
        <v>0.24</v>
      </c>
      <c r="AA271" s="1">
        <v>0.49399999999999999</v>
      </c>
      <c r="AB271" s="1">
        <v>4.5</v>
      </c>
      <c r="AC271" s="1">
        <v>0</v>
      </c>
      <c r="AD271" s="1">
        <v>0.01</v>
      </c>
      <c r="AE271" s="1">
        <v>0.1</v>
      </c>
      <c r="AF271" s="1">
        <v>0.01</v>
      </c>
      <c r="AG271" s="1"/>
      <c r="AH271" s="1" t="s">
        <v>1294</v>
      </c>
      <c r="AI271" s="1">
        <v>4</v>
      </c>
      <c r="AJ271" s="1" t="s">
        <v>1293</v>
      </c>
      <c r="AK271" s="1">
        <v>2</v>
      </c>
      <c r="AL271" s="1">
        <v>88.592699999999994</v>
      </c>
      <c r="AM271" s="1" t="s">
        <v>1293</v>
      </c>
      <c r="AN271" s="1"/>
      <c r="AO271" s="1"/>
      <c r="AP271" s="1"/>
      <c r="AQ271" s="1"/>
      <c r="AR271" s="1"/>
      <c r="AS271" s="1" t="s">
        <v>1295</v>
      </c>
      <c r="AT271" s="1"/>
    </row>
    <row r="272" spans="1:46">
      <c r="A272" s="1" t="s">
        <v>1296</v>
      </c>
      <c r="B272" s="1">
        <v>275</v>
      </c>
      <c r="C272" s="1" t="s">
        <v>1296</v>
      </c>
      <c r="D272" s="1" t="s">
        <v>1297</v>
      </c>
      <c r="E272" s="1" t="s">
        <v>47</v>
      </c>
      <c r="F272" s="1" t="s">
        <v>1291</v>
      </c>
      <c r="G272" s="1" t="s">
        <v>456</v>
      </c>
      <c r="H272" s="2" t="s">
        <v>1292</v>
      </c>
      <c r="I272" s="1">
        <v>163</v>
      </c>
      <c r="J272" s="1">
        <v>0.2</v>
      </c>
      <c r="K272" s="1" t="s">
        <v>65</v>
      </c>
      <c r="L272" s="1" t="s">
        <v>65</v>
      </c>
      <c r="M272" s="1">
        <v>9.6999999999999993</v>
      </c>
      <c r="N272" s="1">
        <v>34</v>
      </c>
      <c r="O272" s="1">
        <v>63.225659999999998</v>
      </c>
      <c r="P272" s="1">
        <v>-167.36076</v>
      </c>
      <c r="Q272" s="1">
        <v>1.4950000000000001</v>
      </c>
      <c r="R272" s="1">
        <v>32.073999999999998</v>
      </c>
      <c r="S272" s="1">
        <v>345.12</v>
      </c>
      <c r="T272" s="1"/>
      <c r="U272" s="1"/>
      <c r="V272" s="1"/>
      <c r="W272" s="3">
        <v>1.5515000000000001</v>
      </c>
      <c r="X272" s="1" t="s">
        <v>1298</v>
      </c>
      <c r="Y272" s="1">
        <v>1.01</v>
      </c>
      <c r="Z272" s="1">
        <v>0.44</v>
      </c>
      <c r="AA272" s="1">
        <v>0.80400000000000005</v>
      </c>
      <c r="AB272" s="1">
        <v>5.9</v>
      </c>
      <c r="AC272" s="1">
        <v>0.1</v>
      </c>
      <c r="AD272" s="1">
        <v>0.02</v>
      </c>
      <c r="AE272" s="1">
        <v>0.57999999999999996</v>
      </c>
      <c r="AF272" s="1">
        <v>0.12</v>
      </c>
      <c r="AG272" s="1"/>
      <c r="AH272" s="1" t="s">
        <v>1299</v>
      </c>
      <c r="AI272" s="1">
        <v>3</v>
      </c>
      <c r="AJ272" s="1" t="s">
        <v>1298</v>
      </c>
      <c r="AK272" s="1">
        <v>2</v>
      </c>
      <c r="AL272" s="1">
        <v>83.333799999999997</v>
      </c>
      <c r="AM272" s="1" t="s">
        <v>1298</v>
      </c>
      <c r="AN272" s="1"/>
      <c r="AO272" s="1"/>
      <c r="AP272" s="1"/>
      <c r="AQ272" s="1"/>
      <c r="AR272" s="1"/>
      <c r="AS272" s="1"/>
      <c r="AT272" s="1"/>
    </row>
    <row r="273" spans="1:46">
      <c r="A273" s="1" t="s">
        <v>1300</v>
      </c>
      <c r="B273" s="1">
        <v>276</v>
      </c>
      <c r="C273" s="1" t="s">
        <v>1300</v>
      </c>
      <c r="D273" s="1" t="s">
        <v>1301</v>
      </c>
      <c r="E273" s="1" t="s">
        <v>47</v>
      </c>
      <c r="F273" s="1" t="s">
        <v>1291</v>
      </c>
      <c r="G273" s="1" t="s">
        <v>456</v>
      </c>
      <c r="H273" s="2" t="s">
        <v>1292</v>
      </c>
      <c r="I273" s="1">
        <v>163</v>
      </c>
      <c r="J273" s="1">
        <v>0.2</v>
      </c>
      <c r="K273" s="1" t="s">
        <v>150</v>
      </c>
      <c r="L273" s="1" t="s">
        <v>78</v>
      </c>
      <c r="M273" s="1">
        <v>31.44</v>
      </c>
      <c r="N273" s="1">
        <v>34</v>
      </c>
      <c r="O273" s="1">
        <v>63.225099999999998</v>
      </c>
      <c r="P273" s="1">
        <v>-167.36081999999999</v>
      </c>
      <c r="Q273" s="1">
        <v>1.498</v>
      </c>
      <c r="R273" s="1">
        <v>32.077500000000001</v>
      </c>
      <c r="S273" s="1">
        <v>343.62099999999998</v>
      </c>
      <c r="T273" s="1"/>
      <c r="U273" s="1"/>
      <c r="V273" s="1"/>
      <c r="W273" s="3">
        <v>1.6621999999999999</v>
      </c>
      <c r="X273" s="1" t="s">
        <v>1302</v>
      </c>
      <c r="Y273" s="1">
        <v>1.0900000000000001</v>
      </c>
      <c r="Z273" s="1">
        <v>0.7</v>
      </c>
      <c r="AA273" s="1">
        <v>0.8</v>
      </c>
      <c r="AB273" s="1">
        <v>5.9</v>
      </c>
      <c r="AC273" s="1">
        <v>0.1</v>
      </c>
      <c r="AD273" s="1">
        <v>0.03</v>
      </c>
      <c r="AE273" s="1">
        <v>0.6</v>
      </c>
      <c r="AF273" s="1">
        <v>0.13</v>
      </c>
      <c r="AG273" s="1"/>
      <c r="AH273" s="1" t="s">
        <v>1303</v>
      </c>
      <c r="AI273" s="1">
        <v>1</v>
      </c>
      <c r="AJ273" s="1" t="s">
        <v>1302</v>
      </c>
      <c r="AK273" s="1">
        <v>2</v>
      </c>
      <c r="AL273" s="1">
        <v>82.067700000000002</v>
      </c>
      <c r="AM273" s="1" t="s">
        <v>1302</v>
      </c>
      <c r="AN273" s="1"/>
      <c r="AO273" s="1"/>
      <c r="AP273" s="1"/>
      <c r="AQ273" s="1"/>
      <c r="AR273" s="1"/>
      <c r="AS273" s="1"/>
      <c r="AT273" s="1"/>
    </row>
    <row r="274" spans="1:46">
      <c r="A274" s="1" t="s">
        <v>1304</v>
      </c>
      <c r="B274" s="1">
        <v>277</v>
      </c>
      <c r="C274" s="1" t="s">
        <v>1304</v>
      </c>
      <c r="D274" s="1" t="s">
        <v>1305</v>
      </c>
      <c r="E274" s="1" t="s">
        <v>47</v>
      </c>
      <c r="F274" s="1" t="s">
        <v>1306</v>
      </c>
      <c r="G274" s="1" t="s">
        <v>456</v>
      </c>
      <c r="H274" s="2" t="s">
        <v>1307</v>
      </c>
      <c r="I274" s="1">
        <v>164</v>
      </c>
      <c r="J274" s="1">
        <v>0.2</v>
      </c>
      <c r="K274" s="1" t="s">
        <v>52</v>
      </c>
      <c r="L274" s="1" t="s">
        <v>52</v>
      </c>
      <c r="M274" s="1">
        <v>2.93</v>
      </c>
      <c r="N274" s="1">
        <v>25</v>
      </c>
      <c r="O274" s="1">
        <v>63.224400000000003</v>
      </c>
      <c r="P274" s="1">
        <v>-166.97015999999999</v>
      </c>
      <c r="Q274" s="1">
        <v>9.9864999999999995</v>
      </c>
      <c r="R274" s="1">
        <v>29.5395</v>
      </c>
      <c r="S274" s="1">
        <v>276.14800000000002</v>
      </c>
      <c r="T274" s="1">
        <v>29.38</v>
      </c>
      <c r="U274" s="1">
        <v>27.32</v>
      </c>
      <c r="V274" s="1">
        <v>3080</v>
      </c>
      <c r="W274" s="3">
        <v>0.95350000000000001</v>
      </c>
      <c r="X274" s="1" t="s">
        <v>1308</v>
      </c>
      <c r="Y274" s="1">
        <v>0.88</v>
      </c>
      <c r="Z274" s="1">
        <v>0.33</v>
      </c>
      <c r="AA274" s="1">
        <v>0.39100000000000001</v>
      </c>
      <c r="AB274" s="1">
        <v>4.9000000000000004</v>
      </c>
      <c r="AC274" s="1">
        <v>0.6</v>
      </c>
      <c r="AD274" s="1">
        <v>0.01</v>
      </c>
      <c r="AE274" s="1">
        <v>7.0000000000000007E-2</v>
      </c>
      <c r="AF274" s="1">
        <v>0.61</v>
      </c>
      <c r="AG274" s="1"/>
      <c r="AH274" s="1" t="s">
        <v>1309</v>
      </c>
      <c r="AI274" s="1">
        <v>3</v>
      </c>
      <c r="AJ274" s="1" t="s">
        <v>1308</v>
      </c>
      <c r="AK274" s="1">
        <v>2</v>
      </c>
      <c r="AL274" s="1">
        <v>90.8352</v>
      </c>
      <c r="AM274" s="1" t="s">
        <v>1308</v>
      </c>
      <c r="AN274" s="1">
        <v>1.0754026354319199</v>
      </c>
      <c r="AO274" s="1">
        <v>0.16232492610293101</v>
      </c>
      <c r="AP274" s="1"/>
      <c r="AQ274" s="1"/>
      <c r="AR274" s="1"/>
      <c r="AS274" s="1"/>
      <c r="AT274" s="1"/>
    </row>
    <row r="275" spans="1:46">
      <c r="A275" s="1" t="s">
        <v>1310</v>
      </c>
      <c r="B275" s="1">
        <v>278</v>
      </c>
      <c r="C275" s="1" t="s">
        <v>1310</v>
      </c>
      <c r="D275" s="1" t="s">
        <v>1311</v>
      </c>
      <c r="E275" s="1" t="s">
        <v>47</v>
      </c>
      <c r="F275" s="1" t="s">
        <v>1306</v>
      </c>
      <c r="G275" s="1" t="s">
        <v>456</v>
      </c>
      <c r="H275" s="2" t="s">
        <v>1307</v>
      </c>
      <c r="I275" s="1">
        <v>164</v>
      </c>
      <c r="J275" s="1">
        <v>0.2</v>
      </c>
      <c r="K275" s="1" t="s">
        <v>486</v>
      </c>
      <c r="L275" s="1" t="s">
        <v>65</v>
      </c>
      <c r="M275" s="1">
        <v>12.28</v>
      </c>
      <c r="N275" s="1">
        <v>25</v>
      </c>
      <c r="O275" s="1">
        <v>63.224420000000002</v>
      </c>
      <c r="P275" s="1">
        <v>-166.97015999999999</v>
      </c>
      <c r="Q275" s="1">
        <v>2.3380000000000001</v>
      </c>
      <c r="R275" s="1">
        <v>31.953499999999998</v>
      </c>
      <c r="S275" s="1">
        <v>350.13299999999998</v>
      </c>
      <c r="T275" s="1">
        <v>19.22</v>
      </c>
      <c r="U275" s="1">
        <v>15.9</v>
      </c>
      <c r="V275" s="1">
        <v>7640.00000000001</v>
      </c>
      <c r="W275" s="3">
        <v>1.4067000000000001</v>
      </c>
      <c r="X275" s="1" t="s">
        <v>1312</v>
      </c>
      <c r="Y275" s="1">
        <v>1.07</v>
      </c>
      <c r="Z275" s="1">
        <v>0.52</v>
      </c>
      <c r="AA275" s="1">
        <v>0.71699999999999997</v>
      </c>
      <c r="AB275" s="1">
        <v>2.8</v>
      </c>
      <c r="AC275" s="1">
        <v>0.1</v>
      </c>
      <c r="AD275" s="1">
        <v>0.02</v>
      </c>
      <c r="AE275" s="1">
        <v>0.65</v>
      </c>
      <c r="AF275" s="1">
        <v>0.12</v>
      </c>
      <c r="AG275" s="1"/>
      <c r="AH275" s="1" t="s">
        <v>1313</v>
      </c>
      <c r="AI275" s="1">
        <v>2</v>
      </c>
      <c r="AJ275" s="1" t="s">
        <v>1312</v>
      </c>
      <c r="AK275" s="1">
        <v>2</v>
      </c>
      <c r="AL275" s="1">
        <v>80.6267</v>
      </c>
      <c r="AM275" s="1" t="s">
        <v>1312</v>
      </c>
      <c r="AN275" s="1">
        <v>1.2088050314465399</v>
      </c>
      <c r="AO275" s="1">
        <v>0.18246113682211901</v>
      </c>
      <c r="AP275" s="1"/>
      <c r="AQ275" s="1"/>
      <c r="AR275" s="1"/>
      <c r="AS275" s="1"/>
      <c r="AT275" s="1"/>
    </row>
    <row r="276" spans="1:46">
      <c r="A276" s="1" t="s">
        <v>1314</v>
      </c>
      <c r="B276" s="1">
        <v>279</v>
      </c>
      <c r="C276" s="1" t="s">
        <v>1314</v>
      </c>
      <c r="D276" s="1" t="s">
        <v>1315</v>
      </c>
      <c r="E276" s="1" t="s">
        <v>47</v>
      </c>
      <c r="F276" s="1" t="s">
        <v>1306</v>
      </c>
      <c r="G276" s="1" t="s">
        <v>456</v>
      </c>
      <c r="H276" s="2" t="s">
        <v>1307</v>
      </c>
      <c r="I276" s="1">
        <v>164</v>
      </c>
      <c r="J276" s="1">
        <v>0.2</v>
      </c>
      <c r="K276" s="1" t="s">
        <v>150</v>
      </c>
      <c r="L276" s="1" t="s">
        <v>78</v>
      </c>
      <c r="M276" s="1">
        <v>22.12</v>
      </c>
      <c r="N276" s="1">
        <v>25</v>
      </c>
      <c r="O276" s="1">
        <v>63.224420000000002</v>
      </c>
      <c r="P276" s="1">
        <v>-166.97015999999999</v>
      </c>
      <c r="Q276" s="1">
        <v>2.3330000000000002</v>
      </c>
      <c r="R276" s="1">
        <v>31.953499999999998</v>
      </c>
      <c r="S276" s="1">
        <v>350.19600000000003</v>
      </c>
      <c r="T276" s="1">
        <v>21.82</v>
      </c>
      <c r="U276" s="1">
        <v>18.100000000000001</v>
      </c>
      <c r="V276" s="1">
        <v>3900</v>
      </c>
      <c r="W276" s="3">
        <v>1.1639999999999999</v>
      </c>
      <c r="X276" s="1" t="s">
        <v>1316</v>
      </c>
      <c r="Y276" s="1">
        <v>1.03</v>
      </c>
      <c r="Z276" s="1">
        <v>0.84</v>
      </c>
      <c r="AA276" s="1">
        <v>0.79200000000000004</v>
      </c>
      <c r="AB276" s="1">
        <v>3.1</v>
      </c>
      <c r="AC276" s="1">
        <v>0.1</v>
      </c>
      <c r="AD276" s="1">
        <v>0.02</v>
      </c>
      <c r="AE276" s="1">
        <v>0.55000000000000004</v>
      </c>
      <c r="AF276" s="1">
        <v>0.12</v>
      </c>
      <c r="AG276" s="1"/>
      <c r="AH276" s="1" t="s">
        <v>1317</v>
      </c>
      <c r="AI276" s="1">
        <v>1</v>
      </c>
      <c r="AJ276" s="1" t="s">
        <v>1316</v>
      </c>
      <c r="AK276" s="1">
        <v>2</v>
      </c>
      <c r="AL276" s="1">
        <v>79.705200000000005</v>
      </c>
      <c r="AM276" s="1" t="s">
        <v>1316</v>
      </c>
      <c r="AN276" s="1">
        <v>1.20552486187845</v>
      </c>
      <c r="AO276" s="1">
        <v>0.18196601688731401</v>
      </c>
      <c r="AP276" s="1"/>
      <c r="AQ276" s="1"/>
      <c r="AR276" s="1"/>
      <c r="AS276" s="1"/>
      <c r="AT276" s="1"/>
    </row>
    <row r="277" spans="1:46">
      <c r="A277" s="1" t="s">
        <v>1318</v>
      </c>
      <c r="B277" s="1">
        <v>280</v>
      </c>
      <c r="C277" s="1" t="s">
        <v>1318</v>
      </c>
      <c r="D277" s="1" t="s">
        <v>1319</v>
      </c>
      <c r="E277" s="1" t="s">
        <v>47</v>
      </c>
      <c r="F277" s="1" t="s">
        <v>1320</v>
      </c>
      <c r="G277" s="1" t="s">
        <v>456</v>
      </c>
      <c r="H277" s="2" t="s">
        <v>1321</v>
      </c>
      <c r="I277" s="1">
        <v>165</v>
      </c>
      <c r="J277" s="1">
        <v>0.2</v>
      </c>
      <c r="K277" s="1" t="s">
        <v>52</v>
      </c>
      <c r="L277" s="1" t="s">
        <v>52</v>
      </c>
      <c r="M277" s="1">
        <v>3.25</v>
      </c>
      <c r="N277" s="1">
        <v>25</v>
      </c>
      <c r="O277" s="1">
        <v>63.223959999999998</v>
      </c>
      <c r="P277" s="1">
        <v>-166.56854000000001</v>
      </c>
      <c r="Q277" s="1">
        <v>10.8535</v>
      </c>
      <c r="R277" s="1">
        <v>29.0335</v>
      </c>
      <c r="S277" s="1">
        <v>269.83300000000003</v>
      </c>
      <c r="T277" s="1"/>
      <c r="U277" s="1"/>
      <c r="V277" s="1"/>
      <c r="W277" s="3">
        <v>1.2130000000000001</v>
      </c>
      <c r="X277" s="1" t="s">
        <v>1322</v>
      </c>
      <c r="Y277" s="1">
        <v>0.9</v>
      </c>
      <c r="Z277" s="1">
        <v>0.27</v>
      </c>
      <c r="AA277" s="1">
        <v>0.32400000000000001</v>
      </c>
      <c r="AB277" s="1">
        <v>5.7</v>
      </c>
      <c r="AC277" s="1">
        <v>0.3</v>
      </c>
      <c r="AD277" s="1">
        <v>0</v>
      </c>
      <c r="AE277" s="1">
        <v>0.03</v>
      </c>
      <c r="AF277" s="1">
        <v>0.3</v>
      </c>
      <c r="AG277" s="1"/>
      <c r="AH277" s="1" t="s">
        <v>1323</v>
      </c>
      <c r="AI277" s="1">
        <v>3</v>
      </c>
      <c r="AJ277" s="1" t="s">
        <v>1322</v>
      </c>
      <c r="AK277" s="1">
        <v>2</v>
      </c>
      <c r="AL277" s="1">
        <v>87.966099999999997</v>
      </c>
      <c r="AM277" s="1" t="s">
        <v>1322</v>
      </c>
      <c r="AN277" s="1"/>
      <c r="AO277" s="1"/>
      <c r="AP277" s="1"/>
      <c r="AQ277" s="1"/>
      <c r="AR277" s="1"/>
      <c r="AS277" s="1" t="s">
        <v>1324</v>
      </c>
      <c r="AT277" s="1"/>
    </row>
    <row r="278" spans="1:46">
      <c r="A278" s="1" t="s">
        <v>1325</v>
      </c>
      <c r="B278" s="1">
        <v>281</v>
      </c>
      <c r="C278" s="1" t="s">
        <v>1325</v>
      </c>
      <c r="D278" s="1" t="s">
        <v>1326</v>
      </c>
      <c r="E278" s="1" t="s">
        <v>47</v>
      </c>
      <c r="F278" s="1" t="s">
        <v>1320</v>
      </c>
      <c r="G278" s="1" t="s">
        <v>456</v>
      </c>
      <c r="H278" s="2" t="s">
        <v>1321</v>
      </c>
      <c r="I278" s="1">
        <v>165</v>
      </c>
      <c r="J278" s="1">
        <v>0.2</v>
      </c>
      <c r="K278" s="1" t="s">
        <v>65</v>
      </c>
      <c r="L278" s="1" t="s">
        <v>65</v>
      </c>
      <c r="M278" s="1">
        <v>10.23</v>
      </c>
      <c r="N278" s="1">
        <v>25</v>
      </c>
      <c r="O278" s="1">
        <v>63.223959999999998</v>
      </c>
      <c r="P278" s="1">
        <v>-166.56852000000001</v>
      </c>
      <c r="Q278" s="1">
        <v>6.8564999999999996</v>
      </c>
      <c r="R278" s="1">
        <v>30.844000000000001</v>
      </c>
      <c r="S278" s="1">
        <v>307.904</v>
      </c>
      <c r="T278" s="1"/>
      <c r="U278" s="1"/>
      <c r="V278" s="1"/>
      <c r="W278" s="3">
        <v>3.7894000000000001</v>
      </c>
      <c r="X278" s="1" t="s">
        <v>1327</v>
      </c>
      <c r="Y278" s="1">
        <v>1.57</v>
      </c>
      <c r="Z278" s="1">
        <v>0.32</v>
      </c>
      <c r="AA278" s="1">
        <v>0.69799999999999995</v>
      </c>
      <c r="AB278" s="1">
        <v>3.4</v>
      </c>
      <c r="AC278" s="1">
        <v>0</v>
      </c>
      <c r="AD278" s="1">
        <v>0.01</v>
      </c>
      <c r="AE278" s="1">
        <v>0.21</v>
      </c>
      <c r="AF278" s="1">
        <v>0.01</v>
      </c>
      <c r="AG278" s="1"/>
      <c r="AH278" s="1" t="s">
        <v>1328</v>
      </c>
      <c r="AI278" s="1">
        <v>2</v>
      </c>
      <c r="AJ278" s="1" t="s">
        <v>1327</v>
      </c>
      <c r="AK278" s="1">
        <v>2</v>
      </c>
      <c r="AL278" s="1">
        <v>84.426000000000002</v>
      </c>
      <c r="AM278" s="1" t="s">
        <v>1327</v>
      </c>
      <c r="AN278" s="1"/>
      <c r="AO278" s="1"/>
      <c r="AP278" s="1"/>
      <c r="AQ278" s="1"/>
      <c r="AR278" s="1"/>
      <c r="AS278" s="1"/>
      <c r="AT278" s="1"/>
    </row>
    <row r="279" spans="1:46">
      <c r="A279" s="1" t="s">
        <v>1329</v>
      </c>
      <c r="B279" s="1">
        <v>282</v>
      </c>
      <c r="C279" s="1" t="s">
        <v>1329</v>
      </c>
      <c r="D279" s="1" t="s">
        <v>1330</v>
      </c>
      <c r="E279" s="1" t="s">
        <v>47</v>
      </c>
      <c r="F279" s="1" t="s">
        <v>1320</v>
      </c>
      <c r="G279" s="1" t="s">
        <v>456</v>
      </c>
      <c r="H279" s="2" t="s">
        <v>1321</v>
      </c>
      <c r="I279" s="1">
        <v>165</v>
      </c>
      <c r="J279" s="1">
        <v>0.2</v>
      </c>
      <c r="K279" s="1" t="s">
        <v>150</v>
      </c>
      <c r="L279" s="1" t="s">
        <v>78</v>
      </c>
      <c r="M279" s="1">
        <v>23.19</v>
      </c>
      <c r="N279" s="1">
        <v>25</v>
      </c>
      <c r="O279" s="1">
        <v>63.223959999999998</v>
      </c>
      <c r="P279" s="1">
        <v>-166.56852000000001</v>
      </c>
      <c r="Q279" s="1">
        <v>1.9490000000000001</v>
      </c>
      <c r="R279" s="1">
        <v>31.853999999999999</v>
      </c>
      <c r="S279" s="1">
        <v>358.88900000000001</v>
      </c>
      <c r="T279" s="1"/>
      <c r="U279" s="1"/>
      <c r="V279" s="1"/>
      <c r="W279" s="3">
        <v>1.9078999999999999</v>
      </c>
      <c r="X279" s="1" t="s">
        <v>1331</v>
      </c>
      <c r="Y279" s="1">
        <v>1.38</v>
      </c>
      <c r="Z279" s="1">
        <v>0.77</v>
      </c>
      <c r="AA279" s="1">
        <v>0.82799999999999996</v>
      </c>
      <c r="AB279" s="1">
        <v>3.1</v>
      </c>
      <c r="AC279" s="1">
        <v>0.1</v>
      </c>
      <c r="AD279" s="1">
        <v>0.02</v>
      </c>
      <c r="AE279" s="1">
        <v>0.32</v>
      </c>
      <c r="AF279" s="1">
        <v>0.12</v>
      </c>
      <c r="AG279" s="1"/>
      <c r="AH279" s="1" t="s">
        <v>1332</v>
      </c>
      <c r="AI279" s="1">
        <v>1</v>
      </c>
      <c r="AJ279" s="1" t="s">
        <v>1331</v>
      </c>
      <c r="AK279" s="1">
        <v>2</v>
      </c>
      <c r="AL279" s="1">
        <v>80.8262</v>
      </c>
      <c r="AM279" s="1" t="s">
        <v>1331</v>
      </c>
      <c r="AN279" s="1"/>
      <c r="AO279" s="1"/>
      <c r="AP279" s="1"/>
      <c r="AQ279" s="1"/>
      <c r="AR279" s="1"/>
      <c r="AS279" s="1"/>
      <c r="AT279" s="1"/>
    </row>
    <row r="280" spans="1:46">
      <c r="A280" s="1" t="s">
        <v>1333</v>
      </c>
      <c r="B280" s="1">
        <v>283</v>
      </c>
      <c r="C280" s="1" t="s">
        <v>1333</v>
      </c>
      <c r="D280" s="1" t="s">
        <v>1334</v>
      </c>
      <c r="E280" s="1" t="s">
        <v>47</v>
      </c>
      <c r="F280" s="1" t="s">
        <v>1335</v>
      </c>
      <c r="G280" s="1" t="s">
        <v>456</v>
      </c>
      <c r="H280" s="2" t="s">
        <v>1336</v>
      </c>
      <c r="I280" s="1">
        <v>166</v>
      </c>
      <c r="J280" s="1">
        <v>0.2</v>
      </c>
      <c r="K280" s="1" t="s">
        <v>52</v>
      </c>
      <c r="L280" s="1" t="s">
        <v>52</v>
      </c>
      <c r="M280" s="1">
        <v>3.53</v>
      </c>
      <c r="N280" s="1">
        <v>25</v>
      </c>
      <c r="O280" s="1">
        <v>63.223939999999999</v>
      </c>
      <c r="P280" s="1">
        <v>-166.18078</v>
      </c>
      <c r="Q280" s="1">
        <v>9.6044999999999998</v>
      </c>
      <c r="R280" s="1">
        <v>29.988499999999998</v>
      </c>
      <c r="S280" s="1">
        <v>280.76600000000002</v>
      </c>
      <c r="T280" s="1">
        <v>26.62</v>
      </c>
      <c r="U280" s="1">
        <v>20.82</v>
      </c>
      <c r="V280" s="1">
        <v>2540</v>
      </c>
      <c r="W280" s="3">
        <v>0.99829999999999997</v>
      </c>
      <c r="X280" s="1" t="s">
        <v>1337</v>
      </c>
      <c r="Y280" s="1">
        <v>0.82</v>
      </c>
      <c r="Z280" s="1">
        <v>0.25</v>
      </c>
      <c r="AA280" s="1">
        <v>0.34399999999999997</v>
      </c>
      <c r="AB280" s="1">
        <v>4.5999999999999996</v>
      </c>
      <c r="AC280" s="1">
        <v>0</v>
      </c>
      <c r="AD280" s="1">
        <v>0</v>
      </c>
      <c r="AE280" s="1">
        <v>0.04</v>
      </c>
      <c r="AF280" s="1">
        <v>0</v>
      </c>
      <c r="AG280" s="1"/>
      <c r="AH280" s="1" t="s">
        <v>1338</v>
      </c>
      <c r="AI280" s="1">
        <v>3</v>
      </c>
      <c r="AJ280" s="1" t="s">
        <v>1337</v>
      </c>
      <c r="AK280" s="1">
        <v>1.6</v>
      </c>
      <c r="AL280" s="1">
        <v>88.868399999999994</v>
      </c>
      <c r="AM280" s="1" t="s">
        <v>1337</v>
      </c>
      <c r="AN280" s="1">
        <v>1.2785782901056699</v>
      </c>
      <c r="AO280" s="1">
        <v>0.19299294944991199</v>
      </c>
      <c r="AP280" s="1"/>
      <c r="AQ280" s="1"/>
      <c r="AR280" s="1"/>
      <c r="AS280" s="1"/>
      <c r="AT280" s="1"/>
    </row>
    <row r="281" spans="1:46">
      <c r="A281" s="1" t="s">
        <v>1339</v>
      </c>
      <c r="B281" s="1">
        <v>284</v>
      </c>
      <c r="C281" s="1" t="s">
        <v>1339</v>
      </c>
      <c r="D281" s="1" t="s">
        <v>1340</v>
      </c>
      <c r="E281" s="1" t="s">
        <v>47</v>
      </c>
      <c r="F281" s="1" t="s">
        <v>1335</v>
      </c>
      <c r="G281" s="1" t="s">
        <v>456</v>
      </c>
      <c r="H281" s="2" t="s">
        <v>1336</v>
      </c>
      <c r="I281" s="1">
        <v>166</v>
      </c>
      <c r="J281" s="1">
        <v>0.2</v>
      </c>
      <c r="K281" s="1" t="s">
        <v>65</v>
      </c>
      <c r="L281" s="1" t="s">
        <v>65</v>
      </c>
      <c r="M281" s="1">
        <v>9.3000000000000007</v>
      </c>
      <c r="N281" s="1">
        <v>25</v>
      </c>
      <c r="O281" s="1">
        <v>63.223939999999999</v>
      </c>
      <c r="P281" s="1">
        <v>-166.18078</v>
      </c>
      <c r="Q281" s="1">
        <v>2.4990000000000001</v>
      </c>
      <c r="R281" s="1">
        <v>31.619</v>
      </c>
      <c r="S281" s="1">
        <v>356.21899999999999</v>
      </c>
      <c r="T281" s="1"/>
      <c r="U281" s="1"/>
      <c r="V281" s="1"/>
      <c r="W281" s="3">
        <v>1.4432</v>
      </c>
      <c r="X281" s="1" t="s">
        <v>1341</v>
      </c>
      <c r="Y281" s="1">
        <v>1.0900000000000001</v>
      </c>
      <c r="Z281" s="1">
        <v>0.28000000000000003</v>
      </c>
      <c r="AA281" s="1">
        <v>0.71299999999999997</v>
      </c>
      <c r="AB281" s="1">
        <v>3.2</v>
      </c>
      <c r="AC281" s="1">
        <v>0</v>
      </c>
      <c r="AD281" s="1">
        <v>0.01</v>
      </c>
      <c r="AE281" s="1">
        <v>0.13</v>
      </c>
      <c r="AF281" s="1">
        <v>0.01</v>
      </c>
      <c r="AG281" s="1"/>
      <c r="AH281" s="1" t="s">
        <v>1342</v>
      </c>
      <c r="AI281" s="1">
        <v>2</v>
      </c>
      <c r="AJ281" s="1" t="s">
        <v>1341</v>
      </c>
      <c r="AK281" s="1">
        <v>1.6</v>
      </c>
      <c r="AL281" s="1">
        <v>86.032300000000006</v>
      </c>
      <c r="AM281" s="1" t="s">
        <v>1341</v>
      </c>
      <c r="AN281" s="1"/>
      <c r="AO281" s="1"/>
      <c r="AP281" s="1"/>
      <c r="AQ281" s="1"/>
      <c r="AR281" s="1"/>
      <c r="AS281" s="1"/>
      <c r="AT281" s="1"/>
    </row>
    <row r="282" spans="1:46">
      <c r="A282" s="1" t="s">
        <v>1343</v>
      </c>
      <c r="B282" s="1">
        <v>285</v>
      </c>
      <c r="C282" s="1" t="s">
        <v>1343</v>
      </c>
      <c r="D282" s="1" t="s">
        <v>1344</v>
      </c>
      <c r="E282" s="1" t="s">
        <v>47</v>
      </c>
      <c r="F282" s="1" t="s">
        <v>1335</v>
      </c>
      <c r="G282" s="1" t="s">
        <v>456</v>
      </c>
      <c r="H282" s="2" t="s">
        <v>1336</v>
      </c>
      <c r="I282" s="1">
        <v>166</v>
      </c>
      <c r="J282" s="1">
        <v>0.2</v>
      </c>
      <c r="K282" s="1" t="s">
        <v>150</v>
      </c>
      <c r="L282" s="1" t="s">
        <v>78</v>
      </c>
      <c r="M282" s="1">
        <v>21.6</v>
      </c>
      <c r="N282" s="1">
        <v>25</v>
      </c>
      <c r="O282" s="1">
        <v>63.223939999999999</v>
      </c>
      <c r="P282" s="1">
        <v>-166.18078</v>
      </c>
      <c r="Q282" s="1">
        <v>1.679</v>
      </c>
      <c r="R282" s="1">
        <v>31.752500000000001</v>
      </c>
      <c r="S282" s="1">
        <v>352.74400000000003</v>
      </c>
      <c r="T282" s="1">
        <v>21.2</v>
      </c>
      <c r="U282" s="1">
        <v>17.059999999999999</v>
      </c>
      <c r="V282" s="1">
        <v>3620</v>
      </c>
      <c r="W282" s="3">
        <v>1.2250000000000001</v>
      </c>
      <c r="X282" s="1" t="s">
        <v>1345</v>
      </c>
      <c r="Y282" s="1">
        <v>1.01</v>
      </c>
      <c r="Z282" s="1">
        <v>0.65</v>
      </c>
      <c r="AA282" s="1">
        <v>0.82799999999999996</v>
      </c>
      <c r="AB282" s="1">
        <v>3.1</v>
      </c>
      <c r="AC282" s="1">
        <v>0</v>
      </c>
      <c r="AD282" s="1">
        <v>0</v>
      </c>
      <c r="AE282" s="1">
        <v>0.13</v>
      </c>
      <c r="AF282" s="1">
        <v>0</v>
      </c>
      <c r="AG282" s="1"/>
      <c r="AH282" s="1" t="s">
        <v>1346</v>
      </c>
      <c r="AI282" s="1">
        <v>1</v>
      </c>
      <c r="AJ282" s="1" t="s">
        <v>1345</v>
      </c>
      <c r="AK282" s="1">
        <v>1.6</v>
      </c>
      <c r="AL282" s="1">
        <v>81.655500000000004</v>
      </c>
      <c r="AM282" s="1" t="s">
        <v>1345</v>
      </c>
      <c r="AN282" s="1">
        <v>1.24267291910903</v>
      </c>
      <c r="AO282" s="1">
        <v>0.18757327080891001</v>
      </c>
      <c r="AP282" s="1"/>
      <c r="AQ282" s="1"/>
      <c r="AR282" s="1"/>
      <c r="AS282" s="1"/>
      <c r="AT282" s="1"/>
    </row>
    <row r="283" spans="1:46">
      <c r="A283" s="1" t="s">
        <v>1347</v>
      </c>
      <c r="B283" s="1">
        <v>286</v>
      </c>
      <c r="C283" s="1" t="s">
        <v>1347</v>
      </c>
      <c r="D283" s="1" t="s">
        <v>1348</v>
      </c>
      <c r="E283" s="1" t="s">
        <v>47</v>
      </c>
      <c r="F283" s="1" t="s">
        <v>1349</v>
      </c>
      <c r="G283" s="1" t="s">
        <v>456</v>
      </c>
      <c r="H283" s="2" t="s">
        <v>1350</v>
      </c>
      <c r="I283" s="1">
        <v>167</v>
      </c>
      <c r="J283" s="1">
        <v>0.2</v>
      </c>
      <c r="K283" s="1" t="s">
        <v>52</v>
      </c>
      <c r="L283" s="1" t="s">
        <v>52</v>
      </c>
      <c r="M283" s="1">
        <v>2.87</v>
      </c>
      <c r="N283" s="1">
        <v>24</v>
      </c>
      <c r="O283" s="1">
        <v>63.224879999999999</v>
      </c>
      <c r="P283" s="1">
        <v>-165.78994</v>
      </c>
      <c r="Q283" s="1">
        <v>10.039</v>
      </c>
      <c r="R283" s="1">
        <v>29.257000000000001</v>
      </c>
      <c r="S283" s="1">
        <v>274.452</v>
      </c>
      <c r="T283" s="1"/>
      <c r="U283" s="1"/>
      <c r="V283" s="1"/>
      <c r="W283" s="3">
        <v>0.72850000000000004</v>
      </c>
      <c r="X283" s="1" t="s">
        <v>1351</v>
      </c>
      <c r="Y283" s="1">
        <v>0.55000000000000004</v>
      </c>
      <c r="Z283" s="1">
        <v>0.26</v>
      </c>
      <c r="AA283" s="1">
        <v>0.38400000000000001</v>
      </c>
      <c r="AB283" s="1">
        <v>4.9000000000000004</v>
      </c>
      <c r="AC283" s="1">
        <v>0</v>
      </c>
      <c r="AD283" s="1">
        <v>0.01</v>
      </c>
      <c r="AE283" s="1">
        <v>0.05</v>
      </c>
      <c r="AF283" s="1">
        <v>0.01</v>
      </c>
      <c r="AG283" s="1"/>
      <c r="AH283" s="1" t="s">
        <v>1352</v>
      </c>
      <c r="AI283" s="1">
        <v>3</v>
      </c>
      <c r="AJ283" s="1" t="s">
        <v>1351</v>
      </c>
      <c r="AK283" s="1">
        <v>1.5</v>
      </c>
      <c r="AL283" s="1">
        <v>89.662499999999994</v>
      </c>
      <c r="AM283" s="1" t="s">
        <v>1351</v>
      </c>
      <c r="AN283" s="1"/>
      <c r="AO283" s="1"/>
      <c r="AP283" s="1"/>
      <c r="AQ283" s="1"/>
      <c r="AR283" s="1"/>
      <c r="AS283" s="1" t="s">
        <v>1353</v>
      </c>
      <c r="AT283" s="1"/>
    </row>
    <row r="284" spans="1:46">
      <c r="A284" s="1" t="s">
        <v>1354</v>
      </c>
      <c r="B284" s="1">
        <v>287</v>
      </c>
      <c r="C284" s="1" t="s">
        <v>1354</v>
      </c>
      <c r="D284" s="1" t="s">
        <v>1355</v>
      </c>
      <c r="E284" s="1" t="s">
        <v>47</v>
      </c>
      <c r="F284" s="1" t="s">
        <v>1349</v>
      </c>
      <c r="G284" s="1" t="s">
        <v>456</v>
      </c>
      <c r="H284" s="2" t="s">
        <v>1350</v>
      </c>
      <c r="I284" s="1">
        <v>167</v>
      </c>
      <c r="J284" s="1">
        <v>0.2</v>
      </c>
      <c r="K284" s="1" t="s">
        <v>486</v>
      </c>
      <c r="L284" s="1" t="s">
        <v>65</v>
      </c>
      <c r="M284" s="1">
        <v>10.97</v>
      </c>
      <c r="N284" s="1">
        <v>24</v>
      </c>
      <c r="O284" s="1">
        <v>63.224879999999999</v>
      </c>
      <c r="P284" s="1">
        <v>-165.78994</v>
      </c>
      <c r="Q284" s="1">
        <v>2.1669999999999998</v>
      </c>
      <c r="R284" s="1">
        <v>31.547999999999998</v>
      </c>
      <c r="S284" s="1">
        <v>349.57900000000001</v>
      </c>
      <c r="T284" s="1"/>
      <c r="U284" s="1"/>
      <c r="V284" s="1"/>
      <c r="W284" s="3">
        <v>0.96189999999999998</v>
      </c>
      <c r="X284" s="1" t="s">
        <v>1356</v>
      </c>
      <c r="Y284" s="1">
        <v>0.65</v>
      </c>
      <c r="Z284" s="1">
        <v>0.46</v>
      </c>
      <c r="AA284" s="1">
        <v>0.61699999999999999</v>
      </c>
      <c r="AB284" s="1">
        <v>2.5</v>
      </c>
      <c r="AC284" s="1">
        <v>0</v>
      </c>
      <c r="AD284" s="1">
        <v>0</v>
      </c>
      <c r="AE284" s="1">
        <v>0.01</v>
      </c>
      <c r="AF284" s="1">
        <v>0</v>
      </c>
      <c r="AG284" s="1"/>
      <c r="AH284" s="1" t="s">
        <v>1357</v>
      </c>
      <c r="AI284" s="1">
        <v>2</v>
      </c>
      <c r="AJ284" s="1" t="s">
        <v>1356</v>
      </c>
      <c r="AK284" s="1">
        <v>1.5</v>
      </c>
      <c r="AL284" s="1">
        <v>85.6755</v>
      </c>
      <c r="AM284" s="1" t="s">
        <v>1356</v>
      </c>
      <c r="AN284" s="1"/>
      <c r="AO284" s="1"/>
      <c r="AP284" s="1"/>
      <c r="AQ284" s="1"/>
      <c r="AR284" s="1"/>
      <c r="AS284" s="1" t="s">
        <v>1358</v>
      </c>
      <c r="AT284" s="1"/>
    </row>
    <row r="285" spans="1:46">
      <c r="A285" s="1" t="s">
        <v>1359</v>
      </c>
      <c r="B285" s="1">
        <v>288</v>
      </c>
      <c r="C285" s="1" t="s">
        <v>1359</v>
      </c>
      <c r="D285" s="1" t="s">
        <v>1360</v>
      </c>
      <c r="E285" s="1" t="s">
        <v>47</v>
      </c>
      <c r="F285" s="1" t="s">
        <v>1349</v>
      </c>
      <c r="G285" s="1" t="s">
        <v>456</v>
      </c>
      <c r="H285" s="2" t="s">
        <v>1350</v>
      </c>
      <c r="I285" s="1">
        <v>167</v>
      </c>
      <c r="J285" s="1">
        <v>0.2</v>
      </c>
      <c r="K285" s="1" t="s">
        <v>150</v>
      </c>
      <c r="L285" s="1" t="s">
        <v>78</v>
      </c>
      <c r="M285" s="1">
        <v>20.97</v>
      </c>
      <c r="N285" s="1">
        <v>24</v>
      </c>
      <c r="O285" s="1">
        <v>63.224879999999999</v>
      </c>
      <c r="P285" s="1">
        <v>-165.78994</v>
      </c>
      <c r="Q285" s="1">
        <v>2.1240000000000001</v>
      </c>
      <c r="R285" s="1">
        <v>31.547000000000001</v>
      </c>
      <c r="S285" s="1">
        <v>349.495</v>
      </c>
      <c r="T285" s="1"/>
      <c r="U285" s="1"/>
      <c r="V285" s="1"/>
      <c r="W285" s="3">
        <v>0.82609999999999995</v>
      </c>
      <c r="X285" s="1" t="s">
        <v>1361</v>
      </c>
      <c r="Y285" s="1">
        <v>0.78</v>
      </c>
      <c r="Z285" s="1">
        <v>0.48</v>
      </c>
      <c r="AA285" s="1">
        <v>0.71899999999999997</v>
      </c>
      <c r="AB285" s="1">
        <v>2.2999999999999998</v>
      </c>
      <c r="AC285" s="1">
        <v>0</v>
      </c>
      <c r="AD285" s="1">
        <v>0</v>
      </c>
      <c r="AE285" s="1">
        <v>0.23</v>
      </c>
      <c r="AF285" s="1">
        <v>0</v>
      </c>
      <c r="AG285" s="1"/>
      <c r="AH285" s="1" t="s">
        <v>1362</v>
      </c>
      <c r="AI285" s="1">
        <v>1</v>
      </c>
      <c r="AJ285" s="1" t="s">
        <v>1361</v>
      </c>
      <c r="AK285" s="1">
        <v>1.5</v>
      </c>
      <c r="AL285" s="1">
        <v>83.838800000000006</v>
      </c>
      <c r="AM285" s="1" t="s">
        <v>1361</v>
      </c>
      <c r="AN285" s="1"/>
      <c r="AO285" s="1"/>
      <c r="AP285" s="1"/>
      <c r="AQ285" s="1"/>
      <c r="AR285" s="1"/>
      <c r="AS285" s="1"/>
      <c r="AT285" s="1"/>
    </row>
    <row r="286" spans="1:46">
      <c r="A286" s="1" t="s">
        <v>1363</v>
      </c>
      <c r="B286" s="1">
        <v>289</v>
      </c>
      <c r="C286" s="1" t="s">
        <v>1363</v>
      </c>
      <c r="D286" s="1" t="s">
        <v>1364</v>
      </c>
      <c r="E286" s="1" t="s">
        <v>47</v>
      </c>
      <c r="F286" s="1" t="s">
        <v>1365</v>
      </c>
      <c r="G286" s="1" t="s">
        <v>456</v>
      </c>
      <c r="H286" s="2" t="s">
        <v>1366</v>
      </c>
      <c r="I286" s="1">
        <v>168</v>
      </c>
      <c r="J286" s="1">
        <v>0.2</v>
      </c>
      <c r="K286" s="1" t="s">
        <v>52</v>
      </c>
      <c r="L286" s="1" t="s">
        <v>52</v>
      </c>
      <c r="M286" s="1">
        <v>3.26</v>
      </c>
      <c r="N286" s="1">
        <v>20</v>
      </c>
      <c r="O286" s="1">
        <v>63.224339999999998</v>
      </c>
      <c r="P286" s="1">
        <v>-165.39964000000001</v>
      </c>
      <c r="Q286" s="1">
        <v>10.911</v>
      </c>
      <c r="R286" s="1">
        <v>25.0105</v>
      </c>
      <c r="S286" s="1">
        <v>267.87799999999999</v>
      </c>
      <c r="T286" s="1">
        <v>35.94</v>
      </c>
      <c r="U286" s="1">
        <v>26.92</v>
      </c>
      <c r="V286" s="1">
        <v>3500</v>
      </c>
      <c r="W286" s="3">
        <v>1.7003999999999999</v>
      </c>
      <c r="X286" s="1" t="s">
        <v>1367</v>
      </c>
      <c r="Y286" s="1"/>
      <c r="Z286" s="1"/>
      <c r="AA286" s="1">
        <v>0.16800000000000001</v>
      </c>
      <c r="AB286" s="1">
        <v>11</v>
      </c>
      <c r="AC286" s="1">
        <v>0</v>
      </c>
      <c r="AD286" s="1">
        <v>0.01</v>
      </c>
      <c r="AE286" s="1">
        <v>0.1</v>
      </c>
      <c r="AF286" s="1">
        <v>0.01</v>
      </c>
      <c r="AG286" s="1"/>
      <c r="AH286" s="1" t="s">
        <v>1368</v>
      </c>
      <c r="AI286" s="1">
        <v>3</v>
      </c>
      <c r="AJ286" s="1" t="s">
        <v>1367</v>
      </c>
      <c r="AK286" s="1">
        <v>1.3</v>
      </c>
      <c r="AL286" s="1">
        <v>75.938999999999993</v>
      </c>
      <c r="AM286" s="1" t="s">
        <v>1367</v>
      </c>
      <c r="AN286" s="1">
        <v>1.3350668647845501</v>
      </c>
      <c r="AO286" s="1">
        <v>0.20151952675993201</v>
      </c>
      <c r="AP286" s="1"/>
      <c r="AQ286" s="1"/>
      <c r="AR286" s="1"/>
      <c r="AS286" s="1"/>
      <c r="AT286" s="1"/>
    </row>
    <row r="287" spans="1:46">
      <c r="A287" s="1" t="s">
        <v>1369</v>
      </c>
      <c r="B287" s="1">
        <v>290</v>
      </c>
      <c r="C287" s="1" t="s">
        <v>1369</v>
      </c>
      <c r="D287" s="1" t="s">
        <v>1370</v>
      </c>
      <c r="E287" s="1" t="s">
        <v>47</v>
      </c>
      <c r="F287" s="1" t="s">
        <v>1365</v>
      </c>
      <c r="G287" s="1" t="s">
        <v>456</v>
      </c>
      <c r="H287" s="2" t="s">
        <v>1366</v>
      </c>
      <c r="I287" s="1">
        <v>168</v>
      </c>
      <c r="J287" s="1">
        <v>0.2</v>
      </c>
      <c r="K287" s="1" t="s">
        <v>486</v>
      </c>
      <c r="L287" s="1" t="s">
        <v>78</v>
      </c>
      <c r="M287" s="1">
        <v>11.18</v>
      </c>
      <c r="N287" s="1">
        <v>20</v>
      </c>
      <c r="O287" s="1">
        <v>63.224339999999998</v>
      </c>
      <c r="P287" s="1">
        <v>-165.39964000000001</v>
      </c>
      <c r="Q287" s="1">
        <v>2.2195</v>
      </c>
      <c r="R287" s="1">
        <v>31.114999999999998</v>
      </c>
      <c r="S287" s="1">
        <v>337.678</v>
      </c>
      <c r="T287" s="1">
        <v>45.76</v>
      </c>
      <c r="U287" s="1">
        <v>43.02</v>
      </c>
      <c r="V287" s="1">
        <v>4960.00000000001</v>
      </c>
      <c r="W287" s="3">
        <v>0.80100000000000005</v>
      </c>
      <c r="X287" s="1" t="s">
        <v>1371</v>
      </c>
      <c r="Y287" s="1"/>
      <c r="Z287" s="1"/>
      <c r="AA287" s="1">
        <v>0.86299999999999999</v>
      </c>
      <c r="AB287" s="1">
        <v>4.3</v>
      </c>
      <c r="AC287" s="1">
        <v>0.1</v>
      </c>
      <c r="AD287" s="1">
        <v>0.11</v>
      </c>
      <c r="AE287" s="1">
        <v>0.88</v>
      </c>
      <c r="AF287" s="1">
        <v>0.21</v>
      </c>
      <c r="AG287" s="1"/>
      <c r="AH287" s="1" t="s">
        <v>1372</v>
      </c>
      <c r="AI287" s="1">
        <v>2</v>
      </c>
      <c r="AJ287" s="1" t="s">
        <v>1371</v>
      </c>
      <c r="AK287" s="1">
        <v>1.3</v>
      </c>
      <c r="AL287" s="1">
        <v>61.788899999999998</v>
      </c>
      <c r="AM287" s="1" t="s">
        <v>1371</v>
      </c>
      <c r="AN287" s="1">
        <v>1.06369130636913</v>
      </c>
      <c r="AO287" s="1">
        <v>0.16055717831986899</v>
      </c>
      <c r="AP287" s="1"/>
      <c r="AQ287" s="1"/>
      <c r="AR287" s="1"/>
      <c r="AS287" s="1"/>
      <c r="AT287" s="1"/>
    </row>
    <row r="288" spans="1:46">
      <c r="A288" s="1" t="s">
        <v>1373</v>
      </c>
      <c r="B288" s="1">
        <v>291</v>
      </c>
      <c r="C288" s="1" t="s">
        <v>1373</v>
      </c>
      <c r="D288" s="1" t="s">
        <v>1374</v>
      </c>
      <c r="E288" s="1" t="s">
        <v>47</v>
      </c>
      <c r="F288" s="1" t="s">
        <v>1365</v>
      </c>
      <c r="G288" s="1" t="s">
        <v>456</v>
      </c>
      <c r="H288" s="2" t="s">
        <v>1366</v>
      </c>
      <c r="I288" s="1">
        <v>168</v>
      </c>
      <c r="J288" s="1">
        <v>0.2</v>
      </c>
      <c r="K288" s="1" t="s">
        <v>150</v>
      </c>
      <c r="L288" s="1" t="s">
        <v>78</v>
      </c>
      <c r="M288" s="1">
        <v>16.850000000000001</v>
      </c>
      <c r="N288" s="1">
        <v>20</v>
      </c>
      <c r="O288" s="1">
        <v>63.224339999999998</v>
      </c>
      <c r="P288" s="1">
        <v>-165.39964000000001</v>
      </c>
      <c r="Q288" s="1">
        <v>2.2050000000000001</v>
      </c>
      <c r="R288" s="1">
        <v>31.1175</v>
      </c>
      <c r="S288" s="1">
        <v>337.23</v>
      </c>
      <c r="T288" s="1">
        <v>28.5</v>
      </c>
      <c r="U288" s="1">
        <v>18.8333333333333</v>
      </c>
      <c r="V288" s="1">
        <v>7133.3333333333203</v>
      </c>
      <c r="W288" s="3">
        <v>0.86619999999999997</v>
      </c>
      <c r="X288" s="1" t="s">
        <v>1375</v>
      </c>
      <c r="Y288" s="1"/>
      <c r="Z288" s="1"/>
      <c r="AA288" s="1">
        <v>0.876</v>
      </c>
      <c r="AB288" s="1">
        <v>4.2</v>
      </c>
      <c r="AC288" s="1">
        <v>0</v>
      </c>
      <c r="AD288" s="1">
        <v>0.1</v>
      </c>
      <c r="AE288" s="1">
        <v>0.75</v>
      </c>
      <c r="AF288" s="1">
        <v>0.1</v>
      </c>
      <c r="AG288" s="1"/>
      <c r="AH288" s="1" t="s">
        <v>1376</v>
      </c>
      <c r="AI288" s="1">
        <v>1</v>
      </c>
      <c r="AJ288" s="1" t="s">
        <v>1375</v>
      </c>
      <c r="AK288" s="1">
        <v>1.3</v>
      </c>
      <c r="AL288" s="1">
        <v>56.234999999999999</v>
      </c>
      <c r="AM288" s="1" t="s">
        <v>1375</v>
      </c>
      <c r="AN288" s="1">
        <v>1.51327433628319</v>
      </c>
      <c r="AO288" s="1">
        <v>0.22841876774085801</v>
      </c>
      <c r="AP288" s="1"/>
      <c r="AQ288" s="1"/>
      <c r="AR288" s="1"/>
      <c r="AS288" s="1"/>
      <c r="AT288" s="1"/>
    </row>
    <row r="289" spans="1:46">
      <c r="A289" s="1" t="s">
        <v>1377</v>
      </c>
      <c r="B289" s="1">
        <v>292</v>
      </c>
      <c r="C289" s="1" t="s">
        <v>1377</v>
      </c>
      <c r="D289" s="1" t="s">
        <v>1378</v>
      </c>
      <c r="E289" s="1" t="s">
        <v>47</v>
      </c>
      <c r="F289" s="1" t="s">
        <v>1379</v>
      </c>
      <c r="G289" s="1" t="s">
        <v>456</v>
      </c>
      <c r="H289" s="2" t="s">
        <v>1380</v>
      </c>
      <c r="I289" s="1">
        <v>169</v>
      </c>
      <c r="J289" s="1">
        <v>0.2</v>
      </c>
      <c r="K289" s="1" t="s">
        <v>52</v>
      </c>
      <c r="L289" s="1" t="s">
        <v>52</v>
      </c>
      <c r="M289" s="1">
        <v>3.22</v>
      </c>
      <c r="N289" s="1">
        <v>16</v>
      </c>
      <c r="O289" s="1">
        <v>63.22372</v>
      </c>
      <c r="P289" s="1">
        <v>-165.25376</v>
      </c>
      <c r="Q289" s="1">
        <v>10.486000000000001</v>
      </c>
      <c r="R289" s="1">
        <v>25.3155</v>
      </c>
      <c r="S289" s="1">
        <v>264.22000000000003</v>
      </c>
      <c r="T289" s="1"/>
      <c r="U289" s="1"/>
      <c r="V289" s="1"/>
      <c r="W289" s="3">
        <v>1.5251999999999999</v>
      </c>
      <c r="X289" s="1" t="s">
        <v>1381</v>
      </c>
      <c r="Y289" s="1">
        <v>1.87</v>
      </c>
      <c r="Z289" s="1">
        <v>0.65</v>
      </c>
      <c r="AA289" s="1">
        <v>0.23400000000000001</v>
      </c>
      <c r="AB289" s="1">
        <v>10.8</v>
      </c>
      <c r="AC289" s="1">
        <v>0</v>
      </c>
      <c r="AD289" s="1">
        <v>0.04</v>
      </c>
      <c r="AE289" s="1">
        <v>0.19</v>
      </c>
      <c r="AF289" s="1">
        <v>0.04</v>
      </c>
      <c r="AG289" s="1"/>
      <c r="AH289" s="1" t="s">
        <v>1382</v>
      </c>
      <c r="AI289" s="1">
        <v>3</v>
      </c>
      <c r="AJ289" s="1" t="s">
        <v>1381</v>
      </c>
      <c r="AK289" s="1">
        <v>1</v>
      </c>
      <c r="AL289" s="1">
        <v>71.427300000000002</v>
      </c>
      <c r="AM289" s="1" t="s">
        <v>1381</v>
      </c>
      <c r="AN289" s="1"/>
      <c r="AO289" s="1"/>
      <c r="AP289" s="1"/>
      <c r="AQ289" s="1"/>
      <c r="AR289" s="1"/>
      <c r="AS289" s="1"/>
      <c r="AT289" s="1"/>
    </row>
    <row r="290" spans="1:46">
      <c r="A290" s="1" t="s">
        <v>1383</v>
      </c>
      <c r="B290" s="1">
        <v>293</v>
      </c>
      <c r="C290" s="1" t="s">
        <v>1383</v>
      </c>
      <c r="D290" s="1" t="s">
        <v>1384</v>
      </c>
      <c r="E290" s="1" t="s">
        <v>47</v>
      </c>
      <c r="F290" s="1" t="s">
        <v>1379</v>
      </c>
      <c r="G290" s="1" t="s">
        <v>456</v>
      </c>
      <c r="H290" s="2" t="s">
        <v>1380</v>
      </c>
      <c r="I290" s="1">
        <v>169</v>
      </c>
      <c r="J290" s="1">
        <v>0.2</v>
      </c>
      <c r="K290" s="1" t="s">
        <v>486</v>
      </c>
      <c r="L290" s="1" t="s">
        <v>78</v>
      </c>
      <c r="M290" s="1">
        <v>10.3</v>
      </c>
      <c r="N290" s="1">
        <v>16</v>
      </c>
      <c r="O290" s="1">
        <v>63.22372</v>
      </c>
      <c r="P290" s="1">
        <v>-165.25376</v>
      </c>
      <c r="Q290" s="1">
        <v>4.3375000000000004</v>
      </c>
      <c r="R290" s="1">
        <v>29.757999999999999</v>
      </c>
      <c r="S290" s="1">
        <v>268.64299999999997</v>
      </c>
      <c r="T290" s="1"/>
      <c r="U290" s="1"/>
      <c r="V290" s="1"/>
      <c r="W290" s="3">
        <v>0.43140000000000001</v>
      </c>
      <c r="X290" s="1" t="s">
        <v>1385</v>
      </c>
      <c r="Y290" s="1">
        <v>1.05</v>
      </c>
      <c r="Z290" s="1">
        <v>0.75</v>
      </c>
      <c r="AA290" s="1">
        <v>0.68</v>
      </c>
      <c r="AB290" s="1">
        <v>7.2</v>
      </c>
      <c r="AC290" s="1">
        <v>0.1</v>
      </c>
      <c r="AD290" s="1">
        <v>0.13</v>
      </c>
      <c r="AE290" s="1">
        <v>1.08</v>
      </c>
      <c r="AF290" s="1">
        <v>0.23</v>
      </c>
      <c r="AG290" s="1"/>
      <c r="AH290" s="1" t="s">
        <v>1386</v>
      </c>
      <c r="AI290" s="1">
        <v>2</v>
      </c>
      <c r="AJ290" s="1" t="s">
        <v>1385</v>
      </c>
      <c r="AK290" s="1">
        <v>1</v>
      </c>
      <c r="AL290" s="1">
        <v>55.168399999999998</v>
      </c>
      <c r="AM290" s="1" t="s">
        <v>1385</v>
      </c>
      <c r="AN290" s="1"/>
      <c r="AO290" s="1"/>
      <c r="AP290" s="1"/>
      <c r="AQ290" s="1"/>
      <c r="AR290" s="1"/>
      <c r="AS290" s="1" t="s">
        <v>1387</v>
      </c>
      <c r="AT290" s="1"/>
    </row>
    <row r="291" spans="1:46">
      <c r="A291" s="1" t="s">
        <v>1388</v>
      </c>
      <c r="B291" s="1">
        <v>294</v>
      </c>
      <c r="C291" s="1" t="s">
        <v>1388</v>
      </c>
      <c r="D291" s="1" t="s">
        <v>1389</v>
      </c>
      <c r="E291" s="1" t="s">
        <v>47</v>
      </c>
      <c r="F291" s="1" t="s">
        <v>1379</v>
      </c>
      <c r="G291" s="1" t="s">
        <v>456</v>
      </c>
      <c r="H291" s="2" t="s">
        <v>1380</v>
      </c>
      <c r="I291" s="1">
        <v>169</v>
      </c>
      <c r="J291" s="1">
        <v>0.2</v>
      </c>
      <c r="K291" s="1" t="s">
        <v>150</v>
      </c>
      <c r="L291" s="1" t="s">
        <v>78</v>
      </c>
      <c r="M291" s="1">
        <v>13.96</v>
      </c>
      <c r="N291" s="1">
        <v>16</v>
      </c>
      <c r="O291" s="1">
        <v>63.22372</v>
      </c>
      <c r="P291" s="1">
        <v>-165.25376</v>
      </c>
      <c r="Q291" s="1">
        <v>3.7865000000000002</v>
      </c>
      <c r="R291" s="1">
        <v>30.0885</v>
      </c>
      <c r="S291" s="1">
        <v>283.00799999999998</v>
      </c>
      <c r="T291" s="1"/>
      <c r="U291" s="1"/>
      <c r="V291" s="1"/>
      <c r="W291" s="3">
        <v>0.6502</v>
      </c>
      <c r="X291" s="1" t="s">
        <v>1390</v>
      </c>
      <c r="Y291" s="1">
        <v>1.06</v>
      </c>
      <c r="Z291" s="1">
        <v>0.83</v>
      </c>
      <c r="AA291" s="1">
        <v>0.94899999999999995</v>
      </c>
      <c r="AB291" s="1">
        <v>6.9</v>
      </c>
      <c r="AC291" s="1">
        <v>0.2</v>
      </c>
      <c r="AD291" s="1">
        <v>0.18</v>
      </c>
      <c r="AE291" s="1">
        <v>1.45</v>
      </c>
      <c r="AF291" s="1">
        <v>0.38</v>
      </c>
      <c r="AG291" s="1"/>
      <c r="AH291" s="1" t="s">
        <v>1391</v>
      </c>
      <c r="AI291" s="1">
        <v>1</v>
      </c>
      <c r="AJ291" s="1" t="s">
        <v>1390</v>
      </c>
      <c r="AK291" s="1">
        <v>1</v>
      </c>
      <c r="AL291" s="1">
        <v>35.802599999999998</v>
      </c>
      <c r="AM291" s="1" t="s">
        <v>1390</v>
      </c>
      <c r="AN291" s="1"/>
      <c r="AO291" s="1"/>
      <c r="AP291" s="1"/>
      <c r="AQ291" s="1"/>
      <c r="AR291" s="1"/>
      <c r="AS291" s="1"/>
      <c r="AT291" s="1"/>
    </row>
  </sheetData>
  <autoFilter ref="G1:G291" xr:uid="{00000000-0001-0000-0100-000000000000}"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48"/>
  <sheetViews>
    <sheetView zoomScale="40" zoomScaleNormal="40" workbookViewId="0"/>
  </sheetViews>
  <sheetFormatPr baseColWidth="10" defaultColWidth="10.5" defaultRowHeight="16"/>
  <cols>
    <col min="1" max="1" width="19.1640625" customWidth="1"/>
    <col min="2" max="2" width="21.1640625" customWidth="1"/>
    <col min="3" max="3" width="16.5" customWidth="1"/>
    <col min="4" max="4" width="22" customWidth="1"/>
    <col min="10" max="10" width="26" customWidth="1"/>
    <col min="11" max="11" width="14.83203125" customWidth="1"/>
    <col min="12" max="12" width="26" customWidth="1"/>
    <col min="13" max="13" width="22" customWidth="1"/>
  </cols>
  <sheetData>
    <row r="1" spans="1:13">
      <c r="A1" t="s">
        <v>4788</v>
      </c>
      <c r="B1" s="12" t="s">
        <v>4310</v>
      </c>
      <c r="C1" t="s">
        <v>4789</v>
      </c>
      <c r="E1">
        <v>8</v>
      </c>
      <c r="F1">
        <v>10</v>
      </c>
      <c r="G1">
        <v>2015</v>
      </c>
      <c r="H1">
        <v>1</v>
      </c>
      <c r="I1">
        <v>2</v>
      </c>
      <c r="K1" t="s">
        <v>4790</v>
      </c>
      <c r="L1" s="13" t="str">
        <f t="shared" ref="L1:L32" si="0">A1&amp;"_"&amp;E1&amp;"_"&amp;F1&amp;"_"&amp;I1</f>
        <v>BC2_8_10_2</v>
      </c>
      <c r="M1" s="14" t="s">
        <v>4311</v>
      </c>
    </row>
    <row r="2" spans="1:13">
      <c r="A2" t="s">
        <v>4788</v>
      </c>
      <c r="B2" s="12" t="s">
        <v>4310</v>
      </c>
      <c r="C2" t="s">
        <v>4789</v>
      </c>
      <c r="E2">
        <v>8</v>
      </c>
      <c r="F2">
        <v>10</v>
      </c>
      <c r="G2">
        <v>2015</v>
      </c>
      <c r="H2">
        <v>1</v>
      </c>
      <c r="I2">
        <v>19</v>
      </c>
      <c r="K2" t="s">
        <v>4791</v>
      </c>
      <c r="L2" s="13" t="str">
        <f t="shared" si="0"/>
        <v>BC2_8_10_19</v>
      </c>
      <c r="M2" s="14" t="s">
        <v>4313</v>
      </c>
    </row>
    <row r="3" spans="1:13">
      <c r="A3" t="s">
        <v>4788</v>
      </c>
      <c r="B3" s="12" t="s">
        <v>4310</v>
      </c>
      <c r="C3" t="s">
        <v>4789</v>
      </c>
      <c r="E3">
        <v>8</v>
      </c>
      <c r="F3">
        <v>10</v>
      </c>
      <c r="G3">
        <v>2015</v>
      </c>
      <c r="H3">
        <v>1</v>
      </c>
      <c r="I3">
        <v>53</v>
      </c>
      <c r="K3" t="s">
        <v>4792</v>
      </c>
      <c r="L3" s="13" t="str">
        <f t="shared" si="0"/>
        <v>BC2_8_10_53</v>
      </c>
      <c r="M3" s="14" t="s">
        <v>4315</v>
      </c>
    </row>
    <row r="4" spans="1:13">
      <c r="A4" t="s">
        <v>630</v>
      </c>
      <c r="B4" s="12" t="s">
        <v>4358</v>
      </c>
      <c r="C4" t="s">
        <v>4793</v>
      </c>
      <c r="E4">
        <v>8</v>
      </c>
      <c r="F4">
        <v>13</v>
      </c>
      <c r="G4">
        <v>2015</v>
      </c>
      <c r="H4">
        <v>10</v>
      </c>
      <c r="I4">
        <v>10</v>
      </c>
      <c r="K4" t="s">
        <v>4794</v>
      </c>
      <c r="L4" s="13" t="str">
        <f t="shared" si="0"/>
        <v>CL0_8_13_10</v>
      </c>
      <c r="M4" s="14" t="s">
        <v>4364</v>
      </c>
    </row>
    <row r="5" spans="1:13">
      <c r="A5" t="s">
        <v>630</v>
      </c>
      <c r="B5" s="12" t="s">
        <v>4358</v>
      </c>
      <c r="C5" t="s">
        <v>4793</v>
      </c>
      <c r="E5">
        <v>8</v>
      </c>
      <c r="F5">
        <v>13</v>
      </c>
      <c r="G5">
        <v>2015</v>
      </c>
      <c r="H5">
        <v>10</v>
      </c>
      <c r="I5">
        <v>23</v>
      </c>
      <c r="K5" t="s">
        <v>4795</v>
      </c>
      <c r="L5" s="13" t="str">
        <f t="shared" si="0"/>
        <v>CL0_8_13_23</v>
      </c>
      <c r="M5" s="14" t="s">
        <v>4359</v>
      </c>
    </row>
    <row r="6" spans="1:13">
      <c r="A6" t="s">
        <v>630</v>
      </c>
      <c r="B6" s="12" t="s">
        <v>4358</v>
      </c>
      <c r="C6" t="s">
        <v>4793</v>
      </c>
      <c r="E6">
        <v>8</v>
      </c>
      <c r="F6">
        <v>13</v>
      </c>
      <c r="G6">
        <v>2015</v>
      </c>
      <c r="H6">
        <v>10</v>
      </c>
      <c r="I6">
        <v>5</v>
      </c>
      <c r="K6" t="s">
        <v>4796</v>
      </c>
      <c r="L6" s="13" t="str">
        <f t="shared" si="0"/>
        <v>CL0_8_13_5</v>
      </c>
      <c r="M6" s="14" t="s">
        <v>4362</v>
      </c>
    </row>
    <row r="7" spans="1:13">
      <c r="A7" t="s">
        <v>162</v>
      </c>
      <c r="B7" s="12" t="s">
        <v>4367</v>
      </c>
      <c r="C7" t="s">
        <v>4797</v>
      </c>
      <c r="E7">
        <v>8</v>
      </c>
      <c r="F7">
        <v>13</v>
      </c>
      <c r="G7">
        <v>2015</v>
      </c>
      <c r="H7">
        <v>12</v>
      </c>
      <c r="I7">
        <v>39</v>
      </c>
      <c r="K7" t="s">
        <v>4798</v>
      </c>
      <c r="L7" s="13" t="str">
        <f t="shared" si="0"/>
        <v>CL1_8_13_39</v>
      </c>
      <c r="M7" s="14" t="s">
        <v>4799</v>
      </c>
    </row>
    <row r="8" spans="1:13">
      <c r="A8" t="s">
        <v>676</v>
      </c>
      <c r="B8" s="12" t="s">
        <v>4393</v>
      </c>
      <c r="C8" t="s">
        <v>4800</v>
      </c>
      <c r="E8">
        <v>8</v>
      </c>
      <c r="F8">
        <v>14</v>
      </c>
      <c r="G8">
        <v>2015</v>
      </c>
      <c r="H8">
        <v>15</v>
      </c>
      <c r="I8">
        <v>10</v>
      </c>
      <c r="K8" t="s">
        <v>4801</v>
      </c>
      <c r="L8" s="13" t="str">
        <f t="shared" si="0"/>
        <v>CL2_8_14_10</v>
      </c>
      <c r="M8" s="14" t="s">
        <v>4394</v>
      </c>
    </row>
    <row r="9" spans="1:13">
      <c r="A9" t="s">
        <v>676</v>
      </c>
      <c r="B9" s="12" t="s">
        <v>4393</v>
      </c>
      <c r="C9" t="s">
        <v>4800</v>
      </c>
      <c r="E9">
        <v>8</v>
      </c>
      <c r="F9">
        <v>14</v>
      </c>
      <c r="G9">
        <v>2015</v>
      </c>
      <c r="H9">
        <v>15</v>
      </c>
      <c r="I9">
        <v>42</v>
      </c>
      <c r="K9" t="s">
        <v>4802</v>
      </c>
      <c r="L9" s="13" t="str">
        <f t="shared" si="0"/>
        <v>CL2_8_14_42</v>
      </c>
      <c r="M9" s="14" t="s">
        <v>4396</v>
      </c>
    </row>
    <row r="10" spans="1:13">
      <c r="A10" t="s">
        <v>676</v>
      </c>
      <c r="B10" s="12" t="s">
        <v>4393</v>
      </c>
      <c r="C10" t="s">
        <v>4800</v>
      </c>
      <c r="E10">
        <v>8</v>
      </c>
      <c r="F10">
        <v>14</v>
      </c>
      <c r="G10">
        <v>2015</v>
      </c>
      <c r="H10">
        <v>15</v>
      </c>
      <c r="I10">
        <v>6</v>
      </c>
      <c r="K10" t="s">
        <v>4803</v>
      </c>
      <c r="L10" s="13" t="str">
        <f t="shared" si="0"/>
        <v>CL2_8_14_6</v>
      </c>
      <c r="M10" s="14" t="s">
        <v>4398</v>
      </c>
    </row>
    <row r="11" spans="1:13">
      <c r="A11" t="s">
        <v>690</v>
      </c>
      <c r="B11" s="12" t="s">
        <v>4401</v>
      </c>
      <c r="C11" t="s">
        <v>4804</v>
      </c>
      <c r="E11">
        <v>8</v>
      </c>
      <c r="F11">
        <v>14</v>
      </c>
      <c r="G11">
        <v>2015</v>
      </c>
      <c r="H11">
        <v>14</v>
      </c>
      <c r="I11">
        <v>20</v>
      </c>
      <c r="K11" t="s">
        <v>4805</v>
      </c>
      <c r="L11" s="13" t="str">
        <f t="shared" si="0"/>
        <v>CL2.5_8_14_20</v>
      </c>
      <c r="M11" s="14" t="s">
        <v>4402</v>
      </c>
    </row>
    <row r="12" spans="1:13">
      <c r="A12" t="s">
        <v>690</v>
      </c>
      <c r="B12" s="12" t="s">
        <v>4401</v>
      </c>
      <c r="C12" t="s">
        <v>4804</v>
      </c>
      <c r="E12">
        <v>8</v>
      </c>
      <c r="F12">
        <v>14</v>
      </c>
      <c r="G12">
        <v>2015</v>
      </c>
      <c r="H12">
        <v>14</v>
      </c>
      <c r="I12">
        <v>43</v>
      </c>
      <c r="K12" t="s">
        <v>4806</v>
      </c>
      <c r="L12" s="13" t="str">
        <f t="shared" si="0"/>
        <v>CL2.5_8_14_43</v>
      </c>
      <c r="M12" s="14" t="s">
        <v>4404</v>
      </c>
    </row>
    <row r="13" spans="1:13">
      <c r="A13" t="s">
        <v>690</v>
      </c>
      <c r="B13" s="12" t="s">
        <v>4401</v>
      </c>
      <c r="C13" t="s">
        <v>4804</v>
      </c>
      <c r="E13">
        <v>8</v>
      </c>
      <c r="F13">
        <v>14</v>
      </c>
      <c r="G13">
        <v>2015</v>
      </c>
      <c r="H13">
        <v>14</v>
      </c>
      <c r="I13">
        <v>5</v>
      </c>
      <c r="K13" t="s">
        <v>4807</v>
      </c>
      <c r="L13" s="13" t="str">
        <f t="shared" si="0"/>
        <v>CL2.5_8_14_5</v>
      </c>
      <c r="M13" s="14" t="s">
        <v>4406</v>
      </c>
    </row>
    <row r="14" spans="1:13">
      <c r="A14" t="s">
        <v>196</v>
      </c>
      <c r="B14" s="12" t="s">
        <v>4409</v>
      </c>
      <c r="C14" t="s">
        <v>4808</v>
      </c>
      <c r="E14">
        <v>8</v>
      </c>
      <c r="F14">
        <v>14</v>
      </c>
      <c r="G14">
        <v>2015</v>
      </c>
      <c r="H14">
        <v>13</v>
      </c>
      <c r="I14">
        <v>21</v>
      </c>
      <c r="K14" t="s">
        <v>4809</v>
      </c>
      <c r="L14" s="13" t="str">
        <f t="shared" si="0"/>
        <v>CL3_8_14_21</v>
      </c>
      <c r="M14" s="14" t="s">
        <v>4410</v>
      </c>
    </row>
    <row r="15" spans="1:13">
      <c r="A15" t="s">
        <v>196</v>
      </c>
      <c r="B15" s="12" t="s">
        <v>4409</v>
      </c>
      <c r="C15" t="s">
        <v>4808</v>
      </c>
      <c r="E15">
        <v>8</v>
      </c>
      <c r="F15">
        <v>14</v>
      </c>
      <c r="G15">
        <v>2015</v>
      </c>
      <c r="H15">
        <v>13</v>
      </c>
      <c r="I15">
        <v>42</v>
      </c>
      <c r="K15" t="s">
        <v>4810</v>
      </c>
      <c r="L15" s="13" t="str">
        <f t="shared" si="0"/>
        <v>CL3_8_14_42</v>
      </c>
      <c r="M15" s="14" t="s">
        <v>4412</v>
      </c>
    </row>
    <row r="16" spans="1:13">
      <c r="A16" t="s">
        <v>196</v>
      </c>
      <c r="B16" s="12" t="s">
        <v>4409</v>
      </c>
      <c r="C16" t="s">
        <v>4808</v>
      </c>
      <c r="E16">
        <v>8</v>
      </c>
      <c r="F16">
        <v>14</v>
      </c>
      <c r="G16">
        <v>2015</v>
      </c>
      <c r="H16">
        <v>13</v>
      </c>
      <c r="I16">
        <v>5</v>
      </c>
      <c r="K16" t="s">
        <v>4811</v>
      </c>
      <c r="L16" s="13" t="str">
        <f t="shared" si="0"/>
        <v>CL3_8_14_5</v>
      </c>
      <c r="M16" s="14" t="s">
        <v>4414</v>
      </c>
    </row>
    <row r="17" spans="1:13">
      <c r="A17" t="s">
        <v>999</v>
      </c>
      <c r="B17" s="12" t="s">
        <v>4371</v>
      </c>
      <c r="C17" t="s">
        <v>4812</v>
      </c>
      <c r="E17">
        <v>8</v>
      </c>
      <c r="F17">
        <v>13</v>
      </c>
      <c r="G17">
        <v>2015</v>
      </c>
      <c r="H17">
        <v>9</v>
      </c>
      <c r="I17">
        <v>10</v>
      </c>
      <c r="K17" t="s">
        <v>4813</v>
      </c>
      <c r="L17" s="13" t="str">
        <f t="shared" si="0"/>
        <v>DBO3.1_8_13_10</v>
      </c>
      <c r="M17" s="14" t="s">
        <v>4372</v>
      </c>
    </row>
    <row r="18" spans="1:13">
      <c r="A18" t="s">
        <v>999</v>
      </c>
      <c r="B18" s="12" t="s">
        <v>4371</v>
      </c>
      <c r="C18" t="s">
        <v>4812</v>
      </c>
      <c r="E18">
        <v>8</v>
      </c>
      <c r="F18">
        <v>13</v>
      </c>
      <c r="G18">
        <v>2015</v>
      </c>
      <c r="H18">
        <v>9</v>
      </c>
      <c r="I18">
        <v>27</v>
      </c>
      <c r="K18" t="s">
        <v>4814</v>
      </c>
      <c r="L18" s="13" t="str">
        <f t="shared" si="0"/>
        <v>DBO3.1_8_13_27</v>
      </c>
      <c r="M18" s="14" t="s">
        <v>4374</v>
      </c>
    </row>
    <row r="19" spans="1:13">
      <c r="A19" t="s">
        <v>999</v>
      </c>
      <c r="B19" s="12" t="s">
        <v>4371</v>
      </c>
      <c r="C19" t="s">
        <v>4812</v>
      </c>
      <c r="E19">
        <v>8</v>
      </c>
      <c r="F19">
        <v>13</v>
      </c>
      <c r="G19">
        <v>2015</v>
      </c>
      <c r="H19">
        <v>9</v>
      </c>
      <c r="I19">
        <v>5</v>
      </c>
      <c r="K19" t="s">
        <v>4815</v>
      </c>
      <c r="L19" s="13" t="str">
        <f t="shared" si="0"/>
        <v>DBO3.1_8_13_5</v>
      </c>
      <c r="M19" s="14" t="s">
        <v>4376</v>
      </c>
    </row>
    <row r="20" spans="1:13">
      <c r="A20" t="s">
        <v>1013</v>
      </c>
      <c r="B20" s="12" t="s">
        <v>4379</v>
      </c>
      <c r="C20" t="s">
        <v>4816</v>
      </c>
      <c r="E20">
        <v>8</v>
      </c>
      <c r="F20">
        <v>13</v>
      </c>
      <c r="G20">
        <v>2015</v>
      </c>
      <c r="H20">
        <v>8</v>
      </c>
      <c r="I20">
        <v>21</v>
      </c>
      <c r="K20" t="s">
        <v>4817</v>
      </c>
      <c r="L20" s="13" t="str">
        <f t="shared" si="0"/>
        <v>DBO3.2_8_13_21</v>
      </c>
      <c r="M20" s="14" t="s">
        <v>4380</v>
      </c>
    </row>
    <row r="21" spans="1:13">
      <c r="A21" t="s">
        <v>1013</v>
      </c>
      <c r="B21" s="12" t="s">
        <v>4379</v>
      </c>
      <c r="C21" t="s">
        <v>4816</v>
      </c>
      <c r="E21">
        <v>8</v>
      </c>
      <c r="F21">
        <v>13</v>
      </c>
      <c r="G21">
        <v>2015</v>
      </c>
      <c r="H21">
        <v>8</v>
      </c>
      <c r="I21">
        <v>36</v>
      </c>
      <c r="K21" t="s">
        <v>4818</v>
      </c>
      <c r="L21" s="13" t="str">
        <f t="shared" si="0"/>
        <v>DBO3.2_8_13_36</v>
      </c>
      <c r="M21" s="14" t="s">
        <v>4384</v>
      </c>
    </row>
    <row r="22" spans="1:13">
      <c r="A22" t="s">
        <v>1013</v>
      </c>
      <c r="B22" s="12" t="s">
        <v>4379</v>
      </c>
      <c r="C22" t="s">
        <v>4816</v>
      </c>
      <c r="E22">
        <v>8</v>
      </c>
      <c r="F22">
        <v>13</v>
      </c>
      <c r="G22">
        <v>2015</v>
      </c>
      <c r="H22">
        <v>8</v>
      </c>
      <c r="I22">
        <v>4</v>
      </c>
      <c r="K22" t="s">
        <v>4819</v>
      </c>
      <c r="L22" s="13" t="str">
        <f t="shared" si="0"/>
        <v>DBO3.2_8_13_4</v>
      </c>
      <c r="M22" s="14" t="s">
        <v>4382</v>
      </c>
    </row>
    <row r="23" spans="1:13">
      <c r="A23" t="s">
        <v>304</v>
      </c>
      <c r="B23" s="12" t="s">
        <v>4387</v>
      </c>
      <c r="C23" t="s">
        <v>4820</v>
      </c>
      <c r="E23">
        <v>8</v>
      </c>
      <c r="F23">
        <v>13</v>
      </c>
      <c r="G23">
        <v>2015</v>
      </c>
      <c r="H23">
        <v>7</v>
      </c>
      <c r="I23">
        <v>41</v>
      </c>
      <c r="K23" t="s">
        <v>4821</v>
      </c>
      <c r="L23" s="13" t="str">
        <f t="shared" si="0"/>
        <v>DBO3.3_8_13_41</v>
      </c>
      <c r="M23" s="14" t="s">
        <v>4388</v>
      </c>
    </row>
    <row r="24" spans="1:13">
      <c r="A24" t="s">
        <v>304</v>
      </c>
      <c r="B24" s="12" t="s">
        <v>4387</v>
      </c>
      <c r="C24" t="s">
        <v>4820</v>
      </c>
      <c r="E24">
        <v>8</v>
      </c>
      <c r="F24">
        <v>13</v>
      </c>
      <c r="G24">
        <v>2015</v>
      </c>
      <c r="H24">
        <v>7</v>
      </c>
      <c r="I24">
        <v>5</v>
      </c>
      <c r="K24" t="s">
        <v>4822</v>
      </c>
      <c r="L24" s="13" t="str">
        <f t="shared" si="0"/>
        <v>DBO3.3_8_13_5</v>
      </c>
      <c r="M24" s="14" t="s">
        <v>4390</v>
      </c>
    </row>
    <row r="25" spans="1:13">
      <c r="A25" t="s">
        <v>1036</v>
      </c>
      <c r="B25" s="12" t="s">
        <v>4318</v>
      </c>
      <c r="C25" t="s">
        <v>4823</v>
      </c>
      <c r="E25">
        <v>8</v>
      </c>
      <c r="F25">
        <v>12</v>
      </c>
      <c r="G25">
        <v>2015</v>
      </c>
      <c r="H25">
        <v>6</v>
      </c>
      <c r="I25">
        <v>21</v>
      </c>
      <c r="K25" t="s">
        <v>4824</v>
      </c>
      <c r="L25" s="13" t="str">
        <f t="shared" si="0"/>
        <v>DBO3.4_8_12_21</v>
      </c>
      <c r="M25" s="14" t="s">
        <v>4321</v>
      </c>
    </row>
    <row r="26" spans="1:13">
      <c r="A26" t="s">
        <v>1036</v>
      </c>
      <c r="B26" s="12" t="s">
        <v>4318</v>
      </c>
      <c r="C26" t="s">
        <v>4823</v>
      </c>
      <c r="E26">
        <v>8</v>
      </c>
      <c r="F26">
        <v>12</v>
      </c>
      <c r="G26">
        <v>2015</v>
      </c>
      <c r="H26">
        <v>6</v>
      </c>
      <c r="I26">
        <v>3</v>
      </c>
      <c r="K26" t="s">
        <v>4825</v>
      </c>
      <c r="L26" s="13" t="str">
        <f t="shared" si="0"/>
        <v>DBO3.4_8_12_3</v>
      </c>
      <c r="M26" s="14" t="s">
        <v>4319</v>
      </c>
    </row>
    <row r="27" spans="1:13">
      <c r="A27" t="s">
        <v>1036</v>
      </c>
      <c r="B27" s="12" t="s">
        <v>4318</v>
      </c>
      <c r="C27" t="s">
        <v>4823</v>
      </c>
      <c r="E27">
        <v>8</v>
      </c>
      <c r="F27">
        <v>12</v>
      </c>
      <c r="G27">
        <v>2015</v>
      </c>
      <c r="H27">
        <v>6</v>
      </c>
      <c r="I27">
        <v>44</v>
      </c>
      <c r="K27" t="s">
        <v>4826</v>
      </c>
      <c r="L27" s="13" t="str">
        <f t="shared" si="0"/>
        <v>DBO3.4_8_12_44</v>
      </c>
      <c r="M27" s="14" t="s">
        <v>4323</v>
      </c>
    </row>
    <row r="28" spans="1:13">
      <c r="A28" t="s">
        <v>1059</v>
      </c>
      <c r="B28" s="12" t="s">
        <v>4326</v>
      </c>
      <c r="C28" t="s">
        <v>4827</v>
      </c>
      <c r="E28">
        <v>8</v>
      </c>
      <c r="F28">
        <v>12</v>
      </c>
      <c r="G28">
        <v>2015</v>
      </c>
      <c r="H28">
        <v>5</v>
      </c>
      <c r="I28">
        <v>22</v>
      </c>
      <c r="K28" t="s">
        <v>4828</v>
      </c>
      <c r="L28" s="13" t="str">
        <f t="shared" si="0"/>
        <v>DBO3.5_8_12_22</v>
      </c>
      <c r="M28" s="14" t="s">
        <v>4327</v>
      </c>
    </row>
    <row r="29" spans="1:13">
      <c r="A29" t="s">
        <v>1059</v>
      </c>
      <c r="B29" s="12" t="s">
        <v>4326</v>
      </c>
      <c r="C29" t="s">
        <v>4827</v>
      </c>
      <c r="E29">
        <v>8</v>
      </c>
      <c r="F29">
        <v>12</v>
      </c>
      <c r="G29">
        <v>2015</v>
      </c>
      <c r="H29">
        <v>5</v>
      </c>
      <c r="I29">
        <v>47</v>
      </c>
      <c r="K29" t="s">
        <v>4829</v>
      </c>
      <c r="L29" s="13" t="str">
        <f t="shared" si="0"/>
        <v>DBO3.5_8_12_47</v>
      </c>
      <c r="M29" s="14" t="s">
        <v>4331</v>
      </c>
    </row>
    <row r="30" spans="1:13">
      <c r="A30" t="s">
        <v>1059</v>
      </c>
      <c r="B30" s="12" t="s">
        <v>4326</v>
      </c>
      <c r="C30" t="s">
        <v>4827</v>
      </c>
      <c r="E30">
        <v>8</v>
      </c>
      <c r="F30">
        <v>12</v>
      </c>
      <c r="G30">
        <v>2015</v>
      </c>
      <c r="H30">
        <v>5</v>
      </c>
      <c r="I30">
        <v>4</v>
      </c>
      <c r="K30" t="s">
        <v>4830</v>
      </c>
      <c r="L30" s="13" t="str">
        <f t="shared" si="0"/>
        <v>DBO3.5_8_12_4</v>
      </c>
      <c r="M30" s="14" t="s">
        <v>4329</v>
      </c>
    </row>
    <row r="31" spans="1:13">
      <c r="A31" t="s">
        <v>1077</v>
      </c>
      <c r="B31" s="12" t="s">
        <v>4334</v>
      </c>
      <c r="C31" t="s">
        <v>4831</v>
      </c>
      <c r="E31">
        <v>8</v>
      </c>
      <c r="F31">
        <v>12</v>
      </c>
      <c r="G31">
        <v>2015</v>
      </c>
      <c r="H31">
        <v>4</v>
      </c>
      <c r="I31">
        <v>20</v>
      </c>
      <c r="K31" t="s">
        <v>4832</v>
      </c>
      <c r="L31" s="13" t="str">
        <f t="shared" si="0"/>
        <v>DBO3.6_8_12_20</v>
      </c>
      <c r="M31" s="14" t="s">
        <v>4335</v>
      </c>
    </row>
    <row r="32" spans="1:13">
      <c r="A32" t="s">
        <v>1077</v>
      </c>
      <c r="B32" s="12" t="s">
        <v>4334</v>
      </c>
      <c r="C32" t="s">
        <v>4831</v>
      </c>
      <c r="E32">
        <v>8</v>
      </c>
      <c r="F32">
        <v>12</v>
      </c>
      <c r="G32">
        <v>2015</v>
      </c>
      <c r="H32">
        <v>4</v>
      </c>
      <c r="I32">
        <v>4</v>
      </c>
      <c r="K32" t="s">
        <v>4833</v>
      </c>
      <c r="L32" s="13" t="str">
        <f t="shared" si="0"/>
        <v>DBO3.6_8_12_4</v>
      </c>
      <c r="M32" s="14" t="s">
        <v>4337</v>
      </c>
    </row>
    <row r="33" spans="1:13">
      <c r="A33" t="s">
        <v>1077</v>
      </c>
      <c r="B33" s="12" t="s">
        <v>4334</v>
      </c>
      <c r="C33" t="s">
        <v>4831</v>
      </c>
      <c r="E33">
        <v>8</v>
      </c>
      <c r="F33">
        <v>12</v>
      </c>
      <c r="G33">
        <v>2015</v>
      </c>
      <c r="H33">
        <v>4</v>
      </c>
      <c r="I33">
        <v>54</v>
      </c>
      <c r="K33" t="s">
        <v>4834</v>
      </c>
      <c r="L33" s="13" t="str">
        <f t="shared" ref="L33:L64" si="1">A33&amp;"_"&amp;E33&amp;"_"&amp;F33&amp;"_"&amp;I33</f>
        <v>DBO3.6_8_12_54</v>
      </c>
      <c r="M33" s="14" t="s">
        <v>4339</v>
      </c>
    </row>
    <row r="34" spans="1:13">
      <c r="A34" t="s">
        <v>1112</v>
      </c>
      <c r="B34" s="12" t="s">
        <v>4342</v>
      </c>
      <c r="C34" t="s">
        <v>4835</v>
      </c>
      <c r="E34">
        <v>8</v>
      </c>
      <c r="F34">
        <v>12</v>
      </c>
      <c r="G34">
        <v>2015</v>
      </c>
      <c r="H34">
        <v>3</v>
      </c>
      <c r="I34">
        <v>21</v>
      </c>
      <c r="K34" t="s">
        <v>4836</v>
      </c>
      <c r="L34" s="13" t="str">
        <f t="shared" si="1"/>
        <v>DBO3.7_8_12_21</v>
      </c>
      <c r="M34" s="14" t="s">
        <v>4343</v>
      </c>
    </row>
    <row r="35" spans="1:13">
      <c r="A35" t="s">
        <v>1112</v>
      </c>
      <c r="B35" s="12" t="s">
        <v>4342</v>
      </c>
      <c r="C35" t="s">
        <v>4835</v>
      </c>
      <c r="E35">
        <v>8</v>
      </c>
      <c r="F35">
        <v>12</v>
      </c>
      <c r="G35">
        <v>2015</v>
      </c>
      <c r="H35">
        <v>3</v>
      </c>
      <c r="I35">
        <v>31</v>
      </c>
      <c r="K35" t="s">
        <v>4837</v>
      </c>
      <c r="L35" s="13" t="str">
        <f t="shared" si="1"/>
        <v>DBO3.7_8_12_31</v>
      </c>
      <c r="M35" s="14" t="s">
        <v>4345</v>
      </c>
    </row>
    <row r="36" spans="1:13">
      <c r="A36" t="s">
        <v>1112</v>
      </c>
      <c r="B36" s="12" t="s">
        <v>4342</v>
      </c>
      <c r="C36" t="s">
        <v>4835</v>
      </c>
      <c r="E36">
        <v>8</v>
      </c>
      <c r="F36">
        <v>12</v>
      </c>
      <c r="G36">
        <v>2015</v>
      </c>
      <c r="H36">
        <v>3</v>
      </c>
      <c r="I36">
        <v>5</v>
      </c>
      <c r="K36" t="s">
        <v>4838</v>
      </c>
      <c r="L36" s="13" t="str">
        <f t="shared" si="1"/>
        <v>DBO3.7_8_12_5</v>
      </c>
      <c r="M36" s="14" t="s">
        <v>4347</v>
      </c>
    </row>
    <row r="37" spans="1:13">
      <c r="A37" t="s">
        <v>1133</v>
      </c>
      <c r="B37" s="12" t="s">
        <v>4350</v>
      </c>
      <c r="C37" t="s">
        <v>4839</v>
      </c>
      <c r="E37">
        <v>8</v>
      </c>
      <c r="F37">
        <v>12</v>
      </c>
      <c r="G37">
        <v>2015</v>
      </c>
      <c r="H37">
        <v>2</v>
      </c>
      <c r="I37">
        <v>18</v>
      </c>
      <c r="K37" t="s">
        <v>4840</v>
      </c>
      <c r="L37" s="13" t="str">
        <f t="shared" si="1"/>
        <v>DBO3.8_8_12_18</v>
      </c>
      <c r="M37" s="14" t="s">
        <v>4351</v>
      </c>
    </row>
    <row r="38" spans="1:13">
      <c r="A38" t="s">
        <v>1133</v>
      </c>
      <c r="B38" s="12" t="s">
        <v>4350</v>
      </c>
      <c r="C38" t="s">
        <v>4839</v>
      </c>
      <c r="E38">
        <v>8</v>
      </c>
      <c r="F38">
        <v>12</v>
      </c>
      <c r="G38">
        <v>2015</v>
      </c>
      <c r="H38">
        <v>2</v>
      </c>
      <c r="I38">
        <v>44</v>
      </c>
      <c r="K38" t="s">
        <v>4841</v>
      </c>
      <c r="L38" s="13" t="str">
        <f t="shared" si="1"/>
        <v>DBO3.8_8_12_44</v>
      </c>
      <c r="M38" s="14" t="s">
        <v>4355</v>
      </c>
    </row>
    <row r="39" spans="1:13">
      <c r="A39" t="s">
        <v>1133</v>
      </c>
      <c r="B39" s="12" t="s">
        <v>4350</v>
      </c>
      <c r="C39" t="s">
        <v>4839</v>
      </c>
      <c r="E39">
        <v>8</v>
      </c>
      <c r="F39">
        <v>12</v>
      </c>
      <c r="G39">
        <v>2015</v>
      </c>
      <c r="H39">
        <v>2</v>
      </c>
      <c r="I39">
        <v>5</v>
      </c>
      <c r="K39" t="s">
        <v>4842</v>
      </c>
      <c r="L39" s="13" t="str">
        <f t="shared" si="1"/>
        <v>DBO3.8_8_12_5</v>
      </c>
      <c r="M39" s="14" t="s">
        <v>4353</v>
      </c>
    </row>
    <row r="40" spans="1:13">
      <c r="A40" t="s">
        <v>3368</v>
      </c>
      <c r="B40" s="12" t="s">
        <v>4764</v>
      </c>
      <c r="C40" t="s">
        <v>4843</v>
      </c>
      <c r="E40">
        <v>9</v>
      </c>
      <c r="F40">
        <v>3</v>
      </c>
      <c r="G40">
        <v>2015</v>
      </c>
      <c r="H40">
        <v>88</v>
      </c>
      <c r="I40">
        <v>11</v>
      </c>
      <c r="K40" t="s">
        <v>4844</v>
      </c>
      <c r="L40" s="13" t="str">
        <f t="shared" si="1"/>
        <v>ML1.1_9_3_11</v>
      </c>
      <c r="M40" s="14" t="s">
        <v>4765</v>
      </c>
    </row>
    <row r="41" spans="1:13">
      <c r="A41" t="s">
        <v>3368</v>
      </c>
      <c r="B41" s="12" t="s">
        <v>4764</v>
      </c>
      <c r="C41" t="s">
        <v>4843</v>
      </c>
      <c r="E41">
        <v>9</v>
      </c>
      <c r="F41">
        <v>3</v>
      </c>
      <c r="G41">
        <v>2015</v>
      </c>
      <c r="H41">
        <v>88</v>
      </c>
      <c r="I41">
        <v>4</v>
      </c>
      <c r="K41" t="s">
        <v>4845</v>
      </c>
      <c r="L41" s="13" t="str">
        <f t="shared" si="1"/>
        <v>ML1.1_9_3_4</v>
      </c>
      <c r="M41" s="14" t="s">
        <v>4767</v>
      </c>
    </row>
    <row r="42" spans="1:13">
      <c r="A42" t="s">
        <v>4846</v>
      </c>
      <c r="B42" s="12" t="s">
        <v>4711</v>
      </c>
      <c r="C42" t="s">
        <v>4847</v>
      </c>
      <c r="E42">
        <v>9</v>
      </c>
      <c r="F42">
        <v>1</v>
      </c>
      <c r="G42">
        <v>2015</v>
      </c>
      <c r="H42">
        <v>78</v>
      </c>
      <c r="I42">
        <v>38</v>
      </c>
      <c r="K42" t="s">
        <v>4848</v>
      </c>
      <c r="L42" s="13" t="str">
        <f t="shared" si="1"/>
        <v>ML1.11_9_1_38</v>
      </c>
      <c r="M42" s="14" t="s">
        <v>4712</v>
      </c>
    </row>
    <row r="43" spans="1:13">
      <c r="A43" t="s">
        <v>4846</v>
      </c>
      <c r="B43" s="12" t="s">
        <v>4711</v>
      </c>
      <c r="C43" t="s">
        <v>4847</v>
      </c>
      <c r="E43">
        <v>9</v>
      </c>
      <c r="F43">
        <v>1</v>
      </c>
      <c r="G43">
        <v>2015</v>
      </c>
      <c r="H43">
        <v>78</v>
      </c>
      <c r="I43">
        <v>5</v>
      </c>
      <c r="K43" t="s">
        <v>4849</v>
      </c>
      <c r="L43" s="13" t="str">
        <f t="shared" si="1"/>
        <v>ML1.11_9_1_5</v>
      </c>
      <c r="M43" s="14" t="s">
        <v>4714</v>
      </c>
    </row>
    <row r="44" spans="1:13">
      <c r="A44" t="s">
        <v>3398</v>
      </c>
      <c r="B44" s="12" t="s">
        <v>4717</v>
      </c>
      <c r="C44" t="s">
        <v>4850</v>
      </c>
      <c r="E44">
        <v>9</v>
      </c>
      <c r="F44">
        <v>1</v>
      </c>
      <c r="G44">
        <v>2015</v>
      </c>
      <c r="H44">
        <v>76</v>
      </c>
      <c r="I44">
        <v>35</v>
      </c>
      <c r="K44" t="s">
        <v>4851</v>
      </c>
      <c r="L44" s="13" t="str">
        <f t="shared" si="1"/>
        <v>ML1.12_9_1_35</v>
      </c>
      <c r="M44" s="14" t="s">
        <v>4718</v>
      </c>
    </row>
    <row r="45" spans="1:13">
      <c r="A45" t="s">
        <v>3398</v>
      </c>
      <c r="B45" s="12" t="s">
        <v>4722</v>
      </c>
      <c r="C45" t="s">
        <v>4852</v>
      </c>
      <c r="E45">
        <v>9</v>
      </c>
      <c r="F45">
        <v>1</v>
      </c>
      <c r="G45">
        <v>2015</v>
      </c>
      <c r="H45">
        <v>77</v>
      </c>
      <c r="I45">
        <v>40</v>
      </c>
      <c r="K45" t="s">
        <v>4853</v>
      </c>
      <c r="L45" s="13" t="str">
        <f t="shared" si="1"/>
        <v>ML1.12_9_1_40</v>
      </c>
      <c r="M45" s="14" t="s">
        <v>4723</v>
      </c>
    </row>
    <row r="46" spans="1:13">
      <c r="A46" t="s">
        <v>3398</v>
      </c>
      <c r="B46" s="12" t="s">
        <v>4717</v>
      </c>
      <c r="C46" t="s">
        <v>4850</v>
      </c>
      <c r="E46">
        <v>9</v>
      </c>
      <c r="F46">
        <v>1</v>
      </c>
      <c r="G46">
        <v>2015</v>
      </c>
      <c r="H46">
        <v>76</v>
      </c>
      <c r="I46">
        <v>4</v>
      </c>
      <c r="K46" t="s">
        <v>4854</v>
      </c>
      <c r="L46" s="13" t="str">
        <f t="shared" si="1"/>
        <v>ML1.12_9_1_4</v>
      </c>
      <c r="M46" s="14" t="s">
        <v>4720</v>
      </c>
    </row>
    <row r="47" spans="1:13">
      <c r="A47" t="s">
        <v>1821</v>
      </c>
      <c r="B47" s="12" t="s">
        <v>4726</v>
      </c>
      <c r="C47" t="s">
        <v>4855</v>
      </c>
      <c r="E47">
        <v>9</v>
      </c>
      <c r="F47">
        <v>1</v>
      </c>
      <c r="G47">
        <v>2015</v>
      </c>
      <c r="H47">
        <v>75</v>
      </c>
      <c r="I47">
        <v>35</v>
      </c>
      <c r="K47" t="s">
        <v>4856</v>
      </c>
      <c r="L47" s="13" t="str">
        <f t="shared" si="1"/>
        <v>ML1.13_9_1_35</v>
      </c>
      <c r="M47" s="14" t="s">
        <v>4727</v>
      </c>
    </row>
    <row r="48" spans="1:13">
      <c r="A48" t="s">
        <v>1821</v>
      </c>
      <c r="B48" s="12" t="s">
        <v>4726</v>
      </c>
      <c r="C48" t="s">
        <v>4855</v>
      </c>
      <c r="E48">
        <v>9</v>
      </c>
      <c r="F48">
        <v>1</v>
      </c>
      <c r="G48">
        <v>2015</v>
      </c>
      <c r="H48">
        <v>75</v>
      </c>
      <c r="I48">
        <v>42</v>
      </c>
      <c r="K48" t="s">
        <v>4857</v>
      </c>
      <c r="L48" s="13" t="str">
        <f t="shared" si="1"/>
        <v>ML1.13_9_1_42</v>
      </c>
      <c r="M48" s="14" t="s">
        <v>4729</v>
      </c>
    </row>
    <row r="49" spans="1:13">
      <c r="A49" t="s">
        <v>1821</v>
      </c>
      <c r="B49" s="12" t="s">
        <v>4726</v>
      </c>
      <c r="C49" t="s">
        <v>4855</v>
      </c>
      <c r="E49">
        <v>9</v>
      </c>
      <c r="F49">
        <v>1</v>
      </c>
      <c r="G49">
        <v>2015</v>
      </c>
      <c r="H49">
        <v>75</v>
      </c>
      <c r="I49">
        <v>5</v>
      </c>
      <c r="K49" t="s">
        <v>4858</v>
      </c>
      <c r="L49" s="13" t="str">
        <f t="shared" si="1"/>
        <v>ML1.13_9_1_5</v>
      </c>
      <c r="M49" s="14" t="s">
        <v>4731</v>
      </c>
    </row>
    <row r="50" spans="1:13">
      <c r="A50" t="s">
        <v>4859</v>
      </c>
      <c r="B50" s="12" t="s">
        <v>4770</v>
      </c>
      <c r="C50" t="s">
        <v>4860</v>
      </c>
      <c r="E50">
        <v>9</v>
      </c>
      <c r="F50">
        <v>3</v>
      </c>
      <c r="G50">
        <v>2015</v>
      </c>
      <c r="H50">
        <v>87</v>
      </c>
      <c r="I50">
        <v>18</v>
      </c>
      <c r="K50" t="s">
        <v>4861</v>
      </c>
      <c r="L50" s="13" t="str">
        <f t="shared" si="1"/>
        <v>ML1.2_9_3_18</v>
      </c>
      <c r="M50" s="14" t="s">
        <v>4771</v>
      </c>
    </row>
    <row r="51" spans="1:13">
      <c r="A51" t="s">
        <v>4859</v>
      </c>
      <c r="B51" s="12" t="s">
        <v>4770</v>
      </c>
      <c r="C51" t="s">
        <v>4860</v>
      </c>
      <c r="E51">
        <v>9</v>
      </c>
      <c r="F51">
        <v>3</v>
      </c>
      <c r="G51">
        <v>2015</v>
      </c>
      <c r="H51">
        <v>87</v>
      </c>
      <c r="I51">
        <v>5</v>
      </c>
      <c r="K51" t="s">
        <v>4862</v>
      </c>
      <c r="L51" s="13" t="str">
        <f t="shared" si="1"/>
        <v>ML1.2_9_3_5</v>
      </c>
      <c r="M51" s="14" t="s">
        <v>4773</v>
      </c>
    </row>
    <row r="52" spans="1:13">
      <c r="A52" t="s">
        <v>3429</v>
      </c>
      <c r="B52" s="12" t="s">
        <v>4776</v>
      </c>
      <c r="C52" t="s">
        <v>4863</v>
      </c>
      <c r="E52">
        <v>9</v>
      </c>
      <c r="F52">
        <v>3</v>
      </c>
      <c r="G52">
        <v>2015</v>
      </c>
      <c r="H52">
        <v>86</v>
      </c>
      <c r="I52">
        <v>26</v>
      </c>
      <c r="K52" t="s">
        <v>4864</v>
      </c>
      <c r="L52" s="13" t="str">
        <f t="shared" si="1"/>
        <v>ML1.3_9_3_26</v>
      </c>
      <c r="M52" s="14" t="s">
        <v>4777</v>
      </c>
    </row>
    <row r="53" spans="1:13">
      <c r="A53" t="s">
        <v>3429</v>
      </c>
      <c r="B53" s="12" t="s">
        <v>4776</v>
      </c>
      <c r="C53" t="s">
        <v>4863</v>
      </c>
      <c r="E53">
        <v>9</v>
      </c>
      <c r="F53">
        <v>3</v>
      </c>
      <c r="G53">
        <v>2015</v>
      </c>
      <c r="H53">
        <v>86</v>
      </c>
      <c r="I53">
        <v>5</v>
      </c>
      <c r="K53" t="s">
        <v>4865</v>
      </c>
      <c r="L53" s="13" t="str">
        <f t="shared" si="1"/>
        <v>ML1.3_9_3_5</v>
      </c>
      <c r="M53" s="14" t="s">
        <v>4779</v>
      </c>
    </row>
    <row r="54" spans="1:13">
      <c r="A54" t="s">
        <v>3454</v>
      </c>
      <c r="B54" s="12" t="s">
        <v>4782</v>
      </c>
      <c r="C54" t="s">
        <v>4866</v>
      </c>
      <c r="E54">
        <v>9</v>
      </c>
      <c r="F54">
        <v>3</v>
      </c>
      <c r="G54">
        <v>2015</v>
      </c>
      <c r="H54">
        <v>85</v>
      </c>
      <c r="I54">
        <v>15</v>
      </c>
      <c r="K54" t="s">
        <v>4867</v>
      </c>
      <c r="L54" s="13" t="str">
        <f t="shared" si="1"/>
        <v>ML1.4_9_3_15</v>
      </c>
      <c r="M54" s="14" t="s">
        <v>4783</v>
      </c>
    </row>
    <row r="55" spans="1:13">
      <c r="A55" t="s">
        <v>3454</v>
      </c>
      <c r="B55" s="12" t="s">
        <v>4782</v>
      </c>
      <c r="C55" t="s">
        <v>4866</v>
      </c>
      <c r="E55">
        <v>9</v>
      </c>
      <c r="F55">
        <v>3</v>
      </c>
      <c r="G55">
        <v>2015</v>
      </c>
      <c r="H55">
        <v>85</v>
      </c>
      <c r="I55">
        <v>30</v>
      </c>
      <c r="K55" t="s">
        <v>4868</v>
      </c>
      <c r="L55" s="13" t="str">
        <f t="shared" si="1"/>
        <v>ML1.4_9_3_30</v>
      </c>
      <c r="M55" s="14" t="s">
        <v>4785</v>
      </c>
    </row>
    <row r="56" spans="1:13">
      <c r="A56" t="s">
        <v>3454</v>
      </c>
      <c r="B56" s="12" t="s">
        <v>4782</v>
      </c>
      <c r="C56" t="s">
        <v>4866</v>
      </c>
      <c r="E56">
        <v>9</v>
      </c>
      <c r="F56">
        <v>3</v>
      </c>
      <c r="G56">
        <v>2015</v>
      </c>
      <c r="H56">
        <v>85</v>
      </c>
      <c r="I56">
        <v>5</v>
      </c>
      <c r="K56" t="s">
        <v>4869</v>
      </c>
      <c r="L56" s="13" t="str">
        <f t="shared" si="1"/>
        <v>ML1.4_9_3_5</v>
      </c>
      <c r="M56" s="14" t="s">
        <v>4787</v>
      </c>
    </row>
    <row r="57" spans="1:13">
      <c r="A57" t="s">
        <v>3470</v>
      </c>
      <c r="B57" s="12" t="s">
        <v>4734</v>
      </c>
      <c r="C57" t="s">
        <v>4870</v>
      </c>
      <c r="E57">
        <v>9</v>
      </c>
      <c r="F57">
        <v>2</v>
      </c>
      <c r="G57">
        <v>2015</v>
      </c>
      <c r="H57">
        <v>84</v>
      </c>
      <c r="I57">
        <v>37</v>
      </c>
      <c r="K57" t="s">
        <v>4871</v>
      </c>
      <c r="L57" s="13" t="str">
        <f t="shared" si="1"/>
        <v>ML1.5_9_2_37</v>
      </c>
      <c r="M57" s="14" t="s">
        <v>4735</v>
      </c>
    </row>
    <row r="58" spans="1:13">
      <c r="A58" t="s">
        <v>3470</v>
      </c>
      <c r="B58" s="12" t="s">
        <v>4734</v>
      </c>
      <c r="C58" t="s">
        <v>4870</v>
      </c>
      <c r="E58">
        <v>9</v>
      </c>
      <c r="F58">
        <v>2</v>
      </c>
      <c r="G58">
        <v>2015</v>
      </c>
      <c r="H58">
        <v>84</v>
      </c>
      <c r="I58">
        <v>5</v>
      </c>
      <c r="K58" t="s">
        <v>4872</v>
      </c>
      <c r="L58" s="13" t="str">
        <f t="shared" si="1"/>
        <v>ML1.5_9_2_5</v>
      </c>
      <c r="M58" s="14" t="s">
        <v>4737</v>
      </c>
    </row>
    <row r="59" spans="1:13">
      <c r="A59" t="s">
        <v>4873</v>
      </c>
      <c r="B59" s="12" t="s">
        <v>4740</v>
      </c>
      <c r="C59" t="s">
        <v>4874</v>
      </c>
      <c r="E59">
        <v>9</v>
      </c>
      <c r="F59">
        <v>2</v>
      </c>
      <c r="G59">
        <v>2015</v>
      </c>
      <c r="H59">
        <v>83</v>
      </c>
      <c r="I59">
        <v>41</v>
      </c>
      <c r="K59" t="s">
        <v>4875</v>
      </c>
      <c r="L59" s="13" t="str">
        <f t="shared" si="1"/>
        <v>ML1.6_9_2_41</v>
      </c>
      <c r="M59" s="14" t="s">
        <v>4876</v>
      </c>
    </row>
    <row r="60" spans="1:13">
      <c r="A60" t="s">
        <v>4873</v>
      </c>
      <c r="B60" s="12" t="s">
        <v>4740</v>
      </c>
      <c r="C60" t="s">
        <v>4874</v>
      </c>
      <c r="E60">
        <v>9</v>
      </c>
      <c r="F60">
        <v>2</v>
      </c>
      <c r="G60">
        <v>2015</v>
      </c>
      <c r="H60">
        <v>83</v>
      </c>
      <c r="I60">
        <v>4</v>
      </c>
      <c r="K60" t="s">
        <v>4877</v>
      </c>
      <c r="L60" s="13" t="str">
        <f t="shared" si="1"/>
        <v>ML1.6_9_2_4</v>
      </c>
      <c r="M60" s="14" t="s">
        <v>4741</v>
      </c>
    </row>
    <row r="61" spans="1:13">
      <c r="A61" t="s">
        <v>3494</v>
      </c>
      <c r="B61" s="12" t="s">
        <v>4746</v>
      </c>
      <c r="C61" t="s">
        <v>4878</v>
      </c>
      <c r="E61">
        <v>9</v>
      </c>
      <c r="F61">
        <v>2</v>
      </c>
      <c r="G61">
        <v>2015</v>
      </c>
      <c r="H61">
        <v>82</v>
      </c>
      <c r="I61">
        <v>34</v>
      </c>
      <c r="K61" t="s">
        <v>4879</v>
      </c>
      <c r="L61" s="13" t="str">
        <f t="shared" si="1"/>
        <v>ML1.7_9_2_34</v>
      </c>
      <c r="M61" s="14" t="s">
        <v>4747</v>
      </c>
    </row>
    <row r="62" spans="1:13">
      <c r="A62" t="s">
        <v>3494</v>
      </c>
      <c r="B62" s="12" t="s">
        <v>4746</v>
      </c>
      <c r="C62" t="s">
        <v>4878</v>
      </c>
      <c r="E62">
        <v>9</v>
      </c>
      <c r="F62">
        <v>2</v>
      </c>
      <c r="G62">
        <v>2015</v>
      </c>
      <c r="H62">
        <v>82</v>
      </c>
      <c r="I62">
        <v>5</v>
      </c>
      <c r="K62" t="s">
        <v>4880</v>
      </c>
      <c r="L62" s="13" t="str">
        <f t="shared" si="1"/>
        <v>ML1.7_9_2_5</v>
      </c>
      <c r="M62" s="14" t="s">
        <v>4749</v>
      </c>
    </row>
    <row r="63" spans="1:13">
      <c r="A63" t="s">
        <v>1883</v>
      </c>
      <c r="B63" s="12" t="s">
        <v>4752</v>
      </c>
      <c r="C63" t="s">
        <v>4881</v>
      </c>
      <c r="E63">
        <v>9</v>
      </c>
      <c r="F63">
        <v>2</v>
      </c>
      <c r="G63">
        <v>2015</v>
      </c>
      <c r="H63">
        <v>81</v>
      </c>
      <c r="I63">
        <v>38</v>
      </c>
      <c r="K63" t="s">
        <v>4882</v>
      </c>
      <c r="L63" s="13" t="str">
        <f t="shared" si="1"/>
        <v>ML1.8_9_2_38</v>
      </c>
      <c r="M63" s="14" t="s">
        <v>4753</v>
      </c>
    </row>
    <row r="64" spans="1:13">
      <c r="A64" t="s">
        <v>1883</v>
      </c>
      <c r="B64" s="12" t="s">
        <v>4752</v>
      </c>
      <c r="C64" t="s">
        <v>4881</v>
      </c>
      <c r="E64">
        <v>9</v>
      </c>
      <c r="F64">
        <v>2</v>
      </c>
      <c r="G64">
        <v>2015</v>
      </c>
      <c r="H64">
        <v>81</v>
      </c>
      <c r="I64">
        <v>5</v>
      </c>
      <c r="K64" t="s">
        <v>4883</v>
      </c>
      <c r="L64" s="13" t="str">
        <f t="shared" si="1"/>
        <v>ML1.8_9_2_5</v>
      </c>
      <c r="M64" s="14" t="s">
        <v>4755</v>
      </c>
    </row>
    <row r="65" spans="1:13">
      <c r="A65" t="s">
        <v>4884</v>
      </c>
      <c r="B65" s="12" t="s">
        <v>4758</v>
      </c>
      <c r="C65" t="s">
        <v>4885</v>
      </c>
      <c r="E65">
        <v>9</v>
      </c>
      <c r="F65">
        <v>2</v>
      </c>
      <c r="G65">
        <v>2015</v>
      </c>
      <c r="H65">
        <v>80</v>
      </c>
      <c r="I65">
        <v>37</v>
      </c>
      <c r="K65" t="s">
        <v>4886</v>
      </c>
      <c r="L65" s="13" t="str">
        <f t="shared" ref="L65:L76" si="2">A65&amp;"_"&amp;E65&amp;"_"&amp;F65&amp;"_"&amp;I65</f>
        <v>ML1.9_9_2_37</v>
      </c>
      <c r="M65" s="14" t="s">
        <v>4759</v>
      </c>
    </row>
    <row r="66" spans="1:13">
      <c r="A66" t="s">
        <v>4884</v>
      </c>
      <c r="B66" s="12" t="s">
        <v>4758</v>
      </c>
      <c r="C66" t="s">
        <v>4885</v>
      </c>
      <c r="E66">
        <v>9</v>
      </c>
      <c r="F66">
        <v>2</v>
      </c>
      <c r="G66">
        <v>2015</v>
      </c>
      <c r="H66">
        <v>80</v>
      </c>
      <c r="I66">
        <v>5</v>
      </c>
      <c r="K66" t="s">
        <v>4887</v>
      </c>
      <c r="L66" s="13" t="str">
        <f t="shared" si="2"/>
        <v>ML1.9_9_2_5</v>
      </c>
      <c r="M66" s="14" t="s">
        <v>4761</v>
      </c>
    </row>
    <row r="67" spans="1:13">
      <c r="A67" t="s">
        <v>3519</v>
      </c>
      <c r="B67" s="12" t="s">
        <v>4646</v>
      </c>
      <c r="C67" t="s">
        <v>4888</v>
      </c>
      <c r="E67">
        <v>8</v>
      </c>
      <c r="F67">
        <v>25</v>
      </c>
      <c r="G67">
        <v>2015</v>
      </c>
      <c r="H67">
        <v>63</v>
      </c>
      <c r="I67">
        <v>13</v>
      </c>
      <c r="K67" t="s">
        <v>4889</v>
      </c>
      <c r="L67" s="13" t="str">
        <f t="shared" si="2"/>
        <v>ML3.1_8_25_13</v>
      </c>
      <c r="M67" s="14" t="s">
        <v>4647</v>
      </c>
    </row>
    <row r="68" spans="1:13">
      <c r="A68" t="s">
        <v>3519</v>
      </c>
      <c r="B68" s="12" t="s">
        <v>4646</v>
      </c>
      <c r="C68" t="s">
        <v>4888</v>
      </c>
      <c r="E68">
        <v>8</v>
      </c>
      <c r="F68">
        <v>25</v>
      </c>
      <c r="G68">
        <v>2015</v>
      </c>
      <c r="H68">
        <v>63</v>
      </c>
      <c r="I68">
        <v>5</v>
      </c>
      <c r="K68" t="s">
        <v>4890</v>
      </c>
      <c r="L68" s="13" t="str">
        <f t="shared" si="2"/>
        <v>ML3.1_8_25_5</v>
      </c>
      <c r="M68" s="14" t="s">
        <v>4649</v>
      </c>
    </row>
    <row r="69" spans="1:13">
      <c r="A69" t="s">
        <v>3538</v>
      </c>
      <c r="B69" s="12" t="s">
        <v>4597</v>
      </c>
      <c r="C69" t="s">
        <v>4891</v>
      </c>
      <c r="E69">
        <v>8</v>
      </c>
      <c r="F69">
        <v>23</v>
      </c>
      <c r="G69">
        <v>2015</v>
      </c>
      <c r="H69">
        <v>47</v>
      </c>
      <c r="I69">
        <v>20</v>
      </c>
      <c r="K69" t="s">
        <v>4892</v>
      </c>
      <c r="L69" s="13" t="str">
        <f t="shared" si="2"/>
        <v>ML3.11_8_23_20</v>
      </c>
      <c r="M69" s="14" t="s">
        <v>4598</v>
      </c>
    </row>
    <row r="70" spans="1:13">
      <c r="A70" t="s">
        <v>3538</v>
      </c>
      <c r="B70" s="12" t="s">
        <v>4597</v>
      </c>
      <c r="C70" t="s">
        <v>4891</v>
      </c>
      <c r="E70">
        <v>8</v>
      </c>
      <c r="F70">
        <v>23</v>
      </c>
      <c r="G70">
        <v>2015</v>
      </c>
      <c r="H70">
        <v>47</v>
      </c>
      <c r="I70">
        <v>33</v>
      </c>
      <c r="K70" t="s">
        <v>4893</v>
      </c>
      <c r="L70" s="13" t="str">
        <f t="shared" si="2"/>
        <v>ML3.11_8_23_33</v>
      </c>
      <c r="M70" s="14" t="s">
        <v>4600</v>
      </c>
    </row>
    <row r="71" spans="1:13">
      <c r="A71" t="s">
        <v>3538</v>
      </c>
      <c r="B71" s="12" t="s">
        <v>4597</v>
      </c>
      <c r="C71" t="s">
        <v>4891</v>
      </c>
      <c r="E71">
        <v>8</v>
      </c>
      <c r="F71">
        <v>23</v>
      </c>
      <c r="G71">
        <v>2015</v>
      </c>
      <c r="H71">
        <v>47</v>
      </c>
      <c r="I71">
        <v>5</v>
      </c>
      <c r="K71" t="s">
        <v>4894</v>
      </c>
      <c r="L71" s="13" t="str">
        <f t="shared" si="2"/>
        <v>ML3.11_8_23_5</v>
      </c>
      <c r="M71" s="14" t="s">
        <v>4602</v>
      </c>
    </row>
    <row r="72" spans="1:13">
      <c r="A72" t="s">
        <v>1917</v>
      </c>
      <c r="B72" s="12" t="s">
        <v>4605</v>
      </c>
      <c r="C72" t="s">
        <v>4895</v>
      </c>
      <c r="E72">
        <v>8</v>
      </c>
      <c r="F72">
        <v>23</v>
      </c>
      <c r="G72">
        <v>2015</v>
      </c>
      <c r="H72">
        <v>46</v>
      </c>
      <c r="I72">
        <v>20</v>
      </c>
      <c r="K72" t="s">
        <v>4896</v>
      </c>
      <c r="L72" s="13" t="str">
        <f t="shared" si="2"/>
        <v>ML3.12_8_23_20</v>
      </c>
      <c r="M72" s="14" t="s">
        <v>4606</v>
      </c>
    </row>
    <row r="73" spans="1:13">
      <c r="A73" t="s">
        <v>1917</v>
      </c>
      <c r="B73" s="12" t="s">
        <v>4605</v>
      </c>
      <c r="C73" t="s">
        <v>4895</v>
      </c>
      <c r="E73">
        <v>8</v>
      </c>
      <c r="F73">
        <v>23</v>
      </c>
      <c r="G73">
        <v>2015</v>
      </c>
      <c r="H73">
        <v>46</v>
      </c>
      <c r="I73">
        <v>34</v>
      </c>
      <c r="K73" t="s">
        <v>4897</v>
      </c>
      <c r="L73" s="13" t="str">
        <f t="shared" si="2"/>
        <v>ML3.12_8_23_34</v>
      </c>
      <c r="M73" s="14" t="s">
        <v>4608</v>
      </c>
    </row>
    <row r="74" spans="1:13">
      <c r="A74" t="s">
        <v>1917</v>
      </c>
      <c r="B74" s="12" t="s">
        <v>4605</v>
      </c>
      <c r="C74" t="s">
        <v>4895</v>
      </c>
      <c r="E74">
        <v>8</v>
      </c>
      <c r="F74">
        <v>23</v>
      </c>
      <c r="G74">
        <v>2015</v>
      </c>
      <c r="H74">
        <v>46</v>
      </c>
      <c r="I74">
        <v>5</v>
      </c>
      <c r="K74" t="s">
        <v>4898</v>
      </c>
      <c r="L74" s="13" t="str">
        <f t="shared" si="2"/>
        <v>ML3.12_8_23_5</v>
      </c>
      <c r="M74" s="14" t="s">
        <v>4610</v>
      </c>
    </row>
    <row r="75" spans="1:13">
      <c r="A75" t="s">
        <v>4899</v>
      </c>
      <c r="B75" s="12" t="s">
        <v>4613</v>
      </c>
      <c r="C75" t="s">
        <v>4900</v>
      </c>
      <c r="E75">
        <v>8</v>
      </c>
      <c r="F75">
        <v>23</v>
      </c>
      <c r="G75">
        <v>2015</v>
      </c>
      <c r="H75">
        <v>45</v>
      </c>
      <c r="I75">
        <v>36</v>
      </c>
      <c r="K75" t="s">
        <v>4901</v>
      </c>
      <c r="L75" s="13" t="str">
        <f t="shared" si="2"/>
        <v>ML3.13_8_23_36</v>
      </c>
      <c r="M75" s="14" t="s">
        <v>4614</v>
      </c>
    </row>
    <row r="76" spans="1:13">
      <c r="A76" t="s">
        <v>4899</v>
      </c>
      <c r="B76" s="12" t="s">
        <v>4613</v>
      </c>
      <c r="C76" t="s">
        <v>4900</v>
      </c>
      <c r="E76">
        <v>8</v>
      </c>
      <c r="F76">
        <v>23</v>
      </c>
      <c r="G76">
        <v>2015</v>
      </c>
      <c r="H76">
        <v>45</v>
      </c>
      <c r="I76">
        <v>5</v>
      </c>
      <c r="K76" t="s">
        <v>4902</v>
      </c>
      <c r="L76" s="13" t="str">
        <f t="shared" si="2"/>
        <v>ML3.13_8_23_5</v>
      </c>
      <c r="M76" s="14" t="s">
        <v>4616</v>
      </c>
    </row>
    <row r="77" spans="1:13">
      <c r="K77" t="s">
        <v>4903</v>
      </c>
    </row>
    <row r="78" spans="1:13">
      <c r="A78" t="s">
        <v>3587</v>
      </c>
      <c r="B78" s="12" t="s">
        <v>4652</v>
      </c>
      <c r="C78" t="s">
        <v>4904</v>
      </c>
      <c r="E78">
        <v>8</v>
      </c>
      <c r="F78">
        <v>25</v>
      </c>
      <c r="G78">
        <v>2015</v>
      </c>
      <c r="H78">
        <v>62</v>
      </c>
      <c r="I78">
        <v>22</v>
      </c>
      <c r="K78" t="s">
        <v>4905</v>
      </c>
      <c r="L78" s="13" t="str">
        <f>A78&amp;"_"&amp;E78&amp;"_"&amp;F78&amp;"_"&amp;I78</f>
        <v>ML3.2_8_25_22</v>
      </c>
      <c r="M78" s="14" t="s">
        <v>4653</v>
      </c>
    </row>
    <row r="79" spans="1:13">
      <c r="A79" t="s">
        <v>3587</v>
      </c>
      <c r="B79" s="12" t="s">
        <v>4652</v>
      </c>
      <c r="C79" t="s">
        <v>4904</v>
      </c>
      <c r="E79">
        <v>8</v>
      </c>
      <c r="F79">
        <v>25</v>
      </c>
      <c r="G79">
        <v>2015</v>
      </c>
      <c r="H79">
        <v>62</v>
      </c>
      <c r="I79">
        <v>5</v>
      </c>
      <c r="K79" t="s">
        <v>4906</v>
      </c>
      <c r="L79" s="13" t="str">
        <f>A79&amp;"_"&amp;E79&amp;"_"&amp;F79&amp;"_"&amp;I79</f>
        <v>ML3.2_8_25_5</v>
      </c>
      <c r="M79" s="14" t="s">
        <v>4655</v>
      </c>
    </row>
    <row r="80" spans="1:13">
      <c r="K80" t="s">
        <v>4907</v>
      </c>
    </row>
    <row r="81" spans="1:13">
      <c r="A81" t="s">
        <v>4908</v>
      </c>
      <c r="B81" s="12" t="s">
        <v>4658</v>
      </c>
      <c r="C81" t="s">
        <v>4909</v>
      </c>
      <c r="E81">
        <v>8</v>
      </c>
      <c r="F81">
        <v>25</v>
      </c>
      <c r="G81">
        <v>2015</v>
      </c>
      <c r="H81">
        <v>61</v>
      </c>
      <c r="I81">
        <v>35</v>
      </c>
      <c r="K81" t="s">
        <v>4910</v>
      </c>
      <c r="L81" s="13" t="str">
        <f t="shared" ref="L81:L112" si="3">A81&amp;"_"&amp;E81&amp;"_"&amp;F81&amp;"_"&amp;I81</f>
        <v>ML3.3_8_25_35</v>
      </c>
      <c r="M81" s="14" t="s">
        <v>4659</v>
      </c>
    </row>
    <row r="82" spans="1:13">
      <c r="A82" t="s">
        <v>4908</v>
      </c>
      <c r="B82" s="12" t="s">
        <v>4658</v>
      </c>
      <c r="C82" t="s">
        <v>4909</v>
      </c>
      <c r="E82">
        <v>8</v>
      </c>
      <c r="F82">
        <v>25</v>
      </c>
      <c r="G82">
        <v>2015</v>
      </c>
      <c r="H82">
        <v>61</v>
      </c>
      <c r="I82">
        <v>5</v>
      </c>
      <c r="K82" t="s">
        <v>4911</v>
      </c>
      <c r="L82" s="13" t="str">
        <f t="shared" si="3"/>
        <v>ML3.3_8_25_5</v>
      </c>
      <c r="M82" s="14" t="s">
        <v>4661</v>
      </c>
    </row>
    <row r="83" spans="1:13">
      <c r="A83" t="s">
        <v>4912</v>
      </c>
      <c r="B83" s="12" t="s">
        <v>4625</v>
      </c>
      <c r="C83" t="s">
        <v>4913</v>
      </c>
      <c r="E83">
        <v>8</v>
      </c>
      <c r="F83">
        <v>24</v>
      </c>
      <c r="G83">
        <v>2015</v>
      </c>
      <c r="H83">
        <v>58</v>
      </c>
      <c r="I83">
        <v>41</v>
      </c>
      <c r="K83" t="s">
        <v>4914</v>
      </c>
      <c r="L83" s="13" t="str">
        <f t="shared" si="3"/>
        <v>ML3.5ANDDBO4.1_8_24_41</v>
      </c>
      <c r="M83" s="14" t="s">
        <v>4626</v>
      </c>
    </row>
    <row r="84" spans="1:13">
      <c r="A84" t="s">
        <v>4912</v>
      </c>
      <c r="B84" s="12" t="s">
        <v>4625</v>
      </c>
      <c r="C84" t="s">
        <v>4913</v>
      </c>
      <c r="E84">
        <v>8</v>
      </c>
      <c r="F84">
        <v>24</v>
      </c>
      <c r="G84">
        <v>2015</v>
      </c>
      <c r="H84">
        <v>58</v>
      </c>
      <c r="I84">
        <v>5</v>
      </c>
      <c r="K84" t="s">
        <v>4915</v>
      </c>
      <c r="L84" s="13" t="str">
        <f t="shared" si="3"/>
        <v>ML3.5ANDDBO4.1_8_24_5</v>
      </c>
      <c r="M84" s="14" t="s">
        <v>4628</v>
      </c>
    </row>
    <row r="85" spans="1:13">
      <c r="A85" t="s">
        <v>4916</v>
      </c>
      <c r="B85" s="12" t="s">
        <v>4630</v>
      </c>
      <c r="C85" t="s">
        <v>4917</v>
      </c>
      <c r="E85">
        <v>8</v>
      </c>
      <c r="F85">
        <v>24</v>
      </c>
      <c r="G85">
        <v>2015</v>
      </c>
      <c r="H85">
        <v>56</v>
      </c>
      <c r="I85">
        <v>42</v>
      </c>
      <c r="K85" t="s">
        <v>4918</v>
      </c>
      <c r="L85" s="13" t="str">
        <f t="shared" si="3"/>
        <v>ML3.6ANDDBO4.2_8_24_42</v>
      </c>
      <c r="M85" s="14" t="s">
        <v>4633</v>
      </c>
    </row>
    <row r="86" spans="1:13">
      <c r="A86" t="s">
        <v>4916</v>
      </c>
      <c r="B86" s="12" t="s">
        <v>4630</v>
      </c>
      <c r="C86" t="s">
        <v>4917</v>
      </c>
      <c r="E86">
        <v>8</v>
      </c>
      <c r="F86">
        <v>24</v>
      </c>
      <c r="G86">
        <v>2015</v>
      </c>
      <c r="H86">
        <v>56</v>
      </c>
      <c r="I86">
        <v>5</v>
      </c>
      <c r="K86" t="s">
        <v>4919</v>
      </c>
      <c r="L86" s="13" t="str">
        <f t="shared" si="3"/>
        <v>ML3.6ANDDBO4.2_8_24_5</v>
      </c>
      <c r="M86" s="14" t="s">
        <v>4631</v>
      </c>
    </row>
    <row r="87" spans="1:13">
      <c r="A87" t="s">
        <v>4920</v>
      </c>
      <c r="B87" s="12" t="s">
        <v>4635</v>
      </c>
      <c r="C87" t="s">
        <v>4921</v>
      </c>
      <c r="E87">
        <v>8</v>
      </c>
      <c r="F87">
        <v>24</v>
      </c>
      <c r="G87">
        <v>2015</v>
      </c>
      <c r="H87">
        <v>54</v>
      </c>
      <c r="I87">
        <v>41</v>
      </c>
      <c r="K87" t="s">
        <v>4922</v>
      </c>
      <c r="L87" s="13" t="str">
        <f t="shared" si="3"/>
        <v>ML3.7ANDDBO4.3_8_24_41</v>
      </c>
      <c r="M87" s="14" t="s">
        <v>4636</v>
      </c>
    </row>
    <row r="88" spans="1:13">
      <c r="A88" t="s">
        <v>4920</v>
      </c>
      <c r="B88" s="12" t="s">
        <v>4635</v>
      </c>
      <c r="C88" t="s">
        <v>4921</v>
      </c>
      <c r="E88">
        <v>8</v>
      </c>
      <c r="F88">
        <v>24</v>
      </c>
      <c r="G88">
        <v>2015</v>
      </c>
      <c r="H88">
        <v>54</v>
      </c>
      <c r="I88">
        <v>5</v>
      </c>
      <c r="K88" t="s">
        <v>4923</v>
      </c>
      <c r="L88" s="13" t="str">
        <f t="shared" si="3"/>
        <v>ML3.7ANDDBO4.3_8_24_5</v>
      </c>
      <c r="M88" s="14" t="s">
        <v>4638</v>
      </c>
    </row>
    <row r="89" spans="1:13">
      <c r="A89" t="s">
        <v>4924</v>
      </c>
      <c r="B89" s="12" t="s">
        <v>4640</v>
      </c>
      <c r="C89" t="s">
        <v>4925</v>
      </c>
      <c r="E89">
        <v>8</v>
      </c>
      <c r="F89">
        <v>24</v>
      </c>
      <c r="G89">
        <v>2015</v>
      </c>
      <c r="H89">
        <v>52</v>
      </c>
      <c r="I89">
        <v>40</v>
      </c>
      <c r="K89" t="s">
        <v>4926</v>
      </c>
      <c r="L89" s="13" t="str">
        <f t="shared" si="3"/>
        <v>ML3.8ANDDBO4.4_8_24_40</v>
      </c>
      <c r="M89" s="14" t="s">
        <v>4641</v>
      </c>
    </row>
    <row r="90" spans="1:13">
      <c r="A90" t="s">
        <v>4924</v>
      </c>
      <c r="B90" s="12" t="s">
        <v>4640</v>
      </c>
      <c r="C90" t="s">
        <v>4925</v>
      </c>
      <c r="E90">
        <v>8</v>
      </c>
      <c r="F90">
        <v>24</v>
      </c>
      <c r="G90">
        <v>2015</v>
      </c>
      <c r="H90">
        <v>52</v>
      </c>
      <c r="I90">
        <v>5</v>
      </c>
      <c r="K90" t="s">
        <v>4927</v>
      </c>
      <c r="L90" s="13" t="str">
        <f t="shared" si="3"/>
        <v>ML3.8ANDDBO4.4_8_24_5</v>
      </c>
      <c r="M90" s="14" t="s">
        <v>4643</v>
      </c>
    </row>
    <row r="91" spans="1:13">
      <c r="A91" t="s">
        <v>4928</v>
      </c>
      <c r="B91" s="12" t="s">
        <v>4618</v>
      </c>
      <c r="C91" t="s">
        <v>4929</v>
      </c>
      <c r="E91">
        <v>8</v>
      </c>
      <c r="F91">
        <v>23</v>
      </c>
      <c r="G91">
        <v>2015</v>
      </c>
      <c r="H91">
        <v>50</v>
      </c>
      <c r="I91">
        <v>26</v>
      </c>
      <c r="K91" t="s">
        <v>4930</v>
      </c>
      <c r="L91" s="13" t="str">
        <f t="shared" si="3"/>
        <v>ML3.9ANDDBO4.5_8_23_26</v>
      </c>
      <c r="M91" s="14" t="s">
        <v>4619</v>
      </c>
    </row>
    <row r="92" spans="1:13">
      <c r="A92" t="s">
        <v>4928</v>
      </c>
      <c r="B92" s="12" t="s">
        <v>4618</v>
      </c>
      <c r="C92" t="s">
        <v>4929</v>
      </c>
      <c r="E92">
        <v>8</v>
      </c>
      <c r="F92">
        <v>23</v>
      </c>
      <c r="G92">
        <v>2015</v>
      </c>
      <c r="H92">
        <v>50</v>
      </c>
      <c r="I92">
        <v>38</v>
      </c>
      <c r="K92" t="s">
        <v>4931</v>
      </c>
      <c r="L92" s="13" t="str">
        <f t="shared" si="3"/>
        <v>ML3.9ANDDBO4.5_8_23_38</v>
      </c>
      <c r="M92" s="14" t="s">
        <v>4621</v>
      </c>
    </row>
    <row r="93" spans="1:13">
      <c r="A93" t="s">
        <v>4928</v>
      </c>
      <c r="B93" s="12" t="s">
        <v>4618</v>
      </c>
      <c r="C93" t="s">
        <v>4929</v>
      </c>
      <c r="E93">
        <v>8</v>
      </c>
      <c r="F93">
        <v>23</v>
      </c>
      <c r="G93">
        <v>2015</v>
      </c>
      <c r="H93">
        <v>50</v>
      </c>
      <c r="I93">
        <v>5</v>
      </c>
      <c r="K93" t="s">
        <v>4932</v>
      </c>
      <c r="L93" s="13" t="str">
        <f t="shared" si="3"/>
        <v>ML3.9ANDDBO4.5_8_23_5</v>
      </c>
      <c r="M93" s="14" t="s">
        <v>4623</v>
      </c>
    </row>
    <row r="94" spans="1:13">
      <c r="A94" t="s">
        <v>3609</v>
      </c>
      <c r="B94" s="12" t="s">
        <v>4471</v>
      </c>
      <c r="C94" t="s">
        <v>4933</v>
      </c>
      <c r="E94">
        <v>8</v>
      </c>
      <c r="F94">
        <v>19</v>
      </c>
      <c r="G94">
        <v>2015</v>
      </c>
      <c r="H94">
        <v>26</v>
      </c>
      <c r="I94">
        <v>23</v>
      </c>
      <c r="K94" t="s">
        <v>4934</v>
      </c>
      <c r="L94" s="13" t="str">
        <f t="shared" si="3"/>
        <v>ML4.1_8_19_23</v>
      </c>
      <c r="M94" s="14" t="s">
        <v>4472</v>
      </c>
    </row>
    <row r="95" spans="1:13">
      <c r="A95" t="s">
        <v>3609</v>
      </c>
      <c r="B95" s="12" t="s">
        <v>4471</v>
      </c>
      <c r="C95" t="s">
        <v>4933</v>
      </c>
      <c r="E95">
        <v>8</v>
      </c>
      <c r="F95">
        <v>19</v>
      </c>
      <c r="G95">
        <v>2015</v>
      </c>
      <c r="H95">
        <v>26</v>
      </c>
      <c r="I95">
        <v>4</v>
      </c>
      <c r="K95" t="s">
        <v>4935</v>
      </c>
      <c r="L95" s="13" t="str">
        <f t="shared" si="3"/>
        <v>ML4.1_8_19_4</v>
      </c>
      <c r="M95" s="14" t="s">
        <v>4474</v>
      </c>
    </row>
    <row r="96" spans="1:13">
      <c r="A96" t="s">
        <v>3624</v>
      </c>
      <c r="B96" s="12" t="s">
        <v>4540</v>
      </c>
      <c r="C96" t="s">
        <v>4936</v>
      </c>
      <c r="E96">
        <v>8</v>
      </c>
      <c r="F96">
        <v>21</v>
      </c>
      <c r="G96">
        <v>2015</v>
      </c>
      <c r="H96">
        <v>37</v>
      </c>
      <c r="I96">
        <v>28</v>
      </c>
      <c r="K96" t="s">
        <v>4937</v>
      </c>
      <c r="L96" s="13" t="str">
        <f t="shared" si="3"/>
        <v>ML4.10_8_21_28</v>
      </c>
      <c r="M96" s="14" t="s">
        <v>4541</v>
      </c>
    </row>
    <row r="97" spans="1:13">
      <c r="A97" t="s">
        <v>3624</v>
      </c>
      <c r="B97" s="12" t="s">
        <v>4540</v>
      </c>
      <c r="C97" t="s">
        <v>4936</v>
      </c>
      <c r="E97">
        <v>8</v>
      </c>
      <c r="F97">
        <v>21</v>
      </c>
      <c r="G97">
        <v>2015</v>
      </c>
      <c r="H97">
        <v>37</v>
      </c>
      <c r="I97">
        <v>5</v>
      </c>
      <c r="K97" t="s">
        <v>4938</v>
      </c>
      <c r="L97" s="13" t="str">
        <f t="shared" si="3"/>
        <v>ML4.10_8_21_5</v>
      </c>
      <c r="M97" s="14" t="s">
        <v>4543</v>
      </c>
    </row>
    <row r="98" spans="1:13">
      <c r="A98" t="s">
        <v>2021</v>
      </c>
      <c r="B98" s="12" t="s">
        <v>4546</v>
      </c>
      <c r="C98" t="s">
        <v>4939</v>
      </c>
      <c r="E98">
        <v>8</v>
      </c>
      <c r="F98">
        <v>21</v>
      </c>
      <c r="G98">
        <v>2015</v>
      </c>
      <c r="H98">
        <v>38</v>
      </c>
      <c r="I98">
        <v>15</v>
      </c>
      <c r="K98" t="s">
        <v>4940</v>
      </c>
      <c r="L98" s="13" t="str">
        <f t="shared" si="3"/>
        <v>ML4.11_8_21_15</v>
      </c>
      <c r="M98" s="14" t="s">
        <v>4548</v>
      </c>
    </row>
    <row r="99" spans="1:13">
      <c r="A99" t="s">
        <v>2021</v>
      </c>
      <c r="B99" s="12" t="s">
        <v>4546</v>
      </c>
      <c r="C99" t="s">
        <v>4939</v>
      </c>
      <c r="E99">
        <v>8</v>
      </c>
      <c r="F99">
        <v>21</v>
      </c>
      <c r="G99">
        <v>2015</v>
      </c>
      <c r="H99">
        <v>38</v>
      </c>
      <c r="I99">
        <v>35</v>
      </c>
      <c r="K99" t="s">
        <v>4941</v>
      </c>
      <c r="L99" s="13" t="str">
        <f t="shared" si="3"/>
        <v>ML4.11_8_21_35</v>
      </c>
      <c r="M99" s="14" t="s">
        <v>4550</v>
      </c>
    </row>
    <row r="100" spans="1:13">
      <c r="A100" t="s">
        <v>2021</v>
      </c>
      <c r="B100" s="12" t="s">
        <v>4546</v>
      </c>
      <c r="C100" t="s">
        <v>4939</v>
      </c>
      <c r="E100">
        <v>8</v>
      </c>
      <c r="F100">
        <v>21</v>
      </c>
      <c r="G100">
        <v>2015</v>
      </c>
      <c r="H100">
        <v>38</v>
      </c>
      <c r="I100">
        <v>4</v>
      </c>
      <c r="K100" t="s">
        <v>4942</v>
      </c>
      <c r="L100" s="13" t="str">
        <f t="shared" si="3"/>
        <v>ML4.11_8_21_4</v>
      </c>
      <c r="M100" s="14" t="s">
        <v>4552</v>
      </c>
    </row>
    <row r="101" spans="1:13">
      <c r="A101" t="s">
        <v>4943</v>
      </c>
      <c r="B101" s="12" t="s">
        <v>4555</v>
      </c>
      <c r="C101" t="s">
        <v>4944</v>
      </c>
      <c r="E101">
        <v>8</v>
      </c>
      <c r="F101">
        <v>21</v>
      </c>
      <c r="G101">
        <v>2015</v>
      </c>
      <c r="H101">
        <v>39</v>
      </c>
      <c r="I101">
        <v>15</v>
      </c>
      <c r="K101" t="s">
        <v>4945</v>
      </c>
      <c r="L101" s="13" t="str">
        <f t="shared" si="3"/>
        <v>ML4.115_8_21_15</v>
      </c>
      <c r="M101" s="14" t="s">
        <v>4556</v>
      </c>
    </row>
    <row r="102" spans="1:13">
      <c r="A102" t="s">
        <v>2070</v>
      </c>
      <c r="B102" s="12" t="s">
        <v>4575</v>
      </c>
      <c r="C102" t="s">
        <v>4946</v>
      </c>
      <c r="E102">
        <v>8</v>
      </c>
      <c r="F102">
        <v>22</v>
      </c>
      <c r="G102">
        <v>2015</v>
      </c>
      <c r="H102">
        <v>41</v>
      </c>
      <c r="I102">
        <v>25</v>
      </c>
      <c r="K102" t="s">
        <v>4947</v>
      </c>
      <c r="L102" s="13" t="str">
        <f t="shared" si="3"/>
        <v>ML4.12_8_22_25</v>
      </c>
      <c r="M102" s="14" t="s">
        <v>4576</v>
      </c>
    </row>
    <row r="103" spans="1:13">
      <c r="A103" t="s">
        <v>2070</v>
      </c>
      <c r="B103" s="12" t="s">
        <v>4575</v>
      </c>
      <c r="C103" t="s">
        <v>4946</v>
      </c>
      <c r="E103">
        <v>8</v>
      </c>
      <c r="F103">
        <v>22</v>
      </c>
      <c r="G103">
        <v>2015</v>
      </c>
      <c r="H103">
        <v>41</v>
      </c>
      <c r="I103">
        <v>35</v>
      </c>
      <c r="K103" t="s">
        <v>4948</v>
      </c>
      <c r="L103" s="13" t="str">
        <f t="shared" si="3"/>
        <v>ML4.12_8_22_35</v>
      </c>
      <c r="M103" s="14" t="s">
        <v>4578</v>
      </c>
    </row>
    <row r="104" spans="1:13">
      <c r="A104" t="s">
        <v>2070</v>
      </c>
      <c r="B104" s="12" t="s">
        <v>4575</v>
      </c>
      <c r="C104" t="s">
        <v>4946</v>
      </c>
      <c r="E104">
        <v>8</v>
      </c>
      <c r="F104">
        <v>22</v>
      </c>
      <c r="G104">
        <v>2015</v>
      </c>
      <c r="H104">
        <v>41</v>
      </c>
      <c r="I104">
        <v>5</v>
      </c>
      <c r="K104" t="s">
        <v>4949</v>
      </c>
      <c r="L104" s="13" t="str">
        <f t="shared" si="3"/>
        <v>ML4.12_8_22_5</v>
      </c>
      <c r="M104" s="14" t="s">
        <v>4580</v>
      </c>
    </row>
    <row r="105" spans="1:13">
      <c r="A105" t="s">
        <v>3646</v>
      </c>
      <c r="B105" s="12" t="s">
        <v>4583</v>
      </c>
      <c r="C105" t="s">
        <v>4950</v>
      </c>
      <c r="E105">
        <v>8</v>
      </c>
      <c r="F105">
        <v>22</v>
      </c>
      <c r="G105">
        <v>2015</v>
      </c>
      <c r="H105">
        <v>42</v>
      </c>
      <c r="I105">
        <v>40</v>
      </c>
      <c r="K105" t="s">
        <v>4951</v>
      </c>
      <c r="L105" s="13" t="str">
        <f t="shared" si="3"/>
        <v>ML4.13_8_22_40</v>
      </c>
      <c r="M105" s="14" t="s">
        <v>4584</v>
      </c>
    </row>
    <row r="106" spans="1:13">
      <c r="A106" t="s">
        <v>3646</v>
      </c>
      <c r="B106" s="12" t="s">
        <v>4583</v>
      </c>
      <c r="C106" t="s">
        <v>4950</v>
      </c>
      <c r="E106">
        <v>8</v>
      </c>
      <c r="F106">
        <v>22</v>
      </c>
      <c r="G106">
        <v>2015</v>
      </c>
      <c r="H106">
        <v>42</v>
      </c>
      <c r="I106">
        <v>5</v>
      </c>
      <c r="K106" t="s">
        <v>4952</v>
      </c>
      <c r="L106" s="13" t="str">
        <f t="shared" si="3"/>
        <v>ML4.13_8_22_5</v>
      </c>
      <c r="M106" s="14" t="s">
        <v>4586</v>
      </c>
    </row>
    <row r="107" spans="1:13">
      <c r="A107" t="s">
        <v>3670</v>
      </c>
      <c r="B107" s="12" t="s">
        <v>4589</v>
      </c>
      <c r="C107" t="s">
        <v>4953</v>
      </c>
      <c r="E107">
        <v>8</v>
      </c>
      <c r="F107">
        <v>22</v>
      </c>
      <c r="G107">
        <v>2015</v>
      </c>
      <c r="H107">
        <v>43</v>
      </c>
      <c r="I107">
        <v>10</v>
      </c>
      <c r="K107" t="s">
        <v>4954</v>
      </c>
      <c r="L107" s="13" t="str">
        <f t="shared" si="3"/>
        <v>ML4.14_8_22_10</v>
      </c>
      <c r="M107" s="14" t="s">
        <v>4594</v>
      </c>
    </row>
    <row r="108" spans="1:13">
      <c r="A108" t="s">
        <v>3670</v>
      </c>
      <c r="B108" s="12" t="s">
        <v>4589</v>
      </c>
      <c r="C108" t="s">
        <v>4953</v>
      </c>
      <c r="E108">
        <v>8</v>
      </c>
      <c r="F108">
        <v>22</v>
      </c>
      <c r="G108">
        <v>2015</v>
      </c>
      <c r="H108">
        <v>43</v>
      </c>
      <c r="I108">
        <v>30</v>
      </c>
      <c r="K108" t="s">
        <v>4955</v>
      </c>
      <c r="L108" s="13" t="str">
        <f t="shared" si="3"/>
        <v>ML4.14_8_22_30</v>
      </c>
      <c r="M108" s="14" t="s">
        <v>4590</v>
      </c>
    </row>
    <row r="109" spans="1:13">
      <c r="A109" t="s">
        <v>3670</v>
      </c>
      <c r="B109" s="12" t="s">
        <v>4589</v>
      </c>
      <c r="C109" t="s">
        <v>4953</v>
      </c>
      <c r="E109">
        <v>8</v>
      </c>
      <c r="F109">
        <v>22</v>
      </c>
      <c r="G109">
        <v>2015</v>
      </c>
      <c r="H109">
        <v>43</v>
      </c>
      <c r="I109">
        <v>44</v>
      </c>
      <c r="K109" t="s">
        <v>4956</v>
      </c>
      <c r="L109" s="13" t="str">
        <f t="shared" si="3"/>
        <v>ML4.14_8_22_44</v>
      </c>
      <c r="M109" s="14" t="s">
        <v>4592</v>
      </c>
    </row>
    <row r="110" spans="1:13">
      <c r="A110" t="s">
        <v>3713</v>
      </c>
      <c r="B110" s="12" t="s">
        <v>4477</v>
      </c>
      <c r="C110" t="s">
        <v>4957</v>
      </c>
      <c r="E110">
        <v>8</v>
      </c>
      <c r="F110">
        <v>19</v>
      </c>
      <c r="G110">
        <v>2015</v>
      </c>
      <c r="H110">
        <v>27</v>
      </c>
      <c r="I110">
        <v>30</v>
      </c>
      <c r="K110" t="s">
        <v>4958</v>
      </c>
      <c r="L110" s="13" t="str">
        <f t="shared" si="3"/>
        <v>ML4.2_8_19_30</v>
      </c>
      <c r="M110" s="14" t="s">
        <v>4478</v>
      </c>
    </row>
    <row r="111" spans="1:13">
      <c r="A111" t="s">
        <v>3713</v>
      </c>
      <c r="B111" s="12" t="s">
        <v>4477</v>
      </c>
      <c r="C111" t="s">
        <v>4957</v>
      </c>
      <c r="E111">
        <v>8</v>
      </c>
      <c r="F111">
        <v>19</v>
      </c>
      <c r="G111">
        <v>2015</v>
      </c>
      <c r="H111">
        <v>27</v>
      </c>
      <c r="I111">
        <v>41</v>
      </c>
      <c r="K111" t="s">
        <v>4959</v>
      </c>
      <c r="L111" s="13" t="str">
        <f t="shared" si="3"/>
        <v>ML4.2_8_19_41</v>
      </c>
      <c r="M111" s="14" t="s">
        <v>4480</v>
      </c>
    </row>
    <row r="112" spans="1:13">
      <c r="A112" t="s">
        <v>3713</v>
      </c>
      <c r="B112" s="12" t="s">
        <v>4477</v>
      </c>
      <c r="C112" t="s">
        <v>4957</v>
      </c>
      <c r="E112">
        <v>8</v>
      </c>
      <c r="F112">
        <v>19</v>
      </c>
      <c r="G112">
        <v>2015</v>
      </c>
      <c r="H112">
        <v>27</v>
      </c>
      <c r="I112">
        <v>6</v>
      </c>
      <c r="K112" t="s">
        <v>4960</v>
      </c>
      <c r="L112" s="13" t="str">
        <f t="shared" si="3"/>
        <v>ML4.2_8_19_6</v>
      </c>
      <c r="M112" s="14" t="s">
        <v>4482</v>
      </c>
    </row>
    <row r="113" spans="1:13">
      <c r="A113" t="s">
        <v>3737</v>
      </c>
      <c r="B113" s="12" t="s">
        <v>4485</v>
      </c>
      <c r="C113" t="s">
        <v>4961</v>
      </c>
      <c r="E113">
        <v>8</v>
      </c>
      <c r="F113">
        <v>19</v>
      </c>
      <c r="G113">
        <v>2015</v>
      </c>
      <c r="H113">
        <v>28</v>
      </c>
      <c r="I113">
        <v>28</v>
      </c>
      <c r="K113" t="s">
        <v>4962</v>
      </c>
      <c r="L113" s="13" t="str">
        <f t="shared" ref="L113:L144" si="4">A113&amp;"_"&amp;E113&amp;"_"&amp;F113&amp;"_"&amp;I113</f>
        <v>ML4.3_8_19_28</v>
      </c>
      <c r="M113" s="14" t="s">
        <v>4486</v>
      </c>
    </row>
    <row r="114" spans="1:13">
      <c r="A114" t="s">
        <v>3737</v>
      </c>
      <c r="B114" s="12" t="s">
        <v>4485</v>
      </c>
      <c r="C114" t="s">
        <v>4961</v>
      </c>
      <c r="E114">
        <v>8</v>
      </c>
      <c r="F114">
        <v>19</v>
      </c>
      <c r="G114">
        <v>2015</v>
      </c>
      <c r="H114">
        <v>28</v>
      </c>
      <c r="I114">
        <v>5</v>
      </c>
      <c r="K114" t="s">
        <v>4963</v>
      </c>
      <c r="L114" s="13" t="str">
        <f t="shared" si="4"/>
        <v>ML4.3_8_19_5</v>
      </c>
      <c r="M114" s="14" t="s">
        <v>4488</v>
      </c>
    </row>
    <row r="115" spans="1:13">
      <c r="A115" t="s">
        <v>3737</v>
      </c>
      <c r="B115" s="12" t="s">
        <v>4485</v>
      </c>
      <c r="C115" t="s">
        <v>4961</v>
      </c>
      <c r="E115">
        <v>8</v>
      </c>
      <c r="F115">
        <v>19</v>
      </c>
      <c r="G115">
        <v>2015</v>
      </c>
      <c r="H115">
        <v>28</v>
      </c>
      <c r="I115">
        <v>51</v>
      </c>
      <c r="K115" t="s">
        <v>4964</v>
      </c>
      <c r="L115" s="13" t="str">
        <f t="shared" si="4"/>
        <v>ML4.3_8_19_51</v>
      </c>
      <c r="M115" s="14" t="s">
        <v>4490</v>
      </c>
    </row>
    <row r="116" spans="1:13">
      <c r="A116" t="s">
        <v>3754</v>
      </c>
      <c r="B116" s="12" t="s">
        <v>4516</v>
      </c>
      <c r="C116" t="s">
        <v>4965</v>
      </c>
      <c r="E116">
        <v>8</v>
      </c>
      <c r="F116">
        <v>20</v>
      </c>
      <c r="G116">
        <v>2015</v>
      </c>
      <c r="H116">
        <v>31</v>
      </c>
      <c r="I116">
        <v>31</v>
      </c>
      <c r="K116" t="s">
        <v>4966</v>
      </c>
      <c r="L116" s="13" t="str">
        <f t="shared" si="4"/>
        <v>ML4.5_8_20_31</v>
      </c>
      <c r="M116" s="14" t="s">
        <v>4517</v>
      </c>
    </row>
    <row r="117" spans="1:13">
      <c r="A117" t="s">
        <v>3754</v>
      </c>
      <c r="B117" s="12" t="s">
        <v>4516</v>
      </c>
      <c r="C117" t="s">
        <v>4965</v>
      </c>
      <c r="E117">
        <v>8</v>
      </c>
      <c r="F117">
        <v>20</v>
      </c>
      <c r="G117">
        <v>2015</v>
      </c>
      <c r="H117">
        <v>31</v>
      </c>
      <c r="I117">
        <v>45</v>
      </c>
      <c r="K117" t="s">
        <v>4967</v>
      </c>
      <c r="L117" s="13" t="str">
        <f t="shared" si="4"/>
        <v>ML4.5_8_20_45</v>
      </c>
      <c r="M117" s="14" t="s">
        <v>4521</v>
      </c>
    </row>
    <row r="118" spans="1:13">
      <c r="A118" t="s">
        <v>3754</v>
      </c>
      <c r="B118" s="12" t="s">
        <v>4516</v>
      </c>
      <c r="C118" t="s">
        <v>4965</v>
      </c>
      <c r="E118">
        <v>8</v>
      </c>
      <c r="F118">
        <v>20</v>
      </c>
      <c r="G118">
        <v>2015</v>
      </c>
      <c r="H118">
        <v>31</v>
      </c>
      <c r="I118">
        <v>5</v>
      </c>
      <c r="K118" t="s">
        <v>4968</v>
      </c>
      <c r="L118" s="13" t="str">
        <f t="shared" si="4"/>
        <v>ML4.5_8_20_5</v>
      </c>
      <c r="M118" s="14" t="s">
        <v>4519</v>
      </c>
    </row>
    <row r="119" spans="1:13">
      <c r="A119" t="s">
        <v>3773</v>
      </c>
      <c r="B119" s="12" t="s">
        <v>4524</v>
      </c>
      <c r="C119" t="s">
        <v>4969</v>
      </c>
      <c r="E119">
        <v>8</v>
      </c>
      <c r="F119">
        <v>20</v>
      </c>
      <c r="G119">
        <v>2015</v>
      </c>
      <c r="H119">
        <v>32</v>
      </c>
      <c r="I119">
        <v>28</v>
      </c>
      <c r="K119" t="s">
        <v>4970</v>
      </c>
      <c r="L119" s="13" t="str">
        <f t="shared" si="4"/>
        <v>ML4.6_8_20_28</v>
      </c>
      <c r="M119" s="14" t="s">
        <v>4525</v>
      </c>
    </row>
    <row r="120" spans="1:13">
      <c r="A120" t="s">
        <v>3773</v>
      </c>
      <c r="B120" s="12" t="s">
        <v>4524</v>
      </c>
      <c r="C120" t="s">
        <v>4969</v>
      </c>
      <c r="E120">
        <v>8</v>
      </c>
      <c r="F120">
        <v>20</v>
      </c>
      <c r="G120">
        <v>2015</v>
      </c>
      <c r="H120">
        <v>32</v>
      </c>
      <c r="I120">
        <v>43</v>
      </c>
      <c r="K120" t="s">
        <v>4971</v>
      </c>
      <c r="L120" s="13" t="str">
        <f t="shared" si="4"/>
        <v>ML4.6_8_20_43</v>
      </c>
      <c r="M120" s="14" t="s">
        <v>4527</v>
      </c>
    </row>
    <row r="121" spans="1:13">
      <c r="A121" t="s">
        <v>3773</v>
      </c>
      <c r="B121" s="12" t="s">
        <v>4524</v>
      </c>
      <c r="C121" t="s">
        <v>4969</v>
      </c>
      <c r="E121">
        <v>8</v>
      </c>
      <c r="F121">
        <v>20</v>
      </c>
      <c r="G121">
        <v>2015</v>
      </c>
      <c r="H121">
        <v>32</v>
      </c>
      <c r="I121">
        <v>5</v>
      </c>
      <c r="K121" t="s">
        <v>4972</v>
      </c>
      <c r="L121" s="13" t="str">
        <f t="shared" si="4"/>
        <v>ML4.6_8_20_5</v>
      </c>
      <c r="M121" s="14" t="s">
        <v>4529</v>
      </c>
    </row>
    <row r="122" spans="1:13">
      <c r="A122" t="s">
        <v>3807</v>
      </c>
      <c r="B122" s="12" t="s">
        <v>4532</v>
      </c>
      <c r="C122" t="s">
        <v>4973</v>
      </c>
      <c r="E122">
        <v>8</v>
      </c>
      <c r="F122">
        <v>20</v>
      </c>
      <c r="G122">
        <v>2015</v>
      </c>
      <c r="H122">
        <v>33</v>
      </c>
      <c r="I122">
        <v>31</v>
      </c>
      <c r="K122" t="s">
        <v>4974</v>
      </c>
      <c r="L122" s="13" t="str">
        <f t="shared" si="4"/>
        <v>ML4.7_8_20_31</v>
      </c>
      <c r="M122" s="14" t="s">
        <v>4533</v>
      </c>
    </row>
    <row r="123" spans="1:13">
      <c r="A123" t="s">
        <v>3807</v>
      </c>
      <c r="B123" s="12" t="s">
        <v>4532</v>
      </c>
      <c r="C123" t="s">
        <v>4973</v>
      </c>
      <c r="E123">
        <v>8</v>
      </c>
      <c r="F123">
        <v>20</v>
      </c>
      <c r="G123">
        <v>2015</v>
      </c>
      <c r="H123">
        <v>33</v>
      </c>
      <c r="I123">
        <v>43</v>
      </c>
      <c r="K123" t="s">
        <v>4975</v>
      </c>
      <c r="L123" s="13" t="str">
        <f t="shared" si="4"/>
        <v>ML4.7_8_20_43</v>
      </c>
      <c r="M123" s="14" t="s">
        <v>4535</v>
      </c>
    </row>
    <row r="124" spans="1:13">
      <c r="A124" t="s">
        <v>3807</v>
      </c>
      <c r="B124" s="12" t="s">
        <v>4532</v>
      </c>
      <c r="C124" t="s">
        <v>4973</v>
      </c>
      <c r="E124">
        <v>8</v>
      </c>
      <c r="F124">
        <v>20</v>
      </c>
      <c r="G124">
        <v>2015</v>
      </c>
      <c r="H124">
        <v>33</v>
      </c>
      <c r="I124">
        <v>5</v>
      </c>
      <c r="K124" t="s">
        <v>4976</v>
      </c>
      <c r="L124" s="13" t="str">
        <f t="shared" si="4"/>
        <v>ML4.7_8_20_5</v>
      </c>
      <c r="M124" s="14" t="s">
        <v>4537</v>
      </c>
    </row>
    <row r="125" spans="1:13">
      <c r="A125" t="s">
        <v>3834</v>
      </c>
      <c r="B125" s="12" t="s">
        <v>4559</v>
      </c>
      <c r="C125" t="s">
        <v>4977</v>
      </c>
      <c r="E125">
        <v>8</v>
      </c>
      <c r="F125">
        <v>21</v>
      </c>
      <c r="G125">
        <v>2015</v>
      </c>
      <c r="H125">
        <v>35</v>
      </c>
      <c r="I125">
        <v>30</v>
      </c>
      <c r="K125" t="s">
        <v>4978</v>
      </c>
      <c r="L125" s="13" t="str">
        <f t="shared" si="4"/>
        <v>ML4.8_8_21_30</v>
      </c>
      <c r="M125" s="14" t="s">
        <v>4560</v>
      </c>
    </row>
    <row r="126" spans="1:13">
      <c r="A126" t="s">
        <v>3834</v>
      </c>
      <c r="B126" s="12" t="s">
        <v>4559</v>
      </c>
      <c r="C126" t="s">
        <v>4977</v>
      </c>
      <c r="E126">
        <v>8</v>
      </c>
      <c r="F126">
        <v>21</v>
      </c>
      <c r="G126">
        <v>2015</v>
      </c>
      <c r="H126">
        <v>35</v>
      </c>
      <c r="I126">
        <v>38</v>
      </c>
      <c r="K126" t="s">
        <v>4979</v>
      </c>
      <c r="L126" s="13" t="str">
        <f t="shared" si="4"/>
        <v>ML4.8_8_21_38</v>
      </c>
      <c r="M126" s="14" t="s">
        <v>4562</v>
      </c>
    </row>
    <row r="127" spans="1:13">
      <c r="A127" t="s">
        <v>3834</v>
      </c>
      <c r="B127" s="12" t="s">
        <v>4559</v>
      </c>
      <c r="C127" t="s">
        <v>4977</v>
      </c>
      <c r="E127">
        <v>8</v>
      </c>
      <c r="F127">
        <v>21</v>
      </c>
      <c r="G127">
        <v>2015</v>
      </c>
      <c r="H127">
        <v>35</v>
      </c>
      <c r="I127">
        <v>5</v>
      </c>
      <c r="K127" t="s">
        <v>4980</v>
      </c>
      <c r="L127" s="13" t="str">
        <f t="shared" si="4"/>
        <v>ML4.8_8_21_5</v>
      </c>
      <c r="M127" s="14" t="s">
        <v>4564</v>
      </c>
    </row>
    <row r="128" spans="1:13">
      <c r="A128" t="s">
        <v>3868</v>
      </c>
      <c r="B128" s="12" t="s">
        <v>4567</v>
      </c>
      <c r="C128" t="s">
        <v>4981</v>
      </c>
      <c r="E128">
        <v>8</v>
      </c>
      <c r="F128">
        <v>21</v>
      </c>
      <c r="G128">
        <v>2015</v>
      </c>
      <c r="H128">
        <v>36</v>
      </c>
      <c r="I128">
        <v>24</v>
      </c>
      <c r="K128" t="s">
        <v>4982</v>
      </c>
      <c r="L128" s="13" t="str">
        <f t="shared" si="4"/>
        <v>ML4.9_8_21_24</v>
      </c>
      <c r="M128" s="14" t="s">
        <v>4568</v>
      </c>
    </row>
    <row r="129" spans="1:13">
      <c r="A129" t="s">
        <v>3868</v>
      </c>
      <c r="B129" s="12" t="s">
        <v>4567</v>
      </c>
      <c r="C129" t="s">
        <v>4981</v>
      </c>
      <c r="E129">
        <v>8</v>
      </c>
      <c r="F129">
        <v>21</v>
      </c>
      <c r="G129">
        <v>2015</v>
      </c>
      <c r="H129">
        <v>36</v>
      </c>
      <c r="I129">
        <v>36</v>
      </c>
      <c r="K129" t="s">
        <v>4983</v>
      </c>
      <c r="L129" s="13" t="str">
        <f t="shared" si="4"/>
        <v>ML4.9_8_21_36</v>
      </c>
      <c r="M129" s="14" t="s">
        <v>4570</v>
      </c>
    </row>
    <row r="130" spans="1:13">
      <c r="A130" t="s">
        <v>3868</v>
      </c>
      <c r="B130" s="12" t="s">
        <v>4567</v>
      </c>
      <c r="C130" t="s">
        <v>4981</v>
      </c>
      <c r="E130">
        <v>8</v>
      </c>
      <c r="F130">
        <v>21</v>
      </c>
      <c r="G130">
        <v>2015</v>
      </c>
      <c r="H130">
        <v>36</v>
      </c>
      <c r="I130">
        <v>5</v>
      </c>
      <c r="K130" t="s">
        <v>4984</v>
      </c>
      <c r="L130" s="13" t="str">
        <f t="shared" si="4"/>
        <v>ML4.9_8_21_5</v>
      </c>
      <c r="M130" s="14" t="s">
        <v>4572</v>
      </c>
    </row>
    <row r="131" spans="1:13">
      <c r="A131" t="s">
        <v>2106</v>
      </c>
      <c r="B131" s="12" t="s">
        <v>4682</v>
      </c>
      <c r="C131" t="s">
        <v>4985</v>
      </c>
      <c r="E131">
        <v>8</v>
      </c>
      <c r="F131">
        <v>31</v>
      </c>
      <c r="G131">
        <v>2015</v>
      </c>
      <c r="H131">
        <v>74</v>
      </c>
      <c r="I131">
        <v>37</v>
      </c>
      <c r="K131" t="s">
        <v>4986</v>
      </c>
      <c r="L131" s="13" t="str">
        <f t="shared" si="4"/>
        <v>ML5.1_8_31_37</v>
      </c>
      <c r="M131" s="14" t="s">
        <v>4683</v>
      </c>
    </row>
    <row r="132" spans="1:13">
      <c r="A132" t="s">
        <v>2106</v>
      </c>
      <c r="B132" s="12" t="s">
        <v>4682</v>
      </c>
      <c r="C132" t="s">
        <v>4985</v>
      </c>
      <c r="E132">
        <v>8</v>
      </c>
      <c r="F132">
        <v>31</v>
      </c>
      <c r="G132">
        <v>2015</v>
      </c>
      <c r="H132">
        <v>74</v>
      </c>
      <c r="I132">
        <v>5</v>
      </c>
      <c r="K132" t="s">
        <v>4987</v>
      </c>
      <c r="L132" s="13" t="str">
        <f t="shared" si="4"/>
        <v>ML5.1_8_31_5</v>
      </c>
      <c r="M132" s="14" t="s">
        <v>4685</v>
      </c>
    </row>
    <row r="133" spans="1:13">
      <c r="A133" t="s">
        <v>4988</v>
      </c>
      <c r="B133" s="12" t="s">
        <v>4664</v>
      </c>
      <c r="C133" t="s">
        <v>4989</v>
      </c>
      <c r="E133">
        <v>8</v>
      </c>
      <c r="F133">
        <v>30</v>
      </c>
      <c r="G133">
        <v>2015</v>
      </c>
      <c r="H133">
        <v>65</v>
      </c>
      <c r="I133">
        <v>35</v>
      </c>
      <c r="K133" t="s">
        <v>4990</v>
      </c>
      <c r="L133" s="13" t="str">
        <f t="shared" si="4"/>
        <v>ML5.10_8_30_35</v>
      </c>
      <c r="M133" s="14" t="s">
        <v>4665</v>
      </c>
    </row>
    <row r="134" spans="1:13">
      <c r="A134" t="s">
        <v>4988</v>
      </c>
      <c r="B134" s="12" t="s">
        <v>4664</v>
      </c>
      <c r="C134" t="s">
        <v>4989</v>
      </c>
      <c r="E134">
        <v>8</v>
      </c>
      <c r="F134">
        <v>30</v>
      </c>
      <c r="G134">
        <v>2015</v>
      </c>
      <c r="H134">
        <v>65</v>
      </c>
      <c r="I134">
        <v>6</v>
      </c>
      <c r="K134" t="s">
        <v>4991</v>
      </c>
      <c r="L134" s="13" t="str">
        <f t="shared" si="4"/>
        <v>ML5.10_8_30_6</v>
      </c>
      <c r="M134" s="14" t="s">
        <v>4667</v>
      </c>
    </row>
    <row r="135" spans="1:13">
      <c r="A135" t="s">
        <v>4992</v>
      </c>
      <c r="B135" s="12" t="s">
        <v>4688</v>
      </c>
      <c r="C135" t="s">
        <v>4993</v>
      </c>
      <c r="E135">
        <v>8</v>
      </c>
      <c r="F135">
        <v>31</v>
      </c>
      <c r="G135">
        <v>2015</v>
      </c>
      <c r="H135">
        <v>73</v>
      </c>
      <c r="I135">
        <v>35</v>
      </c>
      <c r="K135" t="s">
        <v>4994</v>
      </c>
      <c r="L135" s="13" t="str">
        <f t="shared" si="4"/>
        <v>ML5.2_8_31_35</v>
      </c>
      <c r="M135" s="14" t="s">
        <v>4689</v>
      </c>
    </row>
    <row r="136" spans="1:13">
      <c r="A136" t="s">
        <v>4992</v>
      </c>
      <c r="B136" s="12" t="s">
        <v>4688</v>
      </c>
      <c r="C136" t="s">
        <v>4993</v>
      </c>
      <c r="E136">
        <v>8</v>
      </c>
      <c r="F136">
        <v>31</v>
      </c>
      <c r="G136">
        <v>2015</v>
      </c>
      <c r="H136">
        <v>73</v>
      </c>
      <c r="I136">
        <v>5</v>
      </c>
      <c r="K136" t="s">
        <v>4995</v>
      </c>
      <c r="L136" s="13" t="str">
        <f t="shared" si="4"/>
        <v>ML5.2_8_31_5</v>
      </c>
      <c r="M136" s="14" t="s">
        <v>4691</v>
      </c>
    </row>
    <row r="137" spans="1:13">
      <c r="A137" t="s">
        <v>3890</v>
      </c>
      <c r="B137" s="12" t="s">
        <v>4694</v>
      </c>
      <c r="C137" t="s">
        <v>4996</v>
      </c>
      <c r="E137">
        <v>8</v>
      </c>
      <c r="F137">
        <v>31</v>
      </c>
      <c r="G137">
        <v>2015</v>
      </c>
      <c r="H137">
        <v>71</v>
      </c>
      <c r="I137">
        <v>27</v>
      </c>
      <c r="K137" t="s">
        <v>4997</v>
      </c>
      <c r="L137" s="13" t="str">
        <f t="shared" si="4"/>
        <v>ML5.4_8_31_27</v>
      </c>
      <c r="M137" s="14" t="s">
        <v>4695</v>
      </c>
    </row>
    <row r="138" spans="1:13">
      <c r="A138" t="s">
        <v>4998</v>
      </c>
      <c r="B138" s="12" t="s">
        <v>4699</v>
      </c>
      <c r="C138" t="s">
        <v>4999</v>
      </c>
      <c r="E138">
        <v>8</v>
      </c>
      <c r="F138">
        <v>31</v>
      </c>
      <c r="G138">
        <v>2015</v>
      </c>
      <c r="H138">
        <v>70</v>
      </c>
      <c r="I138">
        <v>36</v>
      </c>
      <c r="K138" t="s">
        <v>5000</v>
      </c>
      <c r="L138" s="13" t="str">
        <f t="shared" si="4"/>
        <v>ML5.5_8_31_36</v>
      </c>
      <c r="M138" s="14" t="s">
        <v>4700</v>
      </c>
    </row>
    <row r="139" spans="1:13">
      <c r="A139" t="s">
        <v>4998</v>
      </c>
      <c r="B139" s="12" t="s">
        <v>4699</v>
      </c>
      <c r="C139" t="s">
        <v>4999</v>
      </c>
      <c r="E139">
        <v>8</v>
      </c>
      <c r="F139">
        <v>31</v>
      </c>
      <c r="G139">
        <v>2015</v>
      </c>
      <c r="H139">
        <v>70</v>
      </c>
      <c r="I139">
        <v>6</v>
      </c>
      <c r="K139" t="s">
        <v>5001</v>
      </c>
      <c r="L139" s="13" t="str">
        <f t="shared" si="4"/>
        <v>ML5.5_8_31_6</v>
      </c>
      <c r="M139" s="14" t="s">
        <v>4702</v>
      </c>
    </row>
    <row r="140" spans="1:13">
      <c r="A140" t="s">
        <v>3913</v>
      </c>
      <c r="B140" s="12" t="s">
        <v>4705</v>
      </c>
      <c r="C140" t="s">
        <v>5002</v>
      </c>
      <c r="E140">
        <v>8</v>
      </c>
      <c r="F140">
        <v>31</v>
      </c>
      <c r="G140">
        <v>2015</v>
      </c>
      <c r="H140">
        <v>69</v>
      </c>
      <c r="I140">
        <v>36</v>
      </c>
      <c r="K140" t="s">
        <v>5003</v>
      </c>
      <c r="L140" s="13" t="str">
        <f t="shared" si="4"/>
        <v>ML5.6_8_31_36</v>
      </c>
      <c r="M140" s="14" t="s">
        <v>4706</v>
      </c>
    </row>
    <row r="141" spans="1:13">
      <c r="A141" t="s">
        <v>3913</v>
      </c>
      <c r="B141" s="12" t="s">
        <v>4705</v>
      </c>
      <c r="C141" t="s">
        <v>5002</v>
      </c>
      <c r="E141">
        <v>8</v>
      </c>
      <c r="F141">
        <v>31</v>
      </c>
      <c r="G141">
        <v>2015</v>
      </c>
      <c r="H141">
        <v>69</v>
      </c>
      <c r="I141">
        <v>5</v>
      </c>
      <c r="K141" t="s">
        <v>5004</v>
      </c>
      <c r="L141" s="13" t="str">
        <f t="shared" si="4"/>
        <v>ML5.6_8_31_5</v>
      </c>
      <c r="M141" s="14" t="s">
        <v>4708</v>
      </c>
    </row>
    <row r="142" spans="1:13">
      <c r="A142" t="s">
        <v>3937</v>
      </c>
      <c r="B142" s="12" t="s">
        <v>4670</v>
      </c>
      <c r="C142" t="s">
        <v>5005</v>
      </c>
      <c r="E142">
        <v>8</v>
      </c>
      <c r="F142">
        <v>30</v>
      </c>
      <c r="G142">
        <v>2015</v>
      </c>
      <c r="H142">
        <v>68</v>
      </c>
      <c r="I142">
        <v>36</v>
      </c>
      <c r="K142" t="s">
        <v>5006</v>
      </c>
      <c r="L142" s="13" t="str">
        <f t="shared" si="4"/>
        <v>ML5.7_8_30_36</v>
      </c>
      <c r="M142" s="14" t="s">
        <v>4671</v>
      </c>
    </row>
    <row r="143" spans="1:13">
      <c r="A143" t="s">
        <v>3937</v>
      </c>
      <c r="B143" s="12" t="s">
        <v>4670</v>
      </c>
      <c r="C143" t="s">
        <v>5005</v>
      </c>
      <c r="E143">
        <v>8</v>
      </c>
      <c r="F143">
        <v>30</v>
      </c>
      <c r="G143">
        <v>2015</v>
      </c>
      <c r="H143">
        <v>68</v>
      </c>
      <c r="I143">
        <v>5</v>
      </c>
      <c r="K143" t="s">
        <v>5007</v>
      </c>
      <c r="L143" s="13" t="str">
        <f t="shared" si="4"/>
        <v>ML5.7_8_30_5</v>
      </c>
      <c r="M143" s="14" t="s">
        <v>4673</v>
      </c>
    </row>
    <row r="144" spans="1:13">
      <c r="A144" t="s">
        <v>5008</v>
      </c>
      <c r="B144" s="12" t="s">
        <v>4676</v>
      </c>
      <c r="C144" t="s">
        <v>5009</v>
      </c>
      <c r="E144">
        <v>8</v>
      </c>
      <c r="F144">
        <v>30</v>
      </c>
      <c r="G144">
        <v>2015</v>
      </c>
      <c r="H144">
        <v>66</v>
      </c>
      <c r="I144">
        <v>35</v>
      </c>
      <c r="K144" t="s">
        <v>5010</v>
      </c>
      <c r="L144" s="13" t="str">
        <f t="shared" si="4"/>
        <v>ML5.9_8_30_35</v>
      </c>
      <c r="M144" s="14" t="s">
        <v>4677</v>
      </c>
    </row>
    <row r="145" spans="1:13">
      <c r="A145" t="s">
        <v>5008</v>
      </c>
      <c r="B145" s="12" t="s">
        <v>4676</v>
      </c>
      <c r="C145" t="s">
        <v>5009</v>
      </c>
      <c r="E145">
        <v>8</v>
      </c>
      <c r="F145">
        <v>30</v>
      </c>
      <c r="G145">
        <v>2015</v>
      </c>
      <c r="H145">
        <v>66</v>
      </c>
      <c r="I145">
        <v>6</v>
      </c>
      <c r="K145" t="s">
        <v>5011</v>
      </c>
      <c r="L145" s="13" t="str">
        <f t="shared" ref="L145:L172" si="5">A145&amp;"_"&amp;E145&amp;"_"&amp;F145&amp;"_"&amp;I145</f>
        <v>ML5.9_8_30_6</v>
      </c>
      <c r="M145" s="14" t="s">
        <v>4679</v>
      </c>
    </row>
    <row r="146" spans="1:13">
      <c r="A146" t="s">
        <v>2151</v>
      </c>
      <c r="B146" s="12" t="s">
        <v>4417</v>
      </c>
      <c r="C146" t="s">
        <v>5012</v>
      </c>
      <c r="E146">
        <v>8</v>
      </c>
      <c r="F146">
        <v>15</v>
      </c>
      <c r="G146">
        <v>2015</v>
      </c>
      <c r="H146">
        <v>17</v>
      </c>
      <c r="I146">
        <v>30</v>
      </c>
      <c r="K146" t="s">
        <v>5013</v>
      </c>
      <c r="L146" s="13" t="str">
        <f t="shared" si="5"/>
        <v>ML6.1_8_15_30</v>
      </c>
      <c r="M146" s="14" t="s">
        <v>4418</v>
      </c>
    </row>
    <row r="147" spans="1:13">
      <c r="A147" t="s">
        <v>3964</v>
      </c>
      <c r="B147" s="12" t="s">
        <v>4493</v>
      </c>
      <c r="C147" t="s">
        <v>5014</v>
      </c>
      <c r="E147">
        <v>8</v>
      </c>
      <c r="F147">
        <v>19</v>
      </c>
      <c r="G147">
        <v>2015</v>
      </c>
      <c r="H147">
        <v>29</v>
      </c>
      <c r="I147">
        <v>30</v>
      </c>
      <c r="K147" t="s">
        <v>5015</v>
      </c>
      <c r="L147" s="13" t="str">
        <f t="shared" si="5"/>
        <v>ML6.10_8_19_30</v>
      </c>
      <c r="M147" s="14" t="s">
        <v>4494</v>
      </c>
    </row>
    <row r="148" spans="1:13">
      <c r="A148" t="s">
        <v>3964</v>
      </c>
      <c r="B148" s="12" t="s">
        <v>4493</v>
      </c>
      <c r="C148" t="s">
        <v>5014</v>
      </c>
      <c r="E148">
        <v>8</v>
      </c>
      <c r="F148">
        <v>19</v>
      </c>
      <c r="G148">
        <v>2015</v>
      </c>
      <c r="H148">
        <v>29</v>
      </c>
      <c r="I148">
        <v>50</v>
      </c>
      <c r="K148" t="s">
        <v>5016</v>
      </c>
      <c r="L148" s="13" t="str">
        <f t="shared" si="5"/>
        <v>ML6.10_8_19_50</v>
      </c>
      <c r="M148" s="14" t="s">
        <v>4498</v>
      </c>
    </row>
    <row r="149" spans="1:13">
      <c r="A149" t="s">
        <v>3964</v>
      </c>
      <c r="B149" s="12" t="s">
        <v>4493</v>
      </c>
      <c r="C149" t="s">
        <v>5014</v>
      </c>
      <c r="E149">
        <v>8</v>
      </c>
      <c r="F149">
        <v>19</v>
      </c>
      <c r="G149">
        <v>2015</v>
      </c>
      <c r="H149">
        <v>29</v>
      </c>
      <c r="I149">
        <v>6</v>
      </c>
      <c r="K149" t="s">
        <v>5017</v>
      </c>
      <c r="L149" s="13" t="str">
        <f t="shared" si="5"/>
        <v>ML6.10_8_19_6</v>
      </c>
      <c r="M149" s="14" t="s">
        <v>4496</v>
      </c>
    </row>
    <row r="150" spans="1:13">
      <c r="A150" t="s">
        <v>3980</v>
      </c>
      <c r="B150" s="12" t="s">
        <v>4501</v>
      </c>
      <c r="C150" t="s">
        <v>5018</v>
      </c>
      <c r="E150">
        <v>8</v>
      </c>
      <c r="F150">
        <v>19</v>
      </c>
      <c r="G150">
        <v>2015</v>
      </c>
      <c r="H150">
        <v>30</v>
      </c>
      <c r="I150">
        <v>10</v>
      </c>
      <c r="K150" t="s">
        <v>5019</v>
      </c>
      <c r="L150" s="13" t="str">
        <f t="shared" si="5"/>
        <v>ML6.11_8_19_10</v>
      </c>
      <c r="M150" s="14" t="s">
        <v>4503</v>
      </c>
    </row>
    <row r="151" spans="1:13">
      <c r="A151" t="s">
        <v>3980</v>
      </c>
      <c r="B151" s="12" t="s">
        <v>4501</v>
      </c>
      <c r="C151" t="s">
        <v>5018</v>
      </c>
      <c r="E151">
        <v>8</v>
      </c>
      <c r="F151">
        <v>19</v>
      </c>
      <c r="G151">
        <v>2015</v>
      </c>
      <c r="H151">
        <v>30</v>
      </c>
      <c r="I151">
        <v>20</v>
      </c>
      <c r="K151" t="s">
        <v>5020</v>
      </c>
      <c r="L151" s="13" t="str">
        <f t="shared" si="5"/>
        <v>ML6.11_8_19_20</v>
      </c>
      <c r="M151" s="14" t="s">
        <v>4506</v>
      </c>
    </row>
    <row r="152" spans="1:13">
      <c r="A152" t="s">
        <v>3980</v>
      </c>
      <c r="B152" s="12" t="s">
        <v>4501</v>
      </c>
      <c r="C152" t="s">
        <v>5018</v>
      </c>
      <c r="E152">
        <v>8</v>
      </c>
      <c r="F152">
        <v>19</v>
      </c>
      <c r="G152">
        <v>2015</v>
      </c>
      <c r="H152">
        <v>30</v>
      </c>
      <c r="I152">
        <v>31</v>
      </c>
      <c r="K152" t="s">
        <v>5021</v>
      </c>
      <c r="L152" s="13" t="str">
        <f t="shared" si="5"/>
        <v>ML6.11_8_19_31</v>
      </c>
      <c r="M152" s="14" t="s">
        <v>4509</v>
      </c>
    </row>
    <row r="153" spans="1:13">
      <c r="A153" t="s">
        <v>3980</v>
      </c>
      <c r="B153" s="12" t="s">
        <v>4501</v>
      </c>
      <c r="C153" t="s">
        <v>5018</v>
      </c>
      <c r="E153">
        <v>8</v>
      </c>
      <c r="F153">
        <v>19</v>
      </c>
      <c r="G153">
        <v>2015</v>
      </c>
      <c r="H153">
        <v>30</v>
      </c>
      <c r="I153">
        <v>46</v>
      </c>
      <c r="K153" t="s">
        <v>5022</v>
      </c>
      <c r="L153" s="13" t="str">
        <f t="shared" si="5"/>
        <v>ML6.11_8_19_46</v>
      </c>
      <c r="M153" s="14" t="s">
        <v>4511</v>
      </c>
    </row>
    <row r="154" spans="1:13">
      <c r="A154" t="s">
        <v>3980</v>
      </c>
      <c r="B154" s="12" t="s">
        <v>4501</v>
      </c>
      <c r="C154" t="s">
        <v>5018</v>
      </c>
      <c r="E154">
        <v>8</v>
      </c>
      <c r="F154">
        <v>19</v>
      </c>
      <c r="G154">
        <v>2015</v>
      </c>
      <c r="H154">
        <v>30</v>
      </c>
      <c r="I154">
        <v>5</v>
      </c>
      <c r="K154" t="s">
        <v>5023</v>
      </c>
      <c r="L154" s="13" t="str">
        <f t="shared" si="5"/>
        <v>ML6.11_8_19_5</v>
      </c>
      <c r="M154" s="14" t="s">
        <v>4513</v>
      </c>
    </row>
    <row r="155" spans="1:13">
      <c r="A155" t="s">
        <v>4004</v>
      </c>
      <c r="B155" s="12" t="s">
        <v>4421</v>
      </c>
      <c r="C155" t="s">
        <v>5024</v>
      </c>
      <c r="E155">
        <v>8</v>
      </c>
      <c r="F155">
        <v>15</v>
      </c>
      <c r="G155">
        <v>2015</v>
      </c>
      <c r="H155">
        <v>18</v>
      </c>
      <c r="I155">
        <v>28</v>
      </c>
      <c r="K155" t="s">
        <v>5025</v>
      </c>
      <c r="L155" s="13" t="str">
        <f t="shared" si="5"/>
        <v>ML6.2_8_15_28</v>
      </c>
      <c r="M155" s="14" t="s">
        <v>4422</v>
      </c>
    </row>
    <row r="156" spans="1:13">
      <c r="A156" t="s">
        <v>4004</v>
      </c>
      <c r="B156" s="12" t="s">
        <v>4421</v>
      </c>
      <c r="C156" t="s">
        <v>5024</v>
      </c>
      <c r="E156">
        <v>8</v>
      </c>
      <c r="F156">
        <v>15</v>
      </c>
      <c r="G156">
        <v>2015</v>
      </c>
      <c r="H156">
        <v>18</v>
      </c>
      <c r="I156">
        <v>6</v>
      </c>
      <c r="K156" t="s">
        <v>5026</v>
      </c>
      <c r="L156" s="13" t="str">
        <f t="shared" si="5"/>
        <v>ML6.2_8_15_6</v>
      </c>
      <c r="M156" s="14" t="s">
        <v>4424</v>
      </c>
    </row>
    <row r="157" spans="1:13">
      <c r="A157" t="s">
        <v>4024</v>
      </c>
      <c r="B157" s="12" t="s">
        <v>4427</v>
      </c>
      <c r="C157" t="s">
        <v>5027</v>
      </c>
      <c r="E157">
        <v>8</v>
      </c>
      <c r="F157">
        <v>15</v>
      </c>
      <c r="G157">
        <v>2015</v>
      </c>
      <c r="H157">
        <v>19</v>
      </c>
      <c r="I157">
        <v>29</v>
      </c>
      <c r="K157" t="s">
        <v>5028</v>
      </c>
      <c r="L157" s="13" t="str">
        <f t="shared" si="5"/>
        <v>ML6.3_8_15_29</v>
      </c>
      <c r="M157" s="14" t="s">
        <v>4428</v>
      </c>
    </row>
    <row r="158" spans="1:13">
      <c r="A158" t="s">
        <v>4024</v>
      </c>
      <c r="B158" s="12" t="s">
        <v>4427</v>
      </c>
      <c r="C158" t="s">
        <v>5027</v>
      </c>
      <c r="E158">
        <v>8</v>
      </c>
      <c r="F158">
        <v>15</v>
      </c>
      <c r="G158">
        <v>2015</v>
      </c>
      <c r="H158">
        <v>19</v>
      </c>
      <c r="I158">
        <v>5</v>
      </c>
      <c r="K158" t="s">
        <v>5029</v>
      </c>
      <c r="L158" s="13" t="str">
        <f t="shared" si="5"/>
        <v>ML6.3_8_15_5</v>
      </c>
      <c r="M158" s="14" t="s">
        <v>4430</v>
      </c>
    </row>
    <row r="159" spans="1:13">
      <c r="A159" t="s">
        <v>4067</v>
      </c>
      <c r="B159" s="12" t="s">
        <v>4433</v>
      </c>
      <c r="C159" t="s">
        <v>5030</v>
      </c>
      <c r="E159">
        <v>8</v>
      </c>
      <c r="F159">
        <v>16</v>
      </c>
      <c r="G159">
        <v>2015</v>
      </c>
      <c r="H159">
        <v>21</v>
      </c>
      <c r="I159">
        <v>32</v>
      </c>
      <c r="K159" t="s">
        <v>5031</v>
      </c>
      <c r="L159" s="13" t="str">
        <f t="shared" si="5"/>
        <v>ML6.5_8_16_32</v>
      </c>
      <c r="M159" s="14" t="s">
        <v>4434</v>
      </c>
    </row>
    <row r="160" spans="1:13">
      <c r="A160" t="s">
        <v>4067</v>
      </c>
      <c r="B160" s="12" t="s">
        <v>4433</v>
      </c>
      <c r="C160" t="s">
        <v>5030</v>
      </c>
      <c r="E160">
        <v>8</v>
      </c>
      <c r="F160">
        <v>16</v>
      </c>
      <c r="G160">
        <v>2015</v>
      </c>
      <c r="H160">
        <v>21</v>
      </c>
      <c r="I160">
        <v>4</v>
      </c>
      <c r="K160" t="s">
        <v>5032</v>
      </c>
      <c r="L160" s="13" t="str">
        <f t="shared" si="5"/>
        <v>ML6.5_8_16_4</v>
      </c>
      <c r="M160" s="14" t="s">
        <v>4436</v>
      </c>
    </row>
    <row r="161" spans="1:13">
      <c r="A161" t="s">
        <v>4086</v>
      </c>
      <c r="B161" s="12" t="s">
        <v>4439</v>
      </c>
      <c r="C161" t="s">
        <v>5033</v>
      </c>
      <c r="E161">
        <v>8</v>
      </c>
      <c r="F161">
        <v>16</v>
      </c>
      <c r="G161">
        <v>2015</v>
      </c>
      <c r="H161">
        <v>22</v>
      </c>
      <c r="I161">
        <v>23</v>
      </c>
      <c r="K161" t="s">
        <v>5034</v>
      </c>
      <c r="L161" s="13" t="str">
        <f t="shared" si="5"/>
        <v>ML6.6_8_16_23</v>
      </c>
      <c r="M161" s="14" t="s">
        <v>4440</v>
      </c>
    </row>
    <row r="162" spans="1:13">
      <c r="A162" t="s">
        <v>4086</v>
      </c>
      <c r="B162" s="12" t="s">
        <v>4439</v>
      </c>
      <c r="C162" t="s">
        <v>5033</v>
      </c>
      <c r="E162">
        <v>8</v>
      </c>
      <c r="F162">
        <v>16</v>
      </c>
      <c r="G162">
        <v>2015</v>
      </c>
      <c r="H162">
        <v>22</v>
      </c>
      <c r="I162">
        <v>35</v>
      </c>
      <c r="K162" t="s">
        <v>5035</v>
      </c>
      <c r="L162" s="13" t="str">
        <f t="shared" si="5"/>
        <v>ML6.6_8_16_35</v>
      </c>
      <c r="M162" s="14" t="s">
        <v>4442</v>
      </c>
    </row>
    <row r="163" spans="1:13">
      <c r="A163" t="s">
        <v>4086</v>
      </c>
      <c r="B163" s="12" t="s">
        <v>4439</v>
      </c>
      <c r="C163" t="s">
        <v>5033</v>
      </c>
      <c r="E163">
        <v>8</v>
      </c>
      <c r="F163">
        <v>16</v>
      </c>
      <c r="G163">
        <v>2015</v>
      </c>
      <c r="H163">
        <v>22</v>
      </c>
      <c r="I163">
        <v>5</v>
      </c>
      <c r="K163" t="s">
        <v>5036</v>
      </c>
      <c r="L163" s="13" t="str">
        <f t="shared" si="5"/>
        <v>ML6.6_8_16_5</v>
      </c>
      <c r="M163" s="14" t="s">
        <v>4444</v>
      </c>
    </row>
    <row r="164" spans="1:13">
      <c r="A164" t="s">
        <v>2179</v>
      </c>
      <c r="B164" s="12" t="s">
        <v>4447</v>
      </c>
      <c r="C164" t="s">
        <v>5037</v>
      </c>
      <c r="E164">
        <v>8</v>
      </c>
      <c r="F164">
        <v>16</v>
      </c>
      <c r="G164">
        <v>2015</v>
      </c>
      <c r="H164">
        <v>23</v>
      </c>
      <c r="I164">
        <v>22</v>
      </c>
      <c r="K164" t="s">
        <v>5038</v>
      </c>
      <c r="L164" s="13" t="str">
        <f t="shared" si="5"/>
        <v>ML6.7_8_16_22</v>
      </c>
      <c r="M164" s="14" t="s">
        <v>4450</v>
      </c>
    </row>
    <row r="165" spans="1:13">
      <c r="A165" t="s">
        <v>2179</v>
      </c>
      <c r="B165" s="12" t="s">
        <v>4447</v>
      </c>
      <c r="C165" t="s">
        <v>5037</v>
      </c>
      <c r="E165">
        <v>8</v>
      </c>
      <c r="F165">
        <v>16</v>
      </c>
      <c r="G165">
        <v>2015</v>
      </c>
      <c r="H165">
        <v>23</v>
      </c>
      <c r="I165">
        <v>3</v>
      </c>
      <c r="K165" t="s">
        <v>5039</v>
      </c>
      <c r="L165" s="13" t="str">
        <f t="shared" si="5"/>
        <v>ML6.7_8_16_3</v>
      </c>
      <c r="M165" s="14" t="s">
        <v>4448</v>
      </c>
    </row>
    <row r="166" spans="1:13">
      <c r="A166" t="s">
        <v>2179</v>
      </c>
      <c r="B166" s="12" t="s">
        <v>4447</v>
      </c>
      <c r="C166" t="s">
        <v>5037</v>
      </c>
      <c r="E166">
        <v>8</v>
      </c>
      <c r="F166">
        <v>16</v>
      </c>
      <c r="G166">
        <v>2015</v>
      </c>
      <c r="H166">
        <v>23</v>
      </c>
      <c r="I166">
        <v>40</v>
      </c>
      <c r="K166" t="s">
        <v>5040</v>
      </c>
      <c r="L166" s="13" t="str">
        <f t="shared" si="5"/>
        <v>ML6.7_8_16_40</v>
      </c>
      <c r="M166" s="14" t="s">
        <v>4452</v>
      </c>
    </row>
    <row r="167" spans="1:13">
      <c r="A167" t="s">
        <v>4106</v>
      </c>
      <c r="B167" s="12" t="s">
        <v>4455</v>
      </c>
      <c r="C167" t="s">
        <v>5041</v>
      </c>
      <c r="E167">
        <v>8</v>
      </c>
      <c r="F167">
        <v>16</v>
      </c>
      <c r="G167">
        <v>2015</v>
      </c>
      <c r="H167">
        <v>24</v>
      </c>
      <c r="I167">
        <v>21</v>
      </c>
      <c r="K167" t="s">
        <v>5042</v>
      </c>
      <c r="L167" s="13" t="str">
        <f t="shared" si="5"/>
        <v>ML6.8_8_16_21</v>
      </c>
      <c r="M167" s="14" t="s">
        <v>4456</v>
      </c>
    </row>
    <row r="168" spans="1:13">
      <c r="A168" t="s">
        <v>4106</v>
      </c>
      <c r="B168" s="12" t="s">
        <v>4455</v>
      </c>
      <c r="C168" t="s">
        <v>5041</v>
      </c>
      <c r="E168">
        <v>8</v>
      </c>
      <c r="F168">
        <v>16</v>
      </c>
      <c r="G168">
        <v>2015</v>
      </c>
      <c r="H168">
        <v>24</v>
      </c>
      <c r="I168">
        <v>36</v>
      </c>
      <c r="K168" t="s">
        <v>5043</v>
      </c>
      <c r="L168" s="13" t="str">
        <f t="shared" si="5"/>
        <v>ML6.8_8_16_36</v>
      </c>
      <c r="M168" s="14" t="s">
        <v>4458</v>
      </c>
    </row>
    <row r="169" spans="1:13">
      <c r="A169" t="s">
        <v>4106</v>
      </c>
      <c r="B169" s="12" t="s">
        <v>4455</v>
      </c>
      <c r="C169" t="s">
        <v>5041</v>
      </c>
      <c r="E169">
        <v>8</v>
      </c>
      <c r="F169">
        <v>16</v>
      </c>
      <c r="G169">
        <v>2015</v>
      </c>
      <c r="H169">
        <v>24</v>
      </c>
      <c r="I169">
        <v>5</v>
      </c>
      <c r="K169" t="s">
        <v>5044</v>
      </c>
      <c r="L169" s="13" t="str">
        <f t="shared" si="5"/>
        <v>ML6.8_8_16_5</v>
      </c>
      <c r="M169" s="14" t="s">
        <v>4460</v>
      </c>
    </row>
    <row r="170" spans="1:13">
      <c r="A170" t="s">
        <v>2229</v>
      </c>
      <c r="B170" s="12" t="s">
        <v>4463</v>
      </c>
      <c r="C170" t="s">
        <v>5045</v>
      </c>
      <c r="E170">
        <v>8</v>
      </c>
      <c r="F170">
        <v>16</v>
      </c>
      <c r="G170">
        <v>2015</v>
      </c>
      <c r="H170">
        <v>25</v>
      </c>
      <c r="I170">
        <v>22</v>
      </c>
      <c r="K170" t="s">
        <v>5046</v>
      </c>
      <c r="L170" s="13" t="str">
        <f t="shared" si="5"/>
        <v>ML6.9_8_16_22</v>
      </c>
      <c r="M170" s="14" t="s">
        <v>4464</v>
      </c>
    </row>
    <row r="171" spans="1:13">
      <c r="A171" t="s">
        <v>2229</v>
      </c>
      <c r="B171" s="12" t="s">
        <v>4463</v>
      </c>
      <c r="C171" t="s">
        <v>5045</v>
      </c>
      <c r="E171">
        <v>8</v>
      </c>
      <c r="F171">
        <v>16</v>
      </c>
      <c r="G171">
        <v>2015</v>
      </c>
      <c r="H171">
        <v>25</v>
      </c>
      <c r="I171">
        <v>47</v>
      </c>
      <c r="K171" t="s">
        <v>5047</v>
      </c>
      <c r="L171" s="13" t="str">
        <f t="shared" si="5"/>
        <v>ML6.9_8_16_47</v>
      </c>
      <c r="M171" s="14" t="s">
        <v>4466</v>
      </c>
    </row>
    <row r="172" spans="1:13">
      <c r="A172" t="s">
        <v>2229</v>
      </c>
      <c r="B172" s="12" t="s">
        <v>4463</v>
      </c>
      <c r="C172" t="s">
        <v>5045</v>
      </c>
      <c r="E172">
        <v>8</v>
      </c>
      <c r="F172">
        <v>16</v>
      </c>
      <c r="G172">
        <v>2015</v>
      </c>
      <c r="H172">
        <v>25</v>
      </c>
      <c r="I172">
        <v>6</v>
      </c>
      <c r="K172" t="s">
        <v>5048</v>
      </c>
      <c r="L172" s="13" t="str">
        <f t="shared" si="5"/>
        <v>ML6.9_8_16_6</v>
      </c>
      <c r="M172" s="14" t="s">
        <v>4468</v>
      </c>
    </row>
    <row r="265" spans="1:13">
      <c r="A265" t="s">
        <v>4788</v>
      </c>
      <c r="B265" s="12" t="s">
        <v>4310</v>
      </c>
      <c r="C265" t="s">
        <v>4789</v>
      </c>
      <c r="E265">
        <v>8</v>
      </c>
      <c r="F265">
        <v>10</v>
      </c>
      <c r="G265">
        <v>2015</v>
      </c>
      <c r="H265">
        <v>1</v>
      </c>
      <c r="I265">
        <v>10</v>
      </c>
      <c r="K265" s="13"/>
      <c r="L265" s="13" t="str">
        <f t="shared" ref="L265:L328" si="6">A265&amp;"_"&amp;E265&amp;"_"&amp;F265&amp;"_"&amp;I265</f>
        <v>BC2_8_10_10</v>
      </c>
      <c r="M265" s="14" t="s">
        <v>5049</v>
      </c>
    </row>
    <row r="266" spans="1:13">
      <c r="A266" t="s">
        <v>4788</v>
      </c>
      <c r="B266" s="12" t="s">
        <v>4310</v>
      </c>
      <c r="C266" t="s">
        <v>4789</v>
      </c>
      <c r="E266">
        <v>8</v>
      </c>
      <c r="F266">
        <v>10</v>
      </c>
      <c r="G266">
        <v>2015</v>
      </c>
      <c r="H266">
        <v>1</v>
      </c>
      <c r="I266">
        <v>2</v>
      </c>
      <c r="K266" s="13"/>
      <c r="L266" s="13" t="str">
        <f t="shared" si="6"/>
        <v>BC2_8_10_2</v>
      </c>
      <c r="M266" s="14" t="s">
        <v>4311</v>
      </c>
    </row>
    <row r="267" spans="1:13">
      <c r="A267" t="s">
        <v>4788</v>
      </c>
      <c r="B267" s="12" t="s">
        <v>4310</v>
      </c>
      <c r="C267" t="s">
        <v>4789</v>
      </c>
      <c r="E267">
        <v>8</v>
      </c>
      <c r="F267">
        <v>10</v>
      </c>
      <c r="G267">
        <v>2015</v>
      </c>
      <c r="H267">
        <v>1</v>
      </c>
      <c r="I267">
        <v>2</v>
      </c>
      <c r="K267" s="13"/>
      <c r="L267" s="13" t="str">
        <f t="shared" si="6"/>
        <v>BC2_8_10_2</v>
      </c>
      <c r="M267" s="14" t="s">
        <v>4311</v>
      </c>
    </row>
    <row r="268" spans="1:13">
      <c r="A268" t="s">
        <v>4788</v>
      </c>
      <c r="B268" s="12" t="s">
        <v>4310</v>
      </c>
      <c r="C268" t="s">
        <v>4789</v>
      </c>
      <c r="E268">
        <v>8</v>
      </c>
      <c r="F268">
        <v>10</v>
      </c>
      <c r="G268">
        <v>2015</v>
      </c>
      <c r="H268">
        <v>1</v>
      </c>
      <c r="I268">
        <v>2</v>
      </c>
      <c r="K268" s="13"/>
      <c r="L268" s="13" t="str">
        <f t="shared" si="6"/>
        <v>BC2_8_10_2</v>
      </c>
      <c r="M268" s="14" t="s">
        <v>4311</v>
      </c>
    </row>
    <row r="269" spans="1:13">
      <c r="A269" t="s">
        <v>4788</v>
      </c>
      <c r="B269" s="12" t="s">
        <v>4310</v>
      </c>
      <c r="C269" t="s">
        <v>4789</v>
      </c>
      <c r="E269">
        <v>8</v>
      </c>
      <c r="F269">
        <v>10</v>
      </c>
      <c r="G269">
        <v>2015</v>
      </c>
      <c r="H269">
        <v>1</v>
      </c>
      <c r="I269">
        <v>2</v>
      </c>
      <c r="K269" s="13"/>
      <c r="L269" s="13" t="str">
        <f t="shared" si="6"/>
        <v>BC2_8_10_2</v>
      </c>
      <c r="M269" s="14" t="s">
        <v>4311</v>
      </c>
    </row>
    <row r="270" spans="1:13">
      <c r="A270" t="s">
        <v>4788</v>
      </c>
      <c r="B270" s="12" t="s">
        <v>4310</v>
      </c>
      <c r="C270" t="s">
        <v>4789</v>
      </c>
      <c r="E270">
        <v>8</v>
      </c>
      <c r="F270">
        <v>10</v>
      </c>
      <c r="G270">
        <v>2015</v>
      </c>
      <c r="H270">
        <v>1</v>
      </c>
      <c r="I270">
        <v>2</v>
      </c>
      <c r="K270" s="13"/>
      <c r="L270" s="13" t="str">
        <f t="shared" si="6"/>
        <v>BC2_8_10_2</v>
      </c>
      <c r="M270" s="14" t="s">
        <v>4311</v>
      </c>
    </row>
    <row r="271" spans="1:13">
      <c r="A271" t="s">
        <v>4788</v>
      </c>
      <c r="B271" s="12" t="s">
        <v>4310</v>
      </c>
      <c r="C271" t="s">
        <v>4789</v>
      </c>
      <c r="E271">
        <v>8</v>
      </c>
      <c r="F271">
        <v>10</v>
      </c>
      <c r="G271">
        <v>2015</v>
      </c>
      <c r="H271">
        <v>1</v>
      </c>
      <c r="I271">
        <v>2</v>
      </c>
      <c r="K271" s="13"/>
      <c r="L271" s="13" t="str">
        <f t="shared" si="6"/>
        <v>BC2_8_10_2</v>
      </c>
      <c r="M271" s="14" t="s">
        <v>4311</v>
      </c>
    </row>
    <row r="272" spans="1:13">
      <c r="A272" t="s">
        <v>4788</v>
      </c>
      <c r="B272" s="12" t="s">
        <v>4310</v>
      </c>
      <c r="C272" t="s">
        <v>4789</v>
      </c>
      <c r="E272">
        <v>8</v>
      </c>
      <c r="F272">
        <v>10</v>
      </c>
      <c r="G272">
        <v>2015</v>
      </c>
      <c r="H272">
        <v>1</v>
      </c>
      <c r="I272">
        <v>2</v>
      </c>
      <c r="K272" s="13"/>
      <c r="L272" s="13" t="str">
        <f t="shared" si="6"/>
        <v>BC2_8_10_2</v>
      </c>
      <c r="M272" s="14" t="s">
        <v>4311</v>
      </c>
    </row>
    <row r="273" spans="1:13">
      <c r="A273" t="s">
        <v>4788</v>
      </c>
      <c r="B273" s="12" t="s">
        <v>4310</v>
      </c>
      <c r="C273" t="s">
        <v>4789</v>
      </c>
      <c r="E273">
        <v>8</v>
      </c>
      <c r="F273">
        <v>10</v>
      </c>
      <c r="G273">
        <v>2015</v>
      </c>
      <c r="H273">
        <v>1</v>
      </c>
      <c r="I273">
        <v>2</v>
      </c>
      <c r="K273" s="13"/>
      <c r="L273" s="13" t="str">
        <f t="shared" si="6"/>
        <v>BC2_8_10_2</v>
      </c>
      <c r="M273" s="14" t="s">
        <v>4311</v>
      </c>
    </row>
    <row r="274" spans="1:13">
      <c r="A274" t="s">
        <v>4788</v>
      </c>
      <c r="B274" s="12" t="s">
        <v>4310</v>
      </c>
      <c r="C274" t="s">
        <v>4789</v>
      </c>
      <c r="E274">
        <v>8</v>
      </c>
      <c r="F274">
        <v>10</v>
      </c>
      <c r="G274">
        <v>2015</v>
      </c>
      <c r="H274">
        <v>1</v>
      </c>
      <c r="I274">
        <v>2</v>
      </c>
      <c r="K274" s="13"/>
      <c r="L274" s="13" t="str">
        <f t="shared" si="6"/>
        <v>BC2_8_10_2</v>
      </c>
      <c r="M274" s="14" t="s">
        <v>4311</v>
      </c>
    </row>
    <row r="275" spans="1:13">
      <c r="A275" t="s">
        <v>4788</v>
      </c>
      <c r="B275" s="12" t="s">
        <v>4310</v>
      </c>
      <c r="C275" t="s">
        <v>4789</v>
      </c>
      <c r="E275">
        <v>8</v>
      </c>
      <c r="F275">
        <v>10</v>
      </c>
      <c r="G275">
        <v>2015</v>
      </c>
      <c r="H275">
        <v>1</v>
      </c>
      <c r="I275">
        <v>3</v>
      </c>
      <c r="K275" s="13"/>
      <c r="L275" s="13" t="str">
        <f t="shared" si="6"/>
        <v>BC2_8_10_3</v>
      </c>
      <c r="M275" s="14" t="s">
        <v>5050</v>
      </c>
    </row>
    <row r="276" spans="1:13">
      <c r="A276" t="s">
        <v>4788</v>
      </c>
      <c r="B276" s="12" t="s">
        <v>4310</v>
      </c>
      <c r="C276" t="s">
        <v>4789</v>
      </c>
      <c r="E276">
        <v>8</v>
      </c>
      <c r="F276">
        <v>10</v>
      </c>
      <c r="G276">
        <v>2015</v>
      </c>
      <c r="H276">
        <v>1</v>
      </c>
      <c r="I276">
        <v>40</v>
      </c>
      <c r="K276" s="13"/>
      <c r="L276" s="13" t="str">
        <f t="shared" si="6"/>
        <v>BC2_8_10_40</v>
      </c>
      <c r="M276" s="14" t="s">
        <v>5051</v>
      </c>
    </row>
    <row r="277" spans="1:13">
      <c r="A277" t="s">
        <v>5052</v>
      </c>
      <c r="B277" s="12" t="s">
        <v>5053</v>
      </c>
      <c r="C277" t="s">
        <v>5054</v>
      </c>
      <c r="E277">
        <v>8</v>
      </c>
      <c r="F277">
        <v>20</v>
      </c>
      <c r="G277">
        <v>2015</v>
      </c>
      <c r="H277">
        <v>34</v>
      </c>
      <c r="I277">
        <v>10</v>
      </c>
      <c r="K277" s="13"/>
      <c r="L277" s="13" t="str">
        <f t="shared" si="6"/>
        <v>CEM_8_20_10</v>
      </c>
      <c r="M277" s="14" t="s">
        <v>5055</v>
      </c>
    </row>
    <row r="278" spans="1:13">
      <c r="A278" t="s">
        <v>5052</v>
      </c>
      <c r="B278" s="12" t="s">
        <v>5053</v>
      </c>
      <c r="C278" t="s">
        <v>5054</v>
      </c>
      <c r="E278">
        <v>8</v>
      </c>
      <c r="F278">
        <v>20</v>
      </c>
      <c r="G278">
        <v>2015</v>
      </c>
      <c r="H278">
        <v>34</v>
      </c>
      <c r="I278">
        <v>20</v>
      </c>
      <c r="K278" s="13"/>
      <c r="L278" s="13" t="str">
        <f t="shared" si="6"/>
        <v>CEM_8_20_20</v>
      </c>
      <c r="M278" s="14" t="s">
        <v>5056</v>
      </c>
    </row>
    <row r="279" spans="1:13">
      <c r="A279" t="s">
        <v>5052</v>
      </c>
      <c r="B279" s="12" t="s">
        <v>5053</v>
      </c>
      <c r="C279" t="s">
        <v>5054</v>
      </c>
      <c r="E279">
        <v>8</v>
      </c>
      <c r="F279">
        <v>20</v>
      </c>
      <c r="G279">
        <v>2015</v>
      </c>
      <c r="H279">
        <v>34</v>
      </c>
      <c r="I279">
        <v>32</v>
      </c>
      <c r="L279" s="13" t="str">
        <f t="shared" si="6"/>
        <v>CEM_8_20_32</v>
      </c>
      <c r="M279" s="14" t="s">
        <v>5057</v>
      </c>
    </row>
    <row r="280" spans="1:13">
      <c r="A280" t="s">
        <v>5052</v>
      </c>
      <c r="B280" s="12" t="s">
        <v>5053</v>
      </c>
      <c r="C280" t="s">
        <v>5054</v>
      </c>
      <c r="E280">
        <v>8</v>
      </c>
      <c r="F280">
        <v>20</v>
      </c>
      <c r="G280">
        <v>2015</v>
      </c>
      <c r="H280">
        <v>34</v>
      </c>
      <c r="I280">
        <v>42</v>
      </c>
      <c r="L280" s="13" t="str">
        <f t="shared" si="6"/>
        <v>CEM_8_20_42</v>
      </c>
      <c r="M280" s="14" t="s">
        <v>5058</v>
      </c>
    </row>
    <row r="281" spans="1:13">
      <c r="A281" t="s">
        <v>5052</v>
      </c>
      <c r="B281" s="12" t="s">
        <v>5053</v>
      </c>
      <c r="C281" t="s">
        <v>5054</v>
      </c>
      <c r="E281">
        <v>8</v>
      </c>
      <c r="F281">
        <v>20</v>
      </c>
      <c r="G281">
        <v>2015</v>
      </c>
      <c r="H281">
        <v>34</v>
      </c>
      <c r="I281">
        <v>5</v>
      </c>
      <c r="L281" s="13" t="str">
        <f t="shared" si="6"/>
        <v>CEM_8_20_5</v>
      </c>
      <c r="M281" s="14" t="s">
        <v>5059</v>
      </c>
    </row>
    <row r="282" spans="1:13">
      <c r="A282" t="s">
        <v>630</v>
      </c>
      <c r="B282" s="12" t="s">
        <v>4358</v>
      </c>
      <c r="C282" t="s">
        <v>4793</v>
      </c>
      <c r="E282">
        <v>8</v>
      </c>
      <c r="F282">
        <v>13</v>
      </c>
      <c r="G282">
        <v>2015</v>
      </c>
      <c r="H282">
        <v>10</v>
      </c>
      <c r="I282">
        <v>16</v>
      </c>
      <c r="K282" s="13"/>
      <c r="L282" s="13" t="str">
        <f t="shared" si="6"/>
        <v>CL0_8_13_16</v>
      </c>
      <c r="M282" s="14" t="s">
        <v>5060</v>
      </c>
    </row>
    <row r="283" spans="1:13">
      <c r="A283" t="s">
        <v>162</v>
      </c>
      <c r="B283" s="12" t="s">
        <v>4367</v>
      </c>
      <c r="C283" t="s">
        <v>4797</v>
      </c>
      <c r="E283">
        <v>8</v>
      </c>
      <c r="F283">
        <v>13</v>
      </c>
      <c r="G283">
        <v>2015</v>
      </c>
      <c r="H283">
        <v>12</v>
      </c>
      <c r="I283">
        <v>10</v>
      </c>
      <c r="K283" s="13"/>
      <c r="L283" s="13" t="str">
        <f t="shared" si="6"/>
        <v>CL1_8_13_10</v>
      </c>
      <c r="M283" s="14" t="s">
        <v>5061</v>
      </c>
    </row>
    <row r="284" spans="1:13">
      <c r="A284" t="s">
        <v>162</v>
      </c>
      <c r="B284" s="12" t="s">
        <v>4367</v>
      </c>
      <c r="C284" t="s">
        <v>4797</v>
      </c>
      <c r="E284">
        <v>8</v>
      </c>
      <c r="F284">
        <v>13</v>
      </c>
      <c r="G284">
        <v>2015</v>
      </c>
      <c r="H284">
        <v>12</v>
      </c>
      <c r="I284">
        <v>10</v>
      </c>
      <c r="K284" s="13"/>
      <c r="L284" s="13" t="str">
        <f t="shared" si="6"/>
        <v>CL1_8_13_10</v>
      </c>
      <c r="M284" s="14" t="s">
        <v>5061</v>
      </c>
    </row>
    <row r="285" spans="1:13">
      <c r="A285" t="s">
        <v>162</v>
      </c>
      <c r="B285" s="12" t="s">
        <v>4367</v>
      </c>
      <c r="C285" t="s">
        <v>4797</v>
      </c>
      <c r="E285">
        <v>8</v>
      </c>
      <c r="F285">
        <v>13</v>
      </c>
      <c r="G285">
        <v>2015</v>
      </c>
      <c r="H285">
        <v>12</v>
      </c>
      <c r="I285">
        <v>21</v>
      </c>
      <c r="K285" s="13"/>
      <c r="L285" s="13" t="str">
        <f t="shared" si="6"/>
        <v>CL1_8_13_21</v>
      </c>
      <c r="M285" s="14" t="s">
        <v>5062</v>
      </c>
    </row>
    <row r="286" spans="1:13">
      <c r="A286" t="s">
        <v>162</v>
      </c>
      <c r="B286" s="12" t="s">
        <v>4367</v>
      </c>
      <c r="C286" t="s">
        <v>4797</v>
      </c>
      <c r="E286">
        <v>8</v>
      </c>
      <c r="F286">
        <v>13</v>
      </c>
      <c r="G286">
        <v>2015</v>
      </c>
      <c r="H286">
        <v>12</v>
      </c>
      <c r="I286">
        <v>21</v>
      </c>
      <c r="K286" s="13"/>
      <c r="L286" s="13" t="str">
        <f t="shared" si="6"/>
        <v>CL1_8_13_21</v>
      </c>
      <c r="M286" s="14" t="s">
        <v>5062</v>
      </c>
    </row>
    <row r="287" spans="1:13">
      <c r="A287" t="s">
        <v>162</v>
      </c>
      <c r="B287" s="12" t="s">
        <v>4367</v>
      </c>
      <c r="C287" t="s">
        <v>4797</v>
      </c>
      <c r="E287">
        <v>8</v>
      </c>
      <c r="F287">
        <v>13</v>
      </c>
      <c r="G287">
        <v>2015</v>
      </c>
      <c r="H287">
        <v>12</v>
      </c>
      <c r="I287">
        <v>31</v>
      </c>
      <c r="K287" s="13"/>
      <c r="L287" s="13" t="str">
        <f t="shared" si="6"/>
        <v>CL1_8_13_31</v>
      </c>
      <c r="M287" s="14" t="s">
        <v>5063</v>
      </c>
    </row>
    <row r="288" spans="1:13">
      <c r="A288" t="s">
        <v>162</v>
      </c>
      <c r="B288" s="12" t="s">
        <v>4367</v>
      </c>
      <c r="C288" t="s">
        <v>4797</v>
      </c>
      <c r="E288">
        <v>8</v>
      </c>
      <c r="F288">
        <v>13</v>
      </c>
      <c r="G288">
        <v>2015</v>
      </c>
      <c r="H288">
        <v>12</v>
      </c>
      <c r="I288">
        <v>31</v>
      </c>
      <c r="K288" s="13"/>
      <c r="L288" s="13" t="str">
        <f t="shared" si="6"/>
        <v>CL1_8_13_31</v>
      </c>
      <c r="M288" s="14" t="s">
        <v>5063</v>
      </c>
    </row>
    <row r="289" spans="1:13">
      <c r="A289" t="s">
        <v>162</v>
      </c>
      <c r="B289" s="12" t="s">
        <v>4367</v>
      </c>
      <c r="C289" t="s">
        <v>4797</v>
      </c>
      <c r="E289">
        <v>8</v>
      </c>
      <c r="F289">
        <v>13</v>
      </c>
      <c r="G289">
        <v>2015</v>
      </c>
      <c r="H289">
        <v>12</v>
      </c>
      <c r="I289">
        <v>4</v>
      </c>
      <c r="L289" s="13" t="str">
        <f t="shared" si="6"/>
        <v>CL1_8_13_4</v>
      </c>
      <c r="M289" s="14" t="s">
        <v>5064</v>
      </c>
    </row>
    <row r="290" spans="1:13">
      <c r="A290" t="s">
        <v>162</v>
      </c>
      <c r="B290" s="12" t="s">
        <v>4367</v>
      </c>
      <c r="C290" t="s">
        <v>4797</v>
      </c>
      <c r="E290">
        <v>8</v>
      </c>
      <c r="F290">
        <v>13</v>
      </c>
      <c r="G290">
        <v>2015</v>
      </c>
      <c r="H290">
        <v>12</v>
      </c>
      <c r="I290">
        <v>4</v>
      </c>
      <c r="K290" s="13"/>
      <c r="L290" s="13" t="str">
        <f t="shared" si="6"/>
        <v>CL1_8_13_4</v>
      </c>
      <c r="M290" s="14" t="s">
        <v>5064</v>
      </c>
    </row>
    <row r="291" spans="1:13">
      <c r="A291" t="s">
        <v>162</v>
      </c>
      <c r="B291" s="12" t="s">
        <v>4367</v>
      </c>
      <c r="C291" t="s">
        <v>4797</v>
      </c>
      <c r="E291">
        <v>8</v>
      </c>
      <c r="F291">
        <v>13</v>
      </c>
      <c r="G291">
        <v>2015</v>
      </c>
      <c r="H291">
        <v>12</v>
      </c>
      <c r="I291">
        <v>41</v>
      </c>
      <c r="K291" s="13"/>
      <c r="L291" s="13" t="str">
        <f t="shared" si="6"/>
        <v>CL1_8_13_41</v>
      </c>
      <c r="M291" s="14" t="s">
        <v>4368</v>
      </c>
    </row>
    <row r="292" spans="1:13">
      <c r="A292" t="s">
        <v>658</v>
      </c>
      <c r="B292" s="12" t="s">
        <v>5065</v>
      </c>
      <c r="C292" t="s">
        <v>5066</v>
      </c>
      <c r="E292">
        <v>8</v>
      </c>
      <c r="F292">
        <v>14</v>
      </c>
      <c r="G292">
        <v>2015</v>
      </c>
      <c r="H292">
        <v>16</v>
      </c>
      <c r="I292">
        <v>21</v>
      </c>
      <c r="K292" s="13"/>
      <c r="L292" s="13" t="str">
        <f t="shared" si="6"/>
        <v>CL1.5_8_14_21</v>
      </c>
      <c r="M292" s="14" t="s">
        <v>5067</v>
      </c>
    </row>
    <row r="293" spans="1:13">
      <c r="A293" t="s">
        <v>658</v>
      </c>
      <c r="B293" s="12" t="s">
        <v>5065</v>
      </c>
      <c r="C293" t="s">
        <v>5066</v>
      </c>
      <c r="E293">
        <v>8</v>
      </c>
      <c r="F293">
        <v>14</v>
      </c>
      <c r="G293">
        <v>2015</v>
      </c>
      <c r="H293">
        <v>16</v>
      </c>
      <c r="I293">
        <v>30</v>
      </c>
      <c r="K293" s="13"/>
      <c r="L293" s="13" t="str">
        <f t="shared" si="6"/>
        <v>CL1.5_8_14_30</v>
      </c>
      <c r="M293" s="14" t="s">
        <v>5068</v>
      </c>
    </row>
    <row r="294" spans="1:13">
      <c r="A294" t="s">
        <v>658</v>
      </c>
      <c r="B294" s="12" t="s">
        <v>5065</v>
      </c>
      <c r="C294" t="s">
        <v>5066</v>
      </c>
      <c r="E294">
        <v>8</v>
      </c>
      <c r="F294">
        <v>14</v>
      </c>
      <c r="G294">
        <v>2015</v>
      </c>
      <c r="H294">
        <v>16</v>
      </c>
      <c r="I294">
        <v>4</v>
      </c>
      <c r="L294" s="13" t="str">
        <f t="shared" si="6"/>
        <v>CL1.5_8_14_4</v>
      </c>
      <c r="M294" s="14" t="s">
        <v>5069</v>
      </c>
    </row>
    <row r="295" spans="1:13">
      <c r="A295" t="s">
        <v>658</v>
      </c>
      <c r="B295" s="12" t="s">
        <v>5065</v>
      </c>
      <c r="C295" t="s">
        <v>5066</v>
      </c>
      <c r="E295">
        <v>8</v>
      </c>
      <c r="F295">
        <v>14</v>
      </c>
      <c r="G295">
        <v>2015</v>
      </c>
      <c r="H295">
        <v>16</v>
      </c>
      <c r="I295">
        <v>42</v>
      </c>
      <c r="L295" s="13" t="str">
        <f t="shared" si="6"/>
        <v>CL1.5_8_14_42</v>
      </c>
      <c r="M295" s="14" t="s">
        <v>5070</v>
      </c>
    </row>
    <row r="296" spans="1:13">
      <c r="A296" t="s">
        <v>658</v>
      </c>
      <c r="B296" s="12" t="s">
        <v>5065</v>
      </c>
      <c r="C296" t="s">
        <v>5066</v>
      </c>
      <c r="E296">
        <v>8</v>
      </c>
      <c r="F296">
        <v>14</v>
      </c>
      <c r="G296">
        <v>2015</v>
      </c>
      <c r="H296">
        <v>16</v>
      </c>
      <c r="I296">
        <v>9</v>
      </c>
      <c r="L296" s="13" t="str">
        <f t="shared" si="6"/>
        <v>CL1.5_8_14_9</v>
      </c>
      <c r="M296" s="14" t="s">
        <v>5071</v>
      </c>
    </row>
    <row r="297" spans="1:13">
      <c r="A297" t="s">
        <v>676</v>
      </c>
      <c r="B297" s="12" t="s">
        <v>4393</v>
      </c>
      <c r="C297" t="s">
        <v>4800</v>
      </c>
      <c r="E297">
        <v>8</v>
      </c>
      <c r="F297">
        <v>14</v>
      </c>
      <c r="G297">
        <v>2015</v>
      </c>
      <c r="H297">
        <v>15</v>
      </c>
      <c r="I297">
        <v>20</v>
      </c>
      <c r="L297" s="13" t="str">
        <f t="shared" si="6"/>
        <v>CL2_8_14_20</v>
      </c>
      <c r="M297" s="14" t="s">
        <v>5072</v>
      </c>
    </row>
    <row r="298" spans="1:13">
      <c r="A298" t="s">
        <v>676</v>
      </c>
      <c r="B298" s="12" t="s">
        <v>4393</v>
      </c>
      <c r="C298" t="s">
        <v>4800</v>
      </c>
      <c r="E298">
        <v>8</v>
      </c>
      <c r="F298">
        <v>14</v>
      </c>
      <c r="G298">
        <v>2015</v>
      </c>
      <c r="H298">
        <v>15</v>
      </c>
      <c r="I298">
        <v>3</v>
      </c>
      <c r="K298" s="13"/>
      <c r="L298" s="13" t="str">
        <f t="shared" si="6"/>
        <v>CL2_8_14_3</v>
      </c>
      <c r="M298" s="14" t="s">
        <v>5073</v>
      </c>
    </row>
    <row r="299" spans="1:13">
      <c r="A299" t="s">
        <v>676</v>
      </c>
      <c r="B299" s="12" t="s">
        <v>4393</v>
      </c>
      <c r="C299" t="s">
        <v>4800</v>
      </c>
      <c r="E299">
        <v>8</v>
      </c>
      <c r="F299">
        <v>14</v>
      </c>
      <c r="G299">
        <v>2015</v>
      </c>
      <c r="H299">
        <v>15</v>
      </c>
      <c r="I299">
        <v>30</v>
      </c>
      <c r="K299" s="13"/>
      <c r="L299" s="13" t="str">
        <f t="shared" si="6"/>
        <v>CL2_8_14_30</v>
      </c>
      <c r="M299" s="14" t="s">
        <v>5074</v>
      </c>
    </row>
    <row r="300" spans="1:13">
      <c r="A300" t="s">
        <v>690</v>
      </c>
      <c r="B300" s="12" t="s">
        <v>4401</v>
      </c>
      <c r="C300" t="s">
        <v>4804</v>
      </c>
      <c r="E300">
        <v>8</v>
      </c>
      <c r="F300">
        <v>14</v>
      </c>
      <c r="G300">
        <v>2015</v>
      </c>
      <c r="H300">
        <v>14</v>
      </c>
      <c r="I300">
        <v>10</v>
      </c>
      <c r="K300" s="13"/>
      <c r="L300" s="13" t="str">
        <f t="shared" si="6"/>
        <v>CL2.5_8_14_10</v>
      </c>
      <c r="M300" s="14" t="s">
        <v>5075</v>
      </c>
    </row>
    <row r="301" spans="1:13">
      <c r="A301" t="s">
        <v>690</v>
      </c>
      <c r="B301" s="12" t="s">
        <v>4401</v>
      </c>
      <c r="C301" t="s">
        <v>4804</v>
      </c>
      <c r="E301">
        <v>8</v>
      </c>
      <c r="F301">
        <v>14</v>
      </c>
      <c r="G301">
        <v>2015</v>
      </c>
      <c r="H301">
        <v>14</v>
      </c>
      <c r="I301">
        <v>29</v>
      </c>
      <c r="K301" s="13"/>
      <c r="L301" s="13" t="str">
        <f t="shared" si="6"/>
        <v>CL2.5_8_14_29</v>
      </c>
      <c r="M301" s="14" t="s">
        <v>5076</v>
      </c>
    </row>
    <row r="302" spans="1:13">
      <c r="A302" t="s">
        <v>196</v>
      </c>
      <c r="B302" s="12" t="s">
        <v>4409</v>
      </c>
      <c r="C302" t="s">
        <v>4808</v>
      </c>
      <c r="E302">
        <v>8</v>
      </c>
      <c r="F302">
        <v>14</v>
      </c>
      <c r="G302">
        <v>2015</v>
      </c>
      <c r="H302">
        <v>13</v>
      </c>
      <c r="I302">
        <v>11</v>
      </c>
      <c r="L302" s="13" t="str">
        <f t="shared" si="6"/>
        <v>CL3_8_14_11</v>
      </c>
      <c r="M302" s="14" t="s">
        <v>5077</v>
      </c>
    </row>
    <row r="303" spans="1:13">
      <c r="A303" t="s">
        <v>196</v>
      </c>
      <c r="B303" s="12" t="s">
        <v>4409</v>
      </c>
      <c r="C303" t="s">
        <v>4808</v>
      </c>
      <c r="E303">
        <v>8</v>
      </c>
      <c r="F303">
        <v>14</v>
      </c>
      <c r="G303">
        <v>2015</v>
      </c>
      <c r="H303">
        <v>13</v>
      </c>
      <c r="I303">
        <v>21</v>
      </c>
      <c r="K303" s="13"/>
      <c r="L303" s="13" t="str">
        <f t="shared" si="6"/>
        <v>CL3_8_14_21</v>
      </c>
      <c r="M303" s="14" t="s">
        <v>4410</v>
      </c>
    </row>
    <row r="304" spans="1:13">
      <c r="A304" t="s">
        <v>196</v>
      </c>
      <c r="B304" s="12" t="s">
        <v>4409</v>
      </c>
      <c r="C304" t="s">
        <v>4808</v>
      </c>
      <c r="E304">
        <v>8</v>
      </c>
      <c r="F304">
        <v>14</v>
      </c>
      <c r="G304">
        <v>2015</v>
      </c>
      <c r="H304">
        <v>13</v>
      </c>
      <c r="I304">
        <v>30</v>
      </c>
      <c r="K304" s="13"/>
      <c r="L304" s="13" t="str">
        <f t="shared" si="6"/>
        <v>CL3_8_14_30</v>
      </c>
      <c r="M304" s="14" t="s">
        <v>5078</v>
      </c>
    </row>
    <row r="305" spans="1:13">
      <c r="A305" t="s">
        <v>999</v>
      </c>
      <c r="B305" s="12" t="s">
        <v>4371</v>
      </c>
      <c r="C305" t="s">
        <v>4812</v>
      </c>
      <c r="E305">
        <v>8</v>
      </c>
      <c r="F305">
        <v>13</v>
      </c>
      <c r="G305">
        <v>2015</v>
      </c>
      <c r="H305">
        <v>9</v>
      </c>
      <c r="I305">
        <v>22</v>
      </c>
      <c r="K305" s="13"/>
      <c r="L305" s="13" t="str">
        <f t="shared" si="6"/>
        <v>DBO3.1_8_13_22</v>
      </c>
      <c r="M305" s="14" t="s">
        <v>5079</v>
      </c>
    </row>
    <row r="306" spans="1:13">
      <c r="A306" t="s">
        <v>999</v>
      </c>
      <c r="B306" s="12" t="s">
        <v>4371</v>
      </c>
      <c r="C306" t="s">
        <v>4812</v>
      </c>
      <c r="E306">
        <v>8</v>
      </c>
      <c r="F306">
        <v>13</v>
      </c>
      <c r="G306">
        <v>2015</v>
      </c>
      <c r="H306">
        <v>9</v>
      </c>
      <c r="I306">
        <v>5</v>
      </c>
      <c r="K306" s="13"/>
      <c r="L306" s="13" t="str">
        <f t="shared" si="6"/>
        <v>DBO3.1_8_13_5</v>
      </c>
      <c r="M306" s="14" t="s">
        <v>4376</v>
      </c>
    </row>
    <row r="307" spans="1:13">
      <c r="A307" t="s">
        <v>1013</v>
      </c>
      <c r="B307" s="12" t="s">
        <v>4379</v>
      </c>
      <c r="C307" t="s">
        <v>4816</v>
      </c>
      <c r="E307">
        <v>8</v>
      </c>
      <c r="F307">
        <v>13</v>
      </c>
      <c r="G307">
        <v>2015</v>
      </c>
      <c r="H307">
        <v>8</v>
      </c>
      <c r="I307">
        <v>10</v>
      </c>
      <c r="K307" s="13"/>
      <c r="L307" s="13" t="str">
        <f t="shared" si="6"/>
        <v>DBO3.2_8_13_10</v>
      </c>
      <c r="M307" s="14" t="s">
        <v>5080</v>
      </c>
    </row>
    <row r="308" spans="1:13">
      <c r="A308" t="s">
        <v>1013</v>
      </c>
      <c r="B308" s="12" t="s">
        <v>4379</v>
      </c>
      <c r="C308" t="s">
        <v>4816</v>
      </c>
      <c r="E308">
        <v>8</v>
      </c>
      <c r="F308">
        <v>13</v>
      </c>
      <c r="G308">
        <v>2015</v>
      </c>
      <c r="H308">
        <v>8</v>
      </c>
      <c r="I308">
        <v>29</v>
      </c>
      <c r="K308" s="13"/>
      <c r="L308" s="13" t="str">
        <f t="shared" si="6"/>
        <v>DBO3.2_8_13_29</v>
      </c>
      <c r="M308" s="14" t="s">
        <v>5081</v>
      </c>
    </row>
    <row r="309" spans="1:13">
      <c r="A309" t="s">
        <v>1013</v>
      </c>
      <c r="B309" s="12" t="s">
        <v>4379</v>
      </c>
      <c r="C309" t="s">
        <v>4816</v>
      </c>
      <c r="E309">
        <v>8</v>
      </c>
      <c r="F309">
        <v>13</v>
      </c>
      <c r="G309">
        <v>2015</v>
      </c>
      <c r="H309">
        <v>8</v>
      </c>
      <c r="I309">
        <v>4</v>
      </c>
      <c r="K309" s="13"/>
      <c r="L309" s="13" t="str">
        <f t="shared" si="6"/>
        <v>DBO3.2_8_13_4</v>
      </c>
      <c r="M309" s="14" t="s">
        <v>4382</v>
      </c>
    </row>
    <row r="310" spans="1:13">
      <c r="A310" t="s">
        <v>304</v>
      </c>
      <c r="B310" s="12" t="s">
        <v>4387</v>
      </c>
      <c r="C310" t="s">
        <v>4820</v>
      </c>
      <c r="E310">
        <v>8</v>
      </c>
      <c r="F310">
        <v>13</v>
      </c>
      <c r="G310">
        <v>2015</v>
      </c>
      <c r="H310">
        <v>7</v>
      </c>
      <c r="I310">
        <v>10</v>
      </c>
      <c r="K310" s="13"/>
      <c r="L310" s="13" t="str">
        <f t="shared" si="6"/>
        <v>DBO3.3_8_13_10</v>
      </c>
      <c r="M310" s="14" t="s">
        <v>5082</v>
      </c>
    </row>
    <row r="311" spans="1:13">
      <c r="A311" t="s">
        <v>304</v>
      </c>
      <c r="B311" s="12" t="s">
        <v>4387</v>
      </c>
      <c r="C311" t="s">
        <v>4820</v>
      </c>
      <c r="E311">
        <v>8</v>
      </c>
      <c r="F311">
        <v>13</v>
      </c>
      <c r="G311">
        <v>2015</v>
      </c>
      <c r="H311">
        <v>7</v>
      </c>
      <c r="I311">
        <v>21</v>
      </c>
      <c r="K311" s="13"/>
      <c r="L311" s="13" t="str">
        <f t="shared" si="6"/>
        <v>DBO3.3_8_13_21</v>
      </c>
      <c r="M311" s="14" t="s">
        <v>5083</v>
      </c>
    </row>
    <row r="312" spans="1:13">
      <c r="A312" t="s">
        <v>304</v>
      </c>
      <c r="B312" s="12" t="s">
        <v>4387</v>
      </c>
      <c r="C312" t="s">
        <v>4820</v>
      </c>
      <c r="E312">
        <v>8</v>
      </c>
      <c r="F312">
        <v>13</v>
      </c>
      <c r="G312">
        <v>2015</v>
      </c>
      <c r="H312">
        <v>7</v>
      </c>
      <c r="I312">
        <v>30</v>
      </c>
      <c r="K312" s="13"/>
      <c r="L312" s="13" t="str">
        <f t="shared" si="6"/>
        <v>DBO3.3_8_13_30</v>
      </c>
      <c r="M312" s="14" t="s">
        <v>5084</v>
      </c>
    </row>
    <row r="313" spans="1:13">
      <c r="A313" t="s">
        <v>304</v>
      </c>
      <c r="B313" s="12" t="s">
        <v>4387</v>
      </c>
      <c r="C313" t="s">
        <v>4820</v>
      </c>
      <c r="E313">
        <v>8</v>
      </c>
      <c r="F313">
        <v>13</v>
      </c>
      <c r="G313">
        <v>2015</v>
      </c>
      <c r="H313">
        <v>7</v>
      </c>
      <c r="I313">
        <v>5</v>
      </c>
      <c r="K313" s="13"/>
      <c r="L313" s="13" t="str">
        <f t="shared" si="6"/>
        <v>DBO3.3_8_13_5</v>
      </c>
      <c r="M313" s="14" t="s">
        <v>4390</v>
      </c>
    </row>
    <row r="314" spans="1:13">
      <c r="A314" t="s">
        <v>1036</v>
      </c>
      <c r="B314" s="12" t="s">
        <v>4318</v>
      </c>
      <c r="C314" t="s">
        <v>4823</v>
      </c>
      <c r="E314">
        <v>8</v>
      </c>
      <c r="F314">
        <v>12</v>
      </c>
      <c r="G314">
        <v>2015</v>
      </c>
      <c r="H314">
        <v>6</v>
      </c>
      <c r="I314">
        <v>10</v>
      </c>
      <c r="K314" s="13"/>
      <c r="L314" s="13" t="str">
        <f t="shared" si="6"/>
        <v>DBO3.4_8_12_10</v>
      </c>
      <c r="M314" s="14" t="s">
        <v>5085</v>
      </c>
    </row>
    <row r="315" spans="1:13">
      <c r="A315" t="s">
        <v>1036</v>
      </c>
      <c r="B315" s="12" t="s">
        <v>4318</v>
      </c>
      <c r="C315" t="s">
        <v>4823</v>
      </c>
      <c r="E315">
        <v>8</v>
      </c>
      <c r="F315">
        <v>12</v>
      </c>
      <c r="G315">
        <v>2015</v>
      </c>
      <c r="H315">
        <v>6</v>
      </c>
      <c r="I315">
        <v>11</v>
      </c>
      <c r="K315" s="13"/>
      <c r="L315" s="13" t="str">
        <f t="shared" si="6"/>
        <v>DBO3.4_8_12_11</v>
      </c>
      <c r="M315" s="14" t="s">
        <v>5086</v>
      </c>
    </row>
    <row r="316" spans="1:13">
      <c r="A316" t="s">
        <v>1036</v>
      </c>
      <c r="B316" s="12" t="s">
        <v>4318</v>
      </c>
      <c r="C316" t="s">
        <v>4823</v>
      </c>
      <c r="E316">
        <v>8</v>
      </c>
      <c r="F316">
        <v>12</v>
      </c>
      <c r="G316">
        <v>2015</v>
      </c>
      <c r="H316">
        <v>6</v>
      </c>
      <c r="I316">
        <v>2</v>
      </c>
      <c r="K316" s="13"/>
      <c r="L316" s="13" t="str">
        <f t="shared" si="6"/>
        <v>DBO3.4_8_12_2</v>
      </c>
      <c r="M316" s="14" t="s">
        <v>5087</v>
      </c>
    </row>
    <row r="317" spans="1:13">
      <c r="A317" t="s">
        <v>1036</v>
      </c>
      <c r="B317" s="12" t="s">
        <v>4318</v>
      </c>
      <c r="C317" t="s">
        <v>4823</v>
      </c>
      <c r="E317">
        <v>8</v>
      </c>
      <c r="F317">
        <v>12</v>
      </c>
      <c r="G317">
        <v>2015</v>
      </c>
      <c r="H317">
        <v>6</v>
      </c>
      <c r="I317">
        <v>21</v>
      </c>
      <c r="K317" s="13"/>
      <c r="L317" s="13" t="str">
        <f t="shared" si="6"/>
        <v>DBO3.4_8_12_21</v>
      </c>
      <c r="M317" s="14" t="s">
        <v>4321</v>
      </c>
    </row>
    <row r="318" spans="1:13">
      <c r="A318" t="s">
        <v>1036</v>
      </c>
      <c r="B318" s="12" t="s">
        <v>4318</v>
      </c>
      <c r="C318" t="s">
        <v>4823</v>
      </c>
      <c r="E318">
        <v>8</v>
      </c>
      <c r="F318">
        <v>12</v>
      </c>
      <c r="G318">
        <v>2015</v>
      </c>
      <c r="H318">
        <v>6</v>
      </c>
      <c r="I318">
        <v>31</v>
      </c>
      <c r="K318" s="13"/>
      <c r="L318" s="13" t="str">
        <f t="shared" si="6"/>
        <v>DBO3.4_8_12_31</v>
      </c>
      <c r="M318" s="14" t="s">
        <v>5088</v>
      </c>
    </row>
    <row r="319" spans="1:13">
      <c r="A319" t="s">
        <v>1036</v>
      </c>
      <c r="B319" s="12" t="s">
        <v>4318</v>
      </c>
      <c r="C319" t="s">
        <v>4823</v>
      </c>
      <c r="E319">
        <v>8</v>
      </c>
      <c r="F319">
        <v>12</v>
      </c>
      <c r="G319">
        <v>2015</v>
      </c>
      <c r="H319">
        <v>6</v>
      </c>
      <c r="I319">
        <v>31</v>
      </c>
      <c r="K319" s="13"/>
      <c r="L319" s="13" t="str">
        <f t="shared" si="6"/>
        <v>DBO3.4_8_12_31</v>
      </c>
      <c r="M319" s="14" t="s">
        <v>5088</v>
      </c>
    </row>
    <row r="320" spans="1:13">
      <c r="A320" t="s">
        <v>1036</v>
      </c>
      <c r="B320" s="12" t="s">
        <v>4318</v>
      </c>
      <c r="C320" t="s">
        <v>4823</v>
      </c>
      <c r="E320">
        <v>8</v>
      </c>
      <c r="F320">
        <v>12</v>
      </c>
      <c r="G320">
        <v>2015</v>
      </c>
      <c r="H320">
        <v>6</v>
      </c>
      <c r="I320">
        <v>45</v>
      </c>
      <c r="K320" s="13"/>
      <c r="L320" s="13" t="str">
        <f t="shared" si="6"/>
        <v>DBO3.4_8_12_45</v>
      </c>
      <c r="M320" s="14" t="s">
        <v>5089</v>
      </c>
    </row>
    <row r="321" spans="1:13">
      <c r="A321" t="s">
        <v>1059</v>
      </c>
      <c r="B321" s="12" t="s">
        <v>4326</v>
      </c>
      <c r="C321" t="s">
        <v>4827</v>
      </c>
      <c r="E321">
        <v>8</v>
      </c>
      <c r="F321">
        <v>12</v>
      </c>
      <c r="G321">
        <v>2015</v>
      </c>
      <c r="H321">
        <v>5</v>
      </c>
      <c r="I321">
        <v>11</v>
      </c>
      <c r="K321" s="13"/>
      <c r="L321" s="13" t="str">
        <f t="shared" si="6"/>
        <v>DBO3.5_8_12_11</v>
      </c>
      <c r="M321" s="14" t="s">
        <v>5090</v>
      </c>
    </row>
    <row r="322" spans="1:13">
      <c r="A322" t="s">
        <v>1059</v>
      </c>
      <c r="B322" s="12" t="s">
        <v>4326</v>
      </c>
      <c r="C322" t="s">
        <v>4827</v>
      </c>
      <c r="E322">
        <v>8</v>
      </c>
      <c r="F322">
        <v>12</v>
      </c>
      <c r="G322">
        <v>2015</v>
      </c>
      <c r="H322">
        <v>5</v>
      </c>
      <c r="I322">
        <v>30</v>
      </c>
      <c r="K322" s="13"/>
      <c r="L322" s="13" t="str">
        <f t="shared" si="6"/>
        <v>DBO3.5_8_12_30</v>
      </c>
      <c r="M322" s="14" t="s">
        <v>5091</v>
      </c>
    </row>
    <row r="323" spans="1:13">
      <c r="A323" t="s">
        <v>1059</v>
      </c>
      <c r="B323" s="12" t="s">
        <v>4326</v>
      </c>
      <c r="C323" t="s">
        <v>4827</v>
      </c>
      <c r="E323">
        <v>8</v>
      </c>
      <c r="F323">
        <v>12</v>
      </c>
      <c r="G323">
        <v>2015</v>
      </c>
      <c r="H323">
        <v>5</v>
      </c>
      <c r="I323">
        <v>47</v>
      </c>
      <c r="K323" s="13"/>
      <c r="L323" s="13" t="str">
        <f t="shared" si="6"/>
        <v>DBO3.5_8_12_47</v>
      </c>
      <c r="M323" s="14" t="s">
        <v>4331</v>
      </c>
    </row>
    <row r="324" spans="1:13">
      <c r="A324" t="s">
        <v>1077</v>
      </c>
      <c r="B324" s="12" t="s">
        <v>4334</v>
      </c>
      <c r="C324" t="s">
        <v>4831</v>
      </c>
      <c r="E324">
        <v>8</v>
      </c>
      <c r="F324">
        <v>12</v>
      </c>
      <c r="G324">
        <v>2015</v>
      </c>
      <c r="H324">
        <v>4</v>
      </c>
      <c r="I324">
        <v>30</v>
      </c>
      <c r="K324" s="13"/>
      <c r="L324" s="13" t="str">
        <f t="shared" si="6"/>
        <v>DBO3.6_8_12_30</v>
      </c>
      <c r="M324" s="14" t="s">
        <v>5092</v>
      </c>
    </row>
    <row r="325" spans="1:13">
      <c r="A325" t="s">
        <v>1077</v>
      </c>
      <c r="B325" s="12" t="s">
        <v>4334</v>
      </c>
      <c r="C325" t="s">
        <v>4831</v>
      </c>
      <c r="E325">
        <v>8</v>
      </c>
      <c r="F325">
        <v>12</v>
      </c>
      <c r="G325">
        <v>2015</v>
      </c>
      <c r="H325">
        <v>4</v>
      </c>
      <c r="I325">
        <v>39</v>
      </c>
      <c r="K325" s="13"/>
      <c r="L325" s="13" t="str">
        <f t="shared" si="6"/>
        <v>DBO3.6_8_12_39</v>
      </c>
      <c r="M325" s="14" t="s">
        <v>5093</v>
      </c>
    </row>
    <row r="326" spans="1:13">
      <c r="A326" t="s">
        <v>1077</v>
      </c>
      <c r="B326" s="12" t="s">
        <v>4334</v>
      </c>
      <c r="C326" t="s">
        <v>4831</v>
      </c>
      <c r="E326">
        <v>8</v>
      </c>
      <c r="F326">
        <v>12</v>
      </c>
      <c r="G326">
        <v>2015</v>
      </c>
      <c r="H326">
        <v>4</v>
      </c>
      <c r="I326">
        <v>54</v>
      </c>
      <c r="K326" s="13"/>
      <c r="L326" s="13" t="str">
        <f t="shared" si="6"/>
        <v>DBO3.6_8_12_54</v>
      </c>
      <c r="M326" s="14" t="s">
        <v>4339</v>
      </c>
    </row>
    <row r="327" spans="1:13">
      <c r="A327" t="s">
        <v>1077</v>
      </c>
      <c r="B327" s="12" t="s">
        <v>4334</v>
      </c>
      <c r="C327" t="s">
        <v>4831</v>
      </c>
      <c r="E327">
        <v>8</v>
      </c>
      <c r="F327">
        <v>12</v>
      </c>
      <c r="G327">
        <v>2015</v>
      </c>
      <c r="H327">
        <v>4</v>
      </c>
      <c r="I327">
        <v>9</v>
      </c>
      <c r="K327" s="13"/>
      <c r="L327" s="13" t="str">
        <f t="shared" si="6"/>
        <v>DBO3.6_8_12_9</v>
      </c>
      <c r="M327" s="14" t="s">
        <v>5094</v>
      </c>
    </row>
    <row r="328" spans="1:13">
      <c r="A328" t="s">
        <v>1112</v>
      </c>
      <c r="B328" s="12" t="s">
        <v>4342</v>
      </c>
      <c r="C328" t="s">
        <v>4835</v>
      </c>
      <c r="E328">
        <v>8</v>
      </c>
      <c r="F328">
        <v>12</v>
      </c>
      <c r="G328">
        <v>2015</v>
      </c>
      <c r="H328">
        <v>3</v>
      </c>
      <c r="I328">
        <v>11</v>
      </c>
      <c r="K328" s="13"/>
      <c r="L328" s="13" t="str">
        <f t="shared" si="6"/>
        <v>DBO3.7_8_12_11</v>
      </c>
      <c r="M328" s="14" t="s">
        <v>5095</v>
      </c>
    </row>
    <row r="329" spans="1:13">
      <c r="A329" t="s">
        <v>1112</v>
      </c>
      <c r="B329" s="12" t="s">
        <v>4342</v>
      </c>
      <c r="C329" t="s">
        <v>4835</v>
      </c>
      <c r="E329">
        <v>8</v>
      </c>
      <c r="F329">
        <v>12</v>
      </c>
      <c r="G329">
        <v>2015</v>
      </c>
      <c r="H329">
        <v>3</v>
      </c>
      <c r="I329">
        <v>43</v>
      </c>
      <c r="K329" s="13"/>
      <c r="L329" s="13" t="str">
        <f t="shared" ref="L329:L392" si="7">A329&amp;"_"&amp;E329&amp;"_"&amp;F329&amp;"_"&amp;I329</f>
        <v>DBO3.7_8_12_43</v>
      </c>
      <c r="M329" s="14" t="s">
        <v>5096</v>
      </c>
    </row>
    <row r="330" spans="1:13">
      <c r="A330" t="s">
        <v>1112</v>
      </c>
      <c r="B330" s="12" t="s">
        <v>4342</v>
      </c>
      <c r="C330" t="s">
        <v>4835</v>
      </c>
      <c r="E330">
        <v>8</v>
      </c>
      <c r="F330">
        <v>12</v>
      </c>
      <c r="G330">
        <v>2015</v>
      </c>
      <c r="H330">
        <v>3</v>
      </c>
      <c r="I330">
        <v>5</v>
      </c>
      <c r="K330" s="13"/>
      <c r="L330" s="13" t="str">
        <f t="shared" si="7"/>
        <v>DBO3.7_8_12_5</v>
      </c>
      <c r="M330" s="14" t="s">
        <v>4347</v>
      </c>
    </row>
    <row r="331" spans="1:13">
      <c r="A331" t="s">
        <v>1133</v>
      </c>
      <c r="B331" s="12" t="s">
        <v>4350</v>
      </c>
      <c r="C331" t="s">
        <v>4839</v>
      </c>
      <c r="E331">
        <v>8</v>
      </c>
      <c r="F331">
        <v>12</v>
      </c>
      <c r="G331">
        <v>2015</v>
      </c>
      <c r="H331">
        <v>2</v>
      </c>
      <c r="I331">
        <v>10</v>
      </c>
      <c r="K331" s="13"/>
      <c r="L331" s="13" t="str">
        <f t="shared" si="7"/>
        <v>DBO3.8_8_12_10</v>
      </c>
      <c r="M331" s="14" t="s">
        <v>5097</v>
      </c>
    </row>
    <row r="332" spans="1:13">
      <c r="A332" t="s">
        <v>1133</v>
      </c>
      <c r="B332" s="12" t="s">
        <v>4350</v>
      </c>
      <c r="C332" t="s">
        <v>4839</v>
      </c>
      <c r="E332">
        <v>8</v>
      </c>
      <c r="F332">
        <v>12</v>
      </c>
      <c r="G332">
        <v>2015</v>
      </c>
      <c r="H332">
        <v>2</v>
      </c>
      <c r="I332">
        <v>21</v>
      </c>
      <c r="K332" s="13"/>
      <c r="L332" s="13" t="str">
        <f t="shared" si="7"/>
        <v>DBO3.8_8_12_21</v>
      </c>
      <c r="M332" s="14" t="s">
        <v>5098</v>
      </c>
    </row>
    <row r="333" spans="1:13">
      <c r="A333" t="s">
        <v>1133</v>
      </c>
      <c r="B333" s="12" t="s">
        <v>4350</v>
      </c>
      <c r="C333" t="s">
        <v>4839</v>
      </c>
      <c r="E333">
        <v>8</v>
      </c>
      <c r="F333">
        <v>12</v>
      </c>
      <c r="G333">
        <v>2015</v>
      </c>
      <c r="H333">
        <v>2</v>
      </c>
      <c r="I333">
        <v>31</v>
      </c>
      <c r="K333" s="13"/>
      <c r="L333" s="13" t="str">
        <f t="shared" si="7"/>
        <v>DBO3.8_8_12_31</v>
      </c>
      <c r="M333" s="14" t="s">
        <v>5099</v>
      </c>
    </row>
    <row r="334" spans="1:13">
      <c r="A334" t="s">
        <v>1133</v>
      </c>
      <c r="B334" s="12" t="s">
        <v>4350</v>
      </c>
      <c r="C334" t="s">
        <v>4839</v>
      </c>
      <c r="E334">
        <v>8</v>
      </c>
      <c r="F334">
        <v>12</v>
      </c>
      <c r="G334">
        <v>2015</v>
      </c>
      <c r="H334">
        <v>2</v>
      </c>
      <c r="I334">
        <v>44</v>
      </c>
      <c r="K334" s="13"/>
      <c r="L334" s="13" t="str">
        <f t="shared" si="7"/>
        <v>DBO3.8_8_12_44</v>
      </c>
      <c r="M334" s="14" t="s">
        <v>4355</v>
      </c>
    </row>
    <row r="335" spans="1:13">
      <c r="A335" t="s">
        <v>1133</v>
      </c>
      <c r="B335" s="12" t="s">
        <v>4350</v>
      </c>
      <c r="C335" t="s">
        <v>4839</v>
      </c>
      <c r="E335">
        <v>8</v>
      </c>
      <c r="F335">
        <v>12</v>
      </c>
      <c r="G335">
        <v>2015</v>
      </c>
      <c r="H335">
        <v>2</v>
      </c>
      <c r="I335">
        <v>44</v>
      </c>
      <c r="K335" s="13"/>
      <c r="L335" s="13" t="str">
        <f t="shared" si="7"/>
        <v>DBO3.8_8_12_44</v>
      </c>
      <c r="M335" s="14" t="s">
        <v>4355</v>
      </c>
    </row>
    <row r="336" spans="1:13">
      <c r="A336" t="s">
        <v>1133</v>
      </c>
      <c r="B336" s="12" t="s">
        <v>4350</v>
      </c>
      <c r="C336" t="s">
        <v>4839</v>
      </c>
      <c r="E336">
        <v>8</v>
      </c>
      <c r="F336">
        <v>12</v>
      </c>
      <c r="G336">
        <v>2015</v>
      </c>
      <c r="H336">
        <v>2</v>
      </c>
      <c r="I336">
        <v>44</v>
      </c>
      <c r="K336" s="13"/>
      <c r="L336" s="13" t="str">
        <f t="shared" si="7"/>
        <v>DBO3.8_8_12_44</v>
      </c>
      <c r="M336" s="14" t="s">
        <v>4355</v>
      </c>
    </row>
    <row r="337" spans="1:13">
      <c r="A337" t="s">
        <v>1133</v>
      </c>
      <c r="B337" s="12" t="s">
        <v>4350</v>
      </c>
      <c r="C337" t="s">
        <v>4839</v>
      </c>
      <c r="E337">
        <v>8</v>
      </c>
      <c r="F337">
        <v>12</v>
      </c>
      <c r="G337">
        <v>2015</v>
      </c>
      <c r="H337">
        <v>2</v>
      </c>
      <c r="I337">
        <v>44</v>
      </c>
      <c r="K337" s="13"/>
      <c r="L337" s="13" t="str">
        <f t="shared" si="7"/>
        <v>DBO3.8_8_12_44</v>
      </c>
      <c r="M337" s="14" t="s">
        <v>4355</v>
      </c>
    </row>
    <row r="338" spans="1:13">
      <c r="A338" t="s">
        <v>3382</v>
      </c>
      <c r="B338" s="12" t="s">
        <v>5100</v>
      </c>
      <c r="C338" t="s">
        <v>5101</v>
      </c>
      <c r="E338">
        <v>9</v>
      </c>
      <c r="F338">
        <v>1</v>
      </c>
      <c r="G338">
        <v>2015</v>
      </c>
      <c r="H338">
        <v>79</v>
      </c>
      <c r="I338">
        <v>10</v>
      </c>
      <c r="K338" s="13"/>
      <c r="L338" s="13" t="str">
        <f t="shared" si="7"/>
        <v>ML1.10_9_1_10</v>
      </c>
      <c r="M338" s="14" t="s">
        <v>5102</v>
      </c>
    </row>
    <row r="339" spans="1:13">
      <c r="A339" t="s">
        <v>3382</v>
      </c>
      <c r="B339" s="12" t="s">
        <v>5100</v>
      </c>
      <c r="C339" t="s">
        <v>5101</v>
      </c>
      <c r="E339">
        <v>9</v>
      </c>
      <c r="F339">
        <v>1</v>
      </c>
      <c r="G339">
        <v>2015</v>
      </c>
      <c r="H339">
        <v>79</v>
      </c>
      <c r="I339">
        <v>20</v>
      </c>
      <c r="K339" s="13"/>
      <c r="L339" s="13" t="str">
        <f t="shared" si="7"/>
        <v>ML1.10_9_1_20</v>
      </c>
      <c r="M339" s="14" t="s">
        <v>5103</v>
      </c>
    </row>
    <row r="340" spans="1:13">
      <c r="A340" t="s">
        <v>3382</v>
      </c>
      <c r="B340" s="12" t="s">
        <v>5100</v>
      </c>
      <c r="C340" t="s">
        <v>5101</v>
      </c>
      <c r="E340">
        <v>9</v>
      </c>
      <c r="F340">
        <v>1</v>
      </c>
      <c r="G340">
        <v>2015</v>
      </c>
      <c r="H340">
        <v>79</v>
      </c>
      <c r="I340">
        <v>30</v>
      </c>
      <c r="K340" s="13"/>
      <c r="L340" s="13" t="str">
        <f t="shared" si="7"/>
        <v>ML1.10_9_1_30</v>
      </c>
      <c r="M340" s="14" t="s">
        <v>5104</v>
      </c>
    </row>
    <row r="341" spans="1:13">
      <c r="A341" t="s">
        <v>3382</v>
      </c>
      <c r="B341" s="12" t="s">
        <v>5100</v>
      </c>
      <c r="C341" t="s">
        <v>5101</v>
      </c>
      <c r="E341">
        <v>9</v>
      </c>
      <c r="F341">
        <v>1</v>
      </c>
      <c r="G341">
        <v>2015</v>
      </c>
      <c r="H341">
        <v>79</v>
      </c>
      <c r="I341">
        <v>30</v>
      </c>
      <c r="K341" s="13"/>
      <c r="L341" s="13" t="str">
        <f t="shared" si="7"/>
        <v>ML1.10_9_1_30</v>
      </c>
      <c r="M341" s="14" t="s">
        <v>5104</v>
      </c>
    </row>
    <row r="342" spans="1:13">
      <c r="A342" t="s">
        <v>3382</v>
      </c>
      <c r="B342" s="12" t="s">
        <v>5100</v>
      </c>
      <c r="C342" t="s">
        <v>5101</v>
      </c>
      <c r="E342">
        <v>9</v>
      </c>
      <c r="F342">
        <v>1</v>
      </c>
      <c r="G342">
        <v>2015</v>
      </c>
      <c r="H342">
        <v>79</v>
      </c>
      <c r="I342">
        <v>37</v>
      </c>
      <c r="K342" s="13"/>
      <c r="L342" s="13" t="str">
        <f t="shared" si="7"/>
        <v>ML1.10_9_1_37</v>
      </c>
      <c r="M342" s="14" t="s">
        <v>5105</v>
      </c>
    </row>
    <row r="343" spans="1:13">
      <c r="A343" t="s">
        <v>3382</v>
      </c>
      <c r="B343" s="12" t="s">
        <v>5100</v>
      </c>
      <c r="C343" t="s">
        <v>5101</v>
      </c>
      <c r="E343">
        <v>9</v>
      </c>
      <c r="F343">
        <v>1</v>
      </c>
      <c r="G343">
        <v>2015</v>
      </c>
      <c r="H343">
        <v>79</v>
      </c>
      <c r="I343">
        <v>5</v>
      </c>
      <c r="K343" s="13"/>
      <c r="L343" s="13" t="str">
        <f t="shared" si="7"/>
        <v>ML1.10_9_1_5</v>
      </c>
      <c r="M343" s="14" t="s">
        <v>5106</v>
      </c>
    </row>
    <row r="344" spans="1:13">
      <c r="A344" t="s">
        <v>4846</v>
      </c>
      <c r="B344" s="12" t="s">
        <v>4711</v>
      </c>
      <c r="C344" t="s">
        <v>4847</v>
      </c>
      <c r="E344">
        <v>9</v>
      </c>
      <c r="F344">
        <v>1</v>
      </c>
      <c r="G344">
        <v>2015</v>
      </c>
      <c r="H344">
        <v>78</v>
      </c>
      <c r="I344">
        <v>10</v>
      </c>
      <c r="K344" s="13"/>
      <c r="L344" s="13" t="str">
        <f t="shared" si="7"/>
        <v>ML1.11_9_1_10</v>
      </c>
      <c r="M344" s="14" t="s">
        <v>5107</v>
      </c>
    </row>
    <row r="345" spans="1:13">
      <c r="A345" t="s">
        <v>4846</v>
      </c>
      <c r="B345" s="12" t="s">
        <v>4711</v>
      </c>
      <c r="C345" t="s">
        <v>4847</v>
      </c>
      <c r="E345">
        <v>9</v>
      </c>
      <c r="F345">
        <v>1</v>
      </c>
      <c r="G345">
        <v>2015</v>
      </c>
      <c r="H345">
        <v>78</v>
      </c>
      <c r="I345">
        <v>19</v>
      </c>
      <c r="K345" s="13"/>
      <c r="L345" s="13" t="str">
        <f t="shared" si="7"/>
        <v>ML1.11_9_1_19</v>
      </c>
      <c r="M345" s="14" t="s">
        <v>5108</v>
      </c>
    </row>
    <row r="346" spans="1:13">
      <c r="A346" t="s">
        <v>4846</v>
      </c>
      <c r="B346" s="12" t="s">
        <v>4711</v>
      </c>
      <c r="C346" t="s">
        <v>4847</v>
      </c>
      <c r="E346">
        <v>9</v>
      </c>
      <c r="F346">
        <v>1</v>
      </c>
      <c r="G346">
        <v>2015</v>
      </c>
      <c r="H346">
        <v>78</v>
      </c>
      <c r="I346">
        <v>30</v>
      </c>
      <c r="K346" s="13"/>
      <c r="L346" s="13" t="str">
        <f t="shared" si="7"/>
        <v>ML1.11_9_1_30</v>
      </c>
      <c r="M346" s="14" t="s">
        <v>5109</v>
      </c>
    </row>
    <row r="347" spans="1:13">
      <c r="A347" t="s">
        <v>3398</v>
      </c>
      <c r="B347" s="12" t="s">
        <v>4717</v>
      </c>
      <c r="C347" t="s">
        <v>4850</v>
      </c>
      <c r="E347">
        <v>9</v>
      </c>
      <c r="F347">
        <v>1</v>
      </c>
      <c r="G347">
        <v>2015</v>
      </c>
      <c r="H347">
        <v>76</v>
      </c>
      <c r="I347">
        <v>10</v>
      </c>
      <c r="K347" s="13"/>
      <c r="L347" s="13" t="str">
        <f t="shared" si="7"/>
        <v>ML1.12_9_1_10</v>
      </c>
      <c r="M347" s="14" t="s">
        <v>5110</v>
      </c>
    </row>
    <row r="348" spans="1:13">
      <c r="A348" t="s">
        <v>3398</v>
      </c>
      <c r="B348" s="12" t="s">
        <v>4717</v>
      </c>
      <c r="C348" t="s">
        <v>4850</v>
      </c>
      <c r="E348">
        <v>9</v>
      </c>
      <c r="F348">
        <v>1</v>
      </c>
      <c r="G348">
        <v>2015</v>
      </c>
      <c r="H348">
        <v>76</v>
      </c>
      <c r="I348">
        <v>20</v>
      </c>
      <c r="K348" s="13"/>
      <c r="L348" s="13" t="str">
        <f t="shared" si="7"/>
        <v>ML1.12_9_1_20</v>
      </c>
      <c r="M348" s="14" t="s">
        <v>5111</v>
      </c>
    </row>
    <row r="349" spans="1:13">
      <c r="A349" t="s">
        <v>3398</v>
      </c>
      <c r="B349" s="12" t="s">
        <v>4717</v>
      </c>
      <c r="C349" t="s">
        <v>4850</v>
      </c>
      <c r="E349">
        <v>9</v>
      </c>
      <c r="F349">
        <v>1</v>
      </c>
      <c r="G349">
        <v>2015</v>
      </c>
      <c r="H349">
        <v>76</v>
      </c>
      <c r="I349">
        <v>30</v>
      </c>
      <c r="K349" s="13"/>
      <c r="L349" s="13" t="str">
        <f t="shared" si="7"/>
        <v>ML1.12_9_1_30</v>
      </c>
      <c r="M349" s="14" t="s">
        <v>5112</v>
      </c>
    </row>
    <row r="350" spans="1:13">
      <c r="A350" t="s">
        <v>3398</v>
      </c>
      <c r="B350" s="12" t="s">
        <v>4717</v>
      </c>
      <c r="C350" t="s">
        <v>4850</v>
      </c>
      <c r="E350">
        <v>9</v>
      </c>
      <c r="F350">
        <v>1</v>
      </c>
      <c r="G350">
        <v>2015</v>
      </c>
      <c r="H350">
        <v>76</v>
      </c>
      <c r="I350">
        <v>38</v>
      </c>
      <c r="K350" s="13"/>
      <c r="L350" s="13" t="str">
        <f t="shared" si="7"/>
        <v>ML1.12_9_1_38</v>
      </c>
      <c r="M350" s="14" t="s">
        <v>5113</v>
      </c>
    </row>
    <row r="351" spans="1:13">
      <c r="A351" t="s">
        <v>3398</v>
      </c>
      <c r="B351" s="12" t="s">
        <v>4722</v>
      </c>
      <c r="C351" t="s">
        <v>4852</v>
      </c>
      <c r="E351">
        <v>9</v>
      </c>
      <c r="F351">
        <v>1</v>
      </c>
      <c r="G351">
        <v>2015</v>
      </c>
      <c r="H351">
        <v>77</v>
      </c>
      <c r="I351">
        <v>40</v>
      </c>
      <c r="K351" s="13"/>
      <c r="L351" s="13" t="str">
        <f t="shared" si="7"/>
        <v>ML1.12_9_1_40</v>
      </c>
      <c r="M351" s="14" t="s">
        <v>4723</v>
      </c>
    </row>
    <row r="352" spans="1:13">
      <c r="A352" t="s">
        <v>3398</v>
      </c>
      <c r="B352" s="12" t="s">
        <v>4722</v>
      </c>
      <c r="C352" t="s">
        <v>4852</v>
      </c>
      <c r="E352">
        <v>9</v>
      </c>
      <c r="F352">
        <v>1</v>
      </c>
      <c r="G352">
        <v>2015</v>
      </c>
      <c r="H352">
        <v>77</v>
      </c>
      <c r="I352">
        <v>40</v>
      </c>
      <c r="K352" s="13"/>
      <c r="L352" s="13" t="str">
        <f t="shared" si="7"/>
        <v>ML1.12_9_1_40</v>
      </c>
      <c r="M352" s="14" t="s">
        <v>4723</v>
      </c>
    </row>
    <row r="353" spans="1:13">
      <c r="A353" t="s">
        <v>3398</v>
      </c>
      <c r="B353" s="12" t="s">
        <v>4722</v>
      </c>
      <c r="C353" t="s">
        <v>4852</v>
      </c>
      <c r="E353">
        <v>9</v>
      </c>
      <c r="F353">
        <v>1</v>
      </c>
      <c r="G353">
        <v>2015</v>
      </c>
      <c r="H353">
        <v>77</v>
      </c>
      <c r="I353">
        <v>41</v>
      </c>
      <c r="K353" s="13"/>
      <c r="L353" s="13" t="str">
        <f t="shared" si="7"/>
        <v>ML1.12_9_1_41</v>
      </c>
      <c r="M353" s="14" t="s">
        <v>5114</v>
      </c>
    </row>
    <row r="354" spans="1:13">
      <c r="A354" t="s">
        <v>1821</v>
      </c>
      <c r="B354" s="12" t="s">
        <v>4726</v>
      </c>
      <c r="C354" t="s">
        <v>4855</v>
      </c>
      <c r="E354">
        <v>9</v>
      </c>
      <c r="F354">
        <v>1</v>
      </c>
      <c r="G354">
        <v>2015</v>
      </c>
      <c r="H354">
        <v>75</v>
      </c>
      <c r="I354">
        <v>20</v>
      </c>
      <c r="K354" s="13"/>
      <c r="L354" s="13" t="str">
        <f t="shared" si="7"/>
        <v>ML1.13_9_1_20</v>
      </c>
      <c r="M354" s="14" t="s">
        <v>5115</v>
      </c>
    </row>
    <row r="355" spans="1:13">
      <c r="A355" t="s">
        <v>1821</v>
      </c>
      <c r="B355" s="12" t="s">
        <v>4726</v>
      </c>
      <c r="C355" t="s">
        <v>4855</v>
      </c>
      <c r="E355">
        <v>9</v>
      </c>
      <c r="F355">
        <v>1</v>
      </c>
      <c r="G355">
        <v>2015</v>
      </c>
      <c r="H355">
        <v>75</v>
      </c>
      <c r="I355">
        <v>30</v>
      </c>
      <c r="K355" s="13"/>
      <c r="L355" s="13" t="str">
        <f t="shared" si="7"/>
        <v>ML1.13_9_1_30</v>
      </c>
      <c r="M355" s="14" t="s">
        <v>5116</v>
      </c>
    </row>
    <row r="356" spans="1:13">
      <c r="A356" t="s">
        <v>1821</v>
      </c>
      <c r="B356" s="12" t="s">
        <v>4726</v>
      </c>
      <c r="C356" t="s">
        <v>4855</v>
      </c>
      <c r="E356">
        <v>9</v>
      </c>
      <c r="F356">
        <v>1</v>
      </c>
      <c r="G356">
        <v>2015</v>
      </c>
      <c r="H356">
        <v>75</v>
      </c>
      <c r="I356">
        <v>35</v>
      </c>
      <c r="K356" s="13"/>
      <c r="L356" s="13" t="str">
        <f t="shared" si="7"/>
        <v>ML1.13_9_1_35</v>
      </c>
      <c r="M356" s="14" t="s">
        <v>4727</v>
      </c>
    </row>
    <row r="357" spans="1:13">
      <c r="A357" t="s">
        <v>1821</v>
      </c>
      <c r="B357" s="12" t="s">
        <v>4726</v>
      </c>
      <c r="C357" t="s">
        <v>4855</v>
      </c>
      <c r="E357">
        <v>9</v>
      </c>
      <c r="F357">
        <v>1</v>
      </c>
      <c r="G357">
        <v>2015</v>
      </c>
      <c r="H357">
        <v>75</v>
      </c>
      <c r="I357">
        <v>9</v>
      </c>
      <c r="K357" s="13"/>
      <c r="L357" s="13" t="str">
        <f t="shared" si="7"/>
        <v>ML1.13_9_1_9</v>
      </c>
      <c r="M357" s="14" t="s">
        <v>5117</v>
      </c>
    </row>
    <row r="358" spans="1:13">
      <c r="A358" t="s">
        <v>4859</v>
      </c>
      <c r="B358" s="12" t="s">
        <v>4770</v>
      </c>
      <c r="C358" t="s">
        <v>4860</v>
      </c>
      <c r="E358">
        <v>9</v>
      </c>
      <c r="F358">
        <v>3</v>
      </c>
      <c r="G358">
        <v>2015</v>
      </c>
      <c r="H358">
        <v>87</v>
      </c>
      <c r="I358">
        <v>10</v>
      </c>
      <c r="K358" s="13"/>
      <c r="L358" s="13" t="str">
        <f t="shared" si="7"/>
        <v>ML1.2_9_3_10</v>
      </c>
      <c r="M358" s="14" t="s">
        <v>5118</v>
      </c>
    </row>
    <row r="359" spans="1:13">
      <c r="A359" t="s">
        <v>3429</v>
      </c>
      <c r="B359" s="12" t="s">
        <v>4776</v>
      </c>
      <c r="C359" t="s">
        <v>4863</v>
      </c>
      <c r="E359">
        <v>9</v>
      </c>
      <c r="F359">
        <v>3</v>
      </c>
      <c r="G359">
        <v>2015</v>
      </c>
      <c r="H359">
        <v>86</v>
      </c>
      <c r="I359">
        <v>10</v>
      </c>
      <c r="K359" s="13"/>
      <c r="L359" s="13" t="str">
        <f t="shared" si="7"/>
        <v>ML1.3_9_3_10</v>
      </c>
      <c r="M359" s="14" t="s">
        <v>5119</v>
      </c>
    </row>
    <row r="360" spans="1:13">
      <c r="A360" t="s">
        <v>3429</v>
      </c>
      <c r="B360" s="12" t="s">
        <v>4776</v>
      </c>
      <c r="C360" t="s">
        <v>4863</v>
      </c>
      <c r="E360">
        <v>9</v>
      </c>
      <c r="F360">
        <v>3</v>
      </c>
      <c r="G360">
        <v>2015</v>
      </c>
      <c r="H360">
        <v>86</v>
      </c>
      <c r="I360">
        <v>20</v>
      </c>
      <c r="K360" s="13"/>
      <c r="L360" s="13" t="str">
        <f t="shared" si="7"/>
        <v>ML1.3_9_3_20</v>
      </c>
      <c r="M360" s="14" t="s">
        <v>5120</v>
      </c>
    </row>
    <row r="361" spans="1:13">
      <c r="A361" t="s">
        <v>3454</v>
      </c>
      <c r="B361" s="12" t="s">
        <v>4782</v>
      </c>
      <c r="C361" t="s">
        <v>4866</v>
      </c>
      <c r="E361">
        <v>9</v>
      </c>
      <c r="F361">
        <v>3</v>
      </c>
      <c r="G361">
        <v>2015</v>
      </c>
      <c r="H361">
        <v>85</v>
      </c>
      <c r="I361">
        <v>10</v>
      </c>
      <c r="K361" s="13"/>
      <c r="L361" s="13" t="str">
        <f t="shared" si="7"/>
        <v>ML1.4_9_3_10</v>
      </c>
      <c r="M361" s="14" t="s">
        <v>5121</v>
      </c>
    </row>
    <row r="362" spans="1:13">
      <c r="A362" t="s">
        <v>3454</v>
      </c>
      <c r="B362" s="12" t="s">
        <v>4782</v>
      </c>
      <c r="C362" t="s">
        <v>4866</v>
      </c>
      <c r="E362">
        <v>9</v>
      </c>
      <c r="F362">
        <v>3</v>
      </c>
      <c r="G362">
        <v>2015</v>
      </c>
      <c r="H362">
        <v>85</v>
      </c>
      <c r="I362">
        <v>20</v>
      </c>
      <c r="K362" s="13"/>
      <c r="L362" s="13" t="str">
        <f t="shared" si="7"/>
        <v>ML1.4_9_3_20</v>
      </c>
      <c r="M362" s="14" t="s">
        <v>5122</v>
      </c>
    </row>
    <row r="363" spans="1:13">
      <c r="A363" t="s">
        <v>3470</v>
      </c>
      <c r="B363" s="12" t="s">
        <v>4734</v>
      </c>
      <c r="C363" t="s">
        <v>4870</v>
      </c>
      <c r="E363">
        <v>9</v>
      </c>
      <c r="F363">
        <v>2</v>
      </c>
      <c r="G363">
        <v>2015</v>
      </c>
      <c r="H363">
        <v>84</v>
      </c>
      <c r="I363">
        <v>10</v>
      </c>
      <c r="K363" s="13"/>
      <c r="L363" s="13" t="str">
        <f t="shared" si="7"/>
        <v>ML1.5_9_2_10</v>
      </c>
      <c r="M363" s="14" t="s">
        <v>5123</v>
      </c>
    </row>
    <row r="364" spans="1:13">
      <c r="A364" t="s">
        <v>3470</v>
      </c>
      <c r="B364" s="12" t="s">
        <v>4734</v>
      </c>
      <c r="C364" t="s">
        <v>4870</v>
      </c>
      <c r="E364">
        <v>9</v>
      </c>
      <c r="F364">
        <v>2</v>
      </c>
      <c r="G364">
        <v>2015</v>
      </c>
      <c r="H364">
        <v>84</v>
      </c>
      <c r="I364">
        <v>20</v>
      </c>
      <c r="K364" s="13"/>
      <c r="L364" s="13" t="str">
        <f t="shared" si="7"/>
        <v>ML1.5_9_2_20</v>
      </c>
      <c r="M364" s="14" t="s">
        <v>5124</v>
      </c>
    </row>
    <row r="365" spans="1:13">
      <c r="A365" t="s">
        <v>3470</v>
      </c>
      <c r="B365" s="12" t="s">
        <v>4734</v>
      </c>
      <c r="C365" t="s">
        <v>4870</v>
      </c>
      <c r="E365">
        <v>9</v>
      </c>
      <c r="F365">
        <v>2</v>
      </c>
      <c r="G365">
        <v>2015</v>
      </c>
      <c r="H365">
        <v>84</v>
      </c>
      <c r="I365">
        <v>30</v>
      </c>
      <c r="K365" s="13"/>
      <c r="L365" s="13" t="str">
        <f t="shared" si="7"/>
        <v>ML1.5_9_2_30</v>
      </c>
      <c r="M365" s="14" t="s">
        <v>5125</v>
      </c>
    </row>
    <row r="366" spans="1:13">
      <c r="A366" t="s">
        <v>4873</v>
      </c>
      <c r="B366" s="12" t="s">
        <v>4740</v>
      </c>
      <c r="C366" t="s">
        <v>4874</v>
      </c>
      <c r="E366">
        <v>9</v>
      </c>
      <c r="F366">
        <v>2</v>
      </c>
      <c r="G366">
        <v>2015</v>
      </c>
      <c r="H366">
        <v>83</v>
      </c>
      <c r="I366">
        <v>10</v>
      </c>
      <c r="K366" s="13"/>
      <c r="L366" s="13" t="str">
        <f t="shared" si="7"/>
        <v>ML1.6_9_2_10</v>
      </c>
      <c r="M366" s="14" t="s">
        <v>5126</v>
      </c>
    </row>
    <row r="367" spans="1:13">
      <c r="A367" t="s">
        <v>4873</v>
      </c>
      <c r="B367" s="12" t="s">
        <v>4740</v>
      </c>
      <c r="C367" t="s">
        <v>4874</v>
      </c>
      <c r="E367">
        <v>9</v>
      </c>
      <c r="F367">
        <v>2</v>
      </c>
      <c r="G367">
        <v>2015</v>
      </c>
      <c r="H367">
        <v>83</v>
      </c>
      <c r="I367">
        <v>20</v>
      </c>
      <c r="K367" s="13"/>
      <c r="L367" s="13" t="str">
        <f t="shared" si="7"/>
        <v>ML1.6_9_2_20</v>
      </c>
      <c r="M367" s="14" t="s">
        <v>5127</v>
      </c>
    </row>
    <row r="368" spans="1:13">
      <c r="A368" t="s">
        <v>4873</v>
      </c>
      <c r="B368" s="12" t="s">
        <v>4740</v>
      </c>
      <c r="C368" t="s">
        <v>4874</v>
      </c>
      <c r="E368">
        <v>9</v>
      </c>
      <c r="F368">
        <v>2</v>
      </c>
      <c r="G368">
        <v>2015</v>
      </c>
      <c r="H368">
        <v>83</v>
      </c>
      <c r="I368">
        <v>31</v>
      </c>
      <c r="K368" s="13"/>
      <c r="L368" s="13" t="str">
        <f t="shared" si="7"/>
        <v>ML1.6_9_2_31</v>
      </c>
      <c r="M368" s="14" t="s">
        <v>5128</v>
      </c>
    </row>
    <row r="369" spans="1:13">
      <c r="A369" t="s">
        <v>4873</v>
      </c>
      <c r="B369" s="12" t="s">
        <v>4740</v>
      </c>
      <c r="C369" t="s">
        <v>4874</v>
      </c>
      <c r="E369">
        <v>9</v>
      </c>
      <c r="F369">
        <v>2</v>
      </c>
      <c r="G369">
        <v>2015</v>
      </c>
      <c r="H369">
        <v>83</v>
      </c>
      <c r="I369">
        <v>40</v>
      </c>
      <c r="K369" s="13"/>
      <c r="L369" s="13" t="str">
        <f t="shared" si="7"/>
        <v>ML1.6_9_2_40</v>
      </c>
      <c r="M369" s="14" t="s">
        <v>4743</v>
      </c>
    </row>
    <row r="370" spans="1:13">
      <c r="A370" t="s">
        <v>4873</v>
      </c>
      <c r="B370" s="12" t="s">
        <v>4740</v>
      </c>
      <c r="C370" t="s">
        <v>4874</v>
      </c>
      <c r="E370">
        <v>9</v>
      </c>
      <c r="F370">
        <v>2</v>
      </c>
      <c r="G370">
        <v>2015</v>
      </c>
      <c r="H370">
        <v>83</v>
      </c>
      <c r="I370">
        <v>40</v>
      </c>
      <c r="K370" s="13"/>
      <c r="L370" s="13" t="str">
        <f t="shared" si="7"/>
        <v>ML1.6_9_2_40</v>
      </c>
      <c r="M370" s="14" t="s">
        <v>4743</v>
      </c>
    </row>
    <row r="371" spans="1:13">
      <c r="A371" t="s">
        <v>4873</v>
      </c>
      <c r="B371" s="12" t="s">
        <v>4740</v>
      </c>
      <c r="C371" t="s">
        <v>4874</v>
      </c>
      <c r="E371">
        <v>9</v>
      </c>
      <c r="F371">
        <v>2</v>
      </c>
      <c r="G371">
        <v>2015</v>
      </c>
      <c r="H371">
        <v>83</v>
      </c>
      <c r="I371">
        <v>40</v>
      </c>
      <c r="K371" s="13"/>
      <c r="L371" s="13" t="str">
        <f t="shared" si="7"/>
        <v>ML1.6_9_2_40</v>
      </c>
      <c r="M371" s="14" t="s">
        <v>4743</v>
      </c>
    </row>
    <row r="372" spans="1:13">
      <c r="A372" t="s">
        <v>4873</v>
      </c>
      <c r="B372" s="12" t="s">
        <v>4740</v>
      </c>
      <c r="C372" t="s">
        <v>4874</v>
      </c>
      <c r="E372">
        <v>9</v>
      </c>
      <c r="F372">
        <v>2</v>
      </c>
      <c r="G372">
        <v>2015</v>
      </c>
      <c r="H372">
        <v>83</v>
      </c>
      <c r="I372">
        <v>40</v>
      </c>
      <c r="K372" s="13"/>
      <c r="L372" s="13" t="str">
        <f t="shared" si="7"/>
        <v>ML1.6_9_2_40</v>
      </c>
      <c r="M372" s="14" t="s">
        <v>4743</v>
      </c>
    </row>
    <row r="373" spans="1:13">
      <c r="A373" t="s">
        <v>3494</v>
      </c>
      <c r="B373" s="12" t="s">
        <v>4746</v>
      </c>
      <c r="C373" t="s">
        <v>4878</v>
      </c>
      <c r="E373">
        <v>9</v>
      </c>
      <c r="F373">
        <v>2</v>
      </c>
      <c r="G373">
        <v>2015</v>
      </c>
      <c r="H373">
        <v>82</v>
      </c>
      <c r="I373">
        <v>20</v>
      </c>
      <c r="K373" s="13"/>
      <c r="L373" s="13" t="str">
        <f t="shared" si="7"/>
        <v>ML1.7_9_2_20</v>
      </c>
      <c r="M373" s="14" t="s">
        <v>5129</v>
      </c>
    </row>
    <row r="374" spans="1:13">
      <c r="A374" t="s">
        <v>3494</v>
      </c>
      <c r="B374" s="12" t="s">
        <v>4746</v>
      </c>
      <c r="C374" t="s">
        <v>4878</v>
      </c>
      <c r="E374">
        <v>9</v>
      </c>
      <c r="F374">
        <v>2</v>
      </c>
      <c r="G374">
        <v>2015</v>
      </c>
      <c r="H374">
        <v>82</v>
      </c>
      <c r="I374">
        <v>9</v>
      </c>
      <c r="K374" s="13"/>
      <c r="L374" s="13" t="str">
        <f t="shared" si="7"/>
        <v>ML1.7_9_2_9</v>
      </c>
      <c r="M374" s="14" t="s">
        <v>5130</v>
      </c>
    </row>
    <row r="375" spans="1:13">
      <c r="A375" t="s">
        <v>1883</v>
      </c>
      <c r="B375" s="12" t="s">
        <v>4752</v>
      </c>
      <c r="C375" t="s">
        <v>4881</v>
      </c>
      <c r="E375">
        <v>9</v>
      </c>
      <c r="F375">
        <v>2</v>
      </c>
      <c r="G375">
        <v>2015</v>
      </c>
      <c r="H375">
        <v>81</v>
      </c>
      <c r="I375">
        <v>10</v>
      </c>
      <c r="K375" s="13"/>
      <c r="L375" s="13" t="str">
        <f t="shared" si="7"/>
        <v>ML1.8_9_2_10</v>
      </c>
      <c r="M375" s="14" t="s">
        <v>5131</v>
      </c>
    </row>
    <row r="376" spans="1:13">
      <c r="A376" t="s">
        <v>1883</v>
      </c>
      <c r="B376" s="12" t="s">
        <v>4752</v>
      </c>
      <c r="C376" t="s">
        <v>4881</v>
      </c>
      <c r="E376">
        <v>9</v>
      </c>
      <c r="F376">
        <v>2</v>
      </c>
      <c r="G376">
        <v>2015</v>
      </c>
      <c r="H376">
        <v>81</v>
      </c>
      <c r="I376">
        <v>20</v>
      </c>
      <c r="K376" s="13"/>
      <c r="L376" s="13" t="str">
        <f t="shared" si="7"/>
        <v>ML1.8_9_2_20</v>
      </c>
      <c r="M376" s="14" t="s">
        <v>5132</v>
      </c>
    </row>
    <row r="377" spans="1:13">
      <c r="A377" t="s">
        <v>1883</v>
      </c>
      <c r="B377" s="12" t="s">
        <v>4752</v>
      </c>
      <c r="C377" t="s">
        <v>4881</v>
      </c>
      <c r="E377">
        <v>9</v>
      </c>
      <c r="F377">
        <v>2</v>
      </c>
      <c r="G377">
        <v>2015</v>
      </c>
      <c r="H377">
        <v>81</v>
      </c>
      <c r="I377">
        <v>30</v>
      </c>
      <c r="K377" s="13"/>
      <c r="L377" s="13" t="str">
        <f t="shared" si="7"/>
        <v>ML1.8_9_2_30</v>
      </c>
      <c r="M377" s="14" t="s">
        <v>5133</v>
      </c>
    </row>
    <row r="378" spans="1:13">
      <c r="A378" t="s">
        <v>4884</v>
      </c>
      <c r="B378" s="12" t="s">
        <v>4758</v>
      </c>
      <c r="C378" t="s">
        <v>4885</v>
      </c>
      <c r="E378">
        <v>9</v>
      </c>
      <c r="F378">
        <v>2</v>
      </c>
      <c r="G378">
        <v>2015</v>
      </c>
      <c r="H378">
        <v>80</v>
      </c>
      <c r="I378">
        <v>11</v>
      </c>
      <c r="K378" s="13"/>
      <c r="L378" s="13" t="str">
        <f t="shared" si="7"/>
        <v>ML1.9_9_2_11</v>
      </c>
      <c r="M378" s="14" t="s">
        <v>5134</v>
      </c>
    </row>
    <row r="379" spans="1:13">
      <c r="A379" t="s">
        <v>4884</v>
      </c>
      <c r="B379" s="12" t="s">
        <v>4758</v>
      </c>
      <c r="C379" t="s">
        <v>4885</v>
      </c>
      <c r="E379">
        <v>9</v>
      </c>
      <c r="F379">
        <v>2</v>
      </c>
      <c r="G379">
        <v>2015</v>
      </c>
      <c r="H379">
        <v>80</v>
      </c>
      <c r="I379">
        <v>20</v>
      </c>
      <c r="K379" s="13"/>
      <c r="L379" s="13" t="str">
        <f t="shared" si="7"/>
        <v>ML1.9_9_2_20</v>
      </c>
      <c r="M379" s="14" t="s">
        <v>5135</v>
      </c>
    </row>
    <row r="380" spans="1:13">
      <c r="A380" t="s">
        <v>4884</v>
      </c>
      <c r="B380" s="12" t="s">
        <v>4758</v>
      </c>
      <c r="C380" t="s">
        <v>4885</v>
      </c>
      <c r="E380">
        <v>9</v>
      </c>
      <c r="F380">
        <v>2</v>
      </c>
      <c r="G380">
        <v>2015</v>
      </c>
      <c r="H380">
        <v>80</v>
      </c>
      <c r="I380">
        <v>30</v>
      </c>
      <c r="K380" s="13"/>
      <c r="L380" s="13" t="str">
        <f t="shared" si="7"/>
        <v>ML1.9_9_2_30</v>
      </c>
      <c r="M380" s="14" t="s">
        <v>5136</v>
      </c>
    </row>
    <row r="381" spans="1:13">
      <c r="A381" t="s">
        <v>4884</v>
      </c>
      <c r="B381" s="12" t="s">
        <v>4758</v>
      </c>
      <c r="C381" t="s">
        <v>4885</v>
      </c>
      <c r="E381">
        <v>9</v>
      </c>
      <c r="F381">
        <v>2</v>
      </c>
      <c r="G381">
        <v>2015</v>
      </c>
      <c r="H381">
        <v>80</v>
      </c>
      <c r="I381">
        <v>30</v>
      </c>
      <c r="K381" s="13"/>
      <c r="L381" s="13" t="str">
        <f t="shared" si="7"/>
        <v>ML1.9_9_2_30</v>
      </c>
      <c r="M381" s="14" t="s">
        <v>5136</v>
      </c>
    </row>
    <row r="382" spans="1:13">
      <c r="A382" t="s">
        <v>5137</v>
      </c>
      <c r="B382" s="12" t="s">
        <v>5138</v>
      </c>
      <c r="C382" t="s">
        <v>5139</v>
      </c>
      <c r="E382">
        <v>8</v>
      </c>
      <c r="F382">
        <v>23</v>
      </c>
      <c r="G382">
        <v>2015</v>
      </c>
      <c r="H382">
        <v>48</v>
      </c>
      <c r="I382">
        <v>20</v>
      </c>
      <c r="K382" s="13"/>
      <c r="L382" s="13" t="str">
        <f t="shared" si="7"/>
        <v>ML3.10ANDDBO4.6_8_23_20</v>
      </c>
      <c r="M382" s="14" t="s">
        <v>5140</v>
      </c>
    </row>
    <row r="383" spans="1:13">
      <c r="A383" t="s">
        <v>5137</v>
      </c>
      <c r="B383" s="12" t="s">
        <v>5138</v>
      </c>
      <c r="C383" t="s">
        <v>5139</v>
      </c>
      <c r="E383">
        <v>8</v>
      </c>
      <c r="F383">
        <v>23</v>
      </c>
      <c r="G383">
        <v>2015</v>
      </c>
      <c r="H383">
        <v>48</v>
      </c>
      <c r="I383">
        <v>30</v>
      </c>
      <c r="K383" s="13"/>
      <c r="L383" s="13" t="str">
        <f t="shared" si="7"/>
        <v>ML3.10ANDDBO4.6_8_23_30</v>
      </c>
      <c r="M383" s="14" t="s">
        <v>5141</v>
      </c>
    </row>
    <row r="384" spans="1:13">
      <c r="A384" t="s">
        <v>5137</v>
      </c>
      <c r="B384" s="12" t="s">
        <v>5138</v>
      </c>
      <c r="C384" t="s">
        <v>5139</v>
      </c>
      <c r="E384">
        <v>8</v>
      </c>
      <c r="F384">
        <v>23</v>
      </c>
      <c r="G384">
        <v>2015</v>
      </c>
      <c r="H384">
        <v>48</v>
      </c>
      <c r="I384">
        <v>36</v>
      </c>
      <c r="K384" s="13"/>
      <c r="L384" s="13" t="str">
        <f t="shared" si="7"/>
        <v>ML3.10ANDDBO4.6_8_23_36</v>
      </c>
      <c r="M384" s="14" t="s">
        <v>5142</v>
      </c>
    </row>
    <row r="385" spans="1:13">
      <c r="A385" t="s">
        <v>5137</v>
      </c>
      <c r="B385" s="12" t="s">
        <v>5138</v>
      </c>
      <c r="C385" t="s">
        <v>5139</v>
      </c>
      <c r="E385">
        <v>8</v>
      </c>
      <c r="F385">
        <v>23</v>
      </c>
      <c r="G385">
        <v>2015</v>
      </c>
      <c r="H385">
        <v>48</v>
      </c>
      <c r="I385">
        <v>37</v>
      </c>
      <c r="K385" s="13"/>
      <c r="L385" s="13" t="str">
        <f t="shared" si="7"/>
        <v>ML3.10ANDDBO4.6_8_23_37</v>
      </c>
      <c r="M385" s="14" t="s">
        <v>5143</v>
      </c>
    </row>
    <row r="386" spans="1:13">
      <c r="A386" t="s">
        <v>5137</v>
      </c>
      <c r="B386" s="12" t="s">
        <v>5138</v>
      </c>
      <c r="C386" t="s">
        <v>5139</v>
      </c>
      <c r="E386">
        <v>8</v>
      </c>
      <c r="F386">
        <v>23</v>
      </c>
      <c r="G386">
        <v>2015</v>
      </c>
      <c r="H386">
        <v>48</v>
      </c>
      <c r="I386">
        <v>37</v>
      </c>
      <c r="K386" s="13"/>
      <c r="L386" s="13" t="str">
        <f t="shared" si="7"/>
        <v>ML3.10ANDDBO4.6_8_23_37</v>
      </c>
      <c r="M386" s="14" t="s">
        <v>5143</v>
      </c>
    </row>
    <row r="387" spans="1:13">
      <c r="A387" t="s">
        <v>5137</v>
      </c>
      <c r="B387" s="12" t="s">
        <v>5138</v>
      </c>
      <c r="C387" t="s">
        <v>5139</v>
      </c>
      <c r="E387">
        <v>8</v>
      </c>
      <c r="F387">
        <v>23</v>
      </c>
      <c r="G387">
        <v>2015</v>
      </c>
      <c r="H387">
        <v>48</v>
      </c>
      <c r="I387">
        <v>37</v>
      </c>
      <c r="K387" s="13"/>
      <c r="L387" s="13" t="str">
        <f t="shared" si="7"/>
        <v>ML3.10ANDDBO4.6_8_23_37</v>
      </c>
      <c r="M387" s="14" t="s">
        <v>5143</v>
      </c>
    </row>
    <row r="388" spans="1:13">
      <c r="A388" t="s">
        <v>5137</v>
      </c>
      <c r="B388" s="12" t="s">
        <v>5138</v>
      </c>
      <c r="C388" t="s">
        <v>5139</v>
      </c>
      <c r="E388">
        <v>8</v>
      </c>
      <c r="F388">
        <v>23</v>
      </c>
      <c r="G388">
        <v>2015</v>
      </c>
      <c r="H388">
        <v>48</v>
      </c>
      <c r="I388">
        <v>4</v>
      </c>
      <c r="K388" s="13"/>
      <c r="L388" s="13" t="str">
        <f t="shared" si="7"/>
        <v>ML3.10ANDDBO4.6_8_23_4</v>
      </c>
      <c r="M388" s="14" t="s">
        <v>5144</v>
      </c>
    </row>
    <row r="389" spans="1:13">
      <c r="A389" t="s">
        <v>5137</v>
      </c>
      <c r="B389" s="12" t="s">
        <v>5138</v>
      </c>
      <c r="C389" t="s">
        <v>5139</v>
      </c>
      <c r="E389">
        <v>8</v>
      </c>
      <c r="F389">
        <v>23</v>
      </c>
      <c r="G389">
        <v>2015</v>
      </c>
      <c r="H389">
        <v>48</v>
      </c>
      <c r="I389">
        <v>9</v>
      </c>
      <c r="K389" s="13"/>
      <c r="L389" s="13" t="str">
        <f t="shared" si="7"/>
        <v>ML3.10ANDDBO4.6_8_23_9</v>
      </c>
      <c r="M389" s="14" t="s">
        <v>5145</v>
      </c>
    </row>
    <row r="390" spans="1:13">
      <c r="A390" t="s">
        <v>3538</v>
      </c>
      <c r="B390" s="12" t="s">
        <v>4597</v>
      </c>
      <c r="C390" t="s">
        <v>4891</v>
      </c>
      <c r="E390">
        <v>8</v>
      </c>
      <c r="F390">
        <v>23</v>
      </c>
      <c r="G390">
        <v>2015</v>
      </c>
      <c r="H390">
        <v>47</v>
      </c>
      <c r="I390">
        <v>10</v>
      </c>
      <c r="K390" s="13"/>
      <c r="L390" s="13" t="str">
        <f t="shared" si="7"/>
        <v>ML3.11_8_23_10</v>
      </c>
      <c r="M390" s="14" t="s">
        <v>5146</v>
      </c>
    </row>
    <row r="391" spans="1:13">
      <c r="A391" t="s">
        <v>1917</v>
      </c>
      <c r="B391" s="12" t="s">
        <v>4605</v>
      </c>
      <c r="C391" t="s">
        <v>4895</v>
      </c>
      <c r="E391">
        <v>8</v>
      </c>
      <c r="F391">
        <v>23</v>
      </c>
      <c r="G391">
        <v>2015</v>
      </c>
      <c r="H391">
        <v>46</v>
      </c>
      <c r="I391">
        <v>9</v>
      </c>
      <c r="K391" s="13"/>
      <c r="L391" s="13" t="str">
        <f t="shared" si="7"/>
        <v>ML3.12_8_23_9</v>
      </c>
      <c r="M391" s="14" t="s">
        <v>5147</v>
      </c>
    </row>
    <row r="392" spans="1:13">
      <c r="A392" t="s">
        <v>4899</v>
      </c>
      <c r="B392" s="12" t="s">
        <v>4613</v>
      </c>
      <c r="C392" t="s">
        <v>4900</v>
      </c>
      <c r="E392">
        <v>8</v>
      </c>
      <c r="F392">
        <v>23</v>
      </c>
      <c r="G392">
        <v>2015</v>
      </c>
      <c r="H392">
        <v>45</v>
      </c>
      <c r="I392">
        <v>20</v>
      </c>
      <c r="K392" s="13"/>
      <c r="L392" s="13" t="str">
        <f t="shared" si="7"/>
        <v>ML3.13_8_23_20</v>
      </c>
      <c r="M392" s="14" t="s">
        <v>5148</v>
      </c>
    </row>
    <row r="393" spans="1:13">
      <c r="A393" t="s">
        <v>4899</v>
      </c>
      <c r="B393" s="12" t="s">
        <v>4613</v>
      </c>
      <c r="C393" t="s">
        <v>4900</v>
      </c>
      <c r="E393">
        <v>8</v>
      </c>
      <c r="F393">
        <v>23</v>
      </c>
      <c r="G393">
        <v>2015</v>
      </c>
      <c r="H393">
        <v>45</v>
      </c>
      <c r="I393">
        <v>31</v>
      </c>
      <c r="K393" s="13"/>
      <c r="L393" s="13" t="str">
        <f t="shared" ref="L393:L456" si="8">A393&amp;"_"&amp;E393&amp;"_"&amp;F393&amp;"_"&amp;I393</f>
        <v>ML3.13_8_23_31</v>
      </c>
      <c r="M393" s="14" t="s">
        <v>5149</v>
      </c>
    </row>
    <row r="394" spans="1:13">
      <c r="A394" t="s">
        <v>4899</v>
      </c>
      <c r="B394" s="12" t="s">
        <v>4613</v>
      </c>
      <c r="C394" t="s">
        <v>4900</v>
      </c>
      <c r="E394">
        <v>8</v>
      </c>
      <c r="F394">
        <v>23</v>
      </c>
      <c r="G394">
        <v>2015</v>
      </c>
      <c r="H394">
        <v>45</v>
      </c>
      <c r="I394">
        <v>5</v>
      </c>
      <c r="K394" s="13"/>
      <c r="L394" s="13" t="str">
        <f t="shared" si="8"/>
        <v>ML3.13_8_23_5</v>
      </c>
      <c r="M394" s="14" t="s">
        <v>4616</v>
      </c>
    </row>
    <row r="395" spans="1:13">
      <c r="A395" t="s">
        <v>4899</v>
      </c>
      <c r="B395" s="12" t="s">
        <v>4613</v>
      </c>
      <c r="C395" t="s">
        <v>4900</v>
      </c>
      <c r="E395">
        <v>8</v>
      </c>
      <c r="F395">
        <v>23</v>
      </c>
      <c r="G395">
        <v>2015</v>
      </c>
      <c r="H395">
        <v>45</v>
      </c>
      <c r="I395">
        <v>9</v>
      </c>
      <c r="K395" s="13"/>
      <c r="L395" s="13" t="str">
        <f t="shared" si="8"/>
        <v>ML3.13_8_23_9</v>
      </c>
      <c r="M395" s="14" t="s">
        <v>5150</v>
      </c>
    </row>
    <row r="396" spans="1:13">
      <c r="A396" t="s">
        <v>3556</v>
      </c>
      <c r="B396" s="12" t="s">
        <v>5151</v>
      </c>
      <c r="C396" t="s">
        <v>5152</v>
      </c>
      <c r="E396">
        <v>8</v>
      </c>
      <c r="F396">
        <v>22</v>
      </c>
      <c r="G396">
        <v>2015</v>
      </c>
      <c r="H396">
        <v>44</v>
      </c>
      <c r="I396">
        <v>10</v>
      </c>
      <c r="K396" s="13"/>
      <c r="L396" s="13" t="str">
        <f t="shared" si="8"/>
        <v>ML3.14_8_22_10</v>
      </c>
      <c r="M396" s="14" t="s">
        <v>5153</v>
      </c>
    </row>
    <row r="397" spans="1:13">
      <c r="A397" t="s">
        <v>3556</v>
      </c>
      <c r="B397" s="12" t="s">
        <v>5151</v>
      </c>
      <c r="C397" t="s">
        <v>5152</v>
      </c>
      <c r="E397">
        <v>8</v>
      </c>
      <c r="F397">
        <v>22</v>
      </c>
      <c r="G397">
        <v>2015</v>
      </c>
      <c r="H397">
        <v>44</v>
      </c>
      <c r="I397">
        <v>20</v>
      </c>
      <c r="K397" s="13"/>
      <c r="L397" s="13" t="str">
        <f t="shared" si="8"/>
        <v>ML3.14_8_22_20</v>
      </c>
      <c r="M397" s="14" t="s">
        <v>5154</v>
      </c>
    </row>
    <row r="398" spans="1:13">
      <c r="A398" t="s">
        <v>3556</v>
      </c>
      <c r="B398" s="12" t="s">
        <v>5151</v>
      </c>
      <c r="C398" t="s">
        <v>5152</v>
      </c>
      <c r="E398">
        <v>8</v>
      </c>
      <c r="F398">
        <v>22</v>
      </c>
      <c r="G398">
        <v>2015</v>
      </c>
      <c r="H398">
        <v>44</v>
      </c>
      <c r="I398">
        <v>31</v>
      </c>
      <c r="K398" s="13"/>
      <c r="L398" s="13" t="str">
        <f t="shared" si="8"/>
        <v>ML3.14_8_22_31</v>
      </c>
      <c r="M398" s="14" t="s">
        <v>5155</v>
      </c>
    </row>
    <row r="399" spans="1:13">
      <c r="A399" t="s">
        <v>3556</v>
      </c>
      <c r="B399" s="12" t="s">
        <v>5151</v>
      </c>
      <c r="C399" t="s">
        <v>5152</v>
      </c>
      <c r="E399">
        <v>8</v>
      </c>
      <c r="F399">
        <v>22</v>
      </c>
      <c r="G399">
        <v>2015</v>
      </c>
      <c r="H399">
        <v>44</v>
      </c>
      <c r="I399">
        <v>40</v>
      </c>
      <c r="K399" s="13"/>
      <c r="L399" s="13" t="str">
        <f t="shared" si="8"/>
        <v>ML3.14_8_22_40</v>
      </c>
      <c r="M399" s="14" t="s">
        <v>5156</v>
      </c>
    </row>
    <row r="400" spans="1:13">
      <c r="A400" t="s">
        <v>3556</v>
      </c>
      <c r="B400" s="12" t="s">
        <v>5151</v>
      </c>
      <c r="C400" t="s">
        <v>5152</v>
      </c>
      <c r="E400">
        <v>8</v>
      </c>
      <c r="F400">
        <v>22</v>
      </c>
      <c r="G400">
        <v>2015</v>
      </c>
      <c r="H400">
        <v>44</v>
      </c>
      <c r="I400">
        <v>5</v>
      </c>
      <c r="K400" s="13"/>
      <c r="L400" s="13" t="str">
        <f t="shared" si="8"/>
        <v>ML3.14_8_22_5</v>
      </c>
      <c r="M400" s="14" t="s">
        <v>5157</v>
      </c>
    </row>
    <row r="401" spans="1:13">
      <c r="A401" t="s">
        <v>3587</v>
      </c>
      <c r="B401" s="12" t="s">
        <v>4652</v>
      </c>
      <c r="C401" t="s">
        <v>4904</v>
      </c>
      <c r="E401">
        <v>8</v>
      </c>
      <c r="F401">
        <v>25</v>
      </c>
      <c r="G401">
        <v>2015</v>
      </c>
      <c r="H401">
        <v>62</v>
      </c>
      <c r="I401">
        <v>10</v>
      </c>
      <c r="K401" s="13"/>
      <c r="L401" s="13" t="str">
        <f t="shared" si="8"/>
        <v>ML3.2_8_25_10</v>
      </c>
      <c r="M401" s="14" t="s">
        <v>5158</v>
      </c>
    </row>
    <row r="402" spans="1:13">
      <c r="A402" t="s">
        <v>4908</v>
      </c>
      <c r="B402" s="12" t="s">
        <v>4658</v>
      </c>
      <c r="C402" t="s">
        <v>4909</v>
      </c>
      <c r="E402">
        <v>8</v>
      </c>
      <c r="F402">
        <v>25</v>
      </c>
      <c r="G402">
        <v>2015</v>
      </c>
      <c r="H402">
        <v>61</v>
      </c>
      <c r="I402">
        <v>10</v>
      </c>
      <c r="K402" s="13"/>
      <c r="L402" s="13" t="str">
        <f t="shared" si="8"/>
        <v>ML3.3_8_25_10</v>
      </c>
      <c r="M402" s="14" t="s">
        <v>5159</v>
      </c>
    </row>
    <row r="403" spans="1:13">
      <c r="A403" t="s">
        <v>4908</v>
      </c>
      <c r="B403" s="12" t="s">
        <v>4658</v>
      </c>
      <c r="C403" t="s">
        <v>4909</v>
      </c>
      <c r="E403">
        <v>8</v>
      </c>
      <c r="F403">
        <v>25</v>
      </c>
      <c r="G403">
        <v>2015</v>
      </c>
      <c r="H403">
        <v>61</v>
      </c>
      <c r="I403">
        <v>21</v>
      </c>
      <c r="K403" s="13"/>
      <c r="L403" s="13" t="str">
        <f t="shared" si="8"/>
        <v>ML3.3_8_25_21</v>
      </c>
      <c r="M403" s="14" t="s">
        <v>5160</v>
      </c>
    </row>
    <row r="404" spans="1:13">
      <c r="A404" t="s">
        <v>4908</v>
      </c>
      <c r="B404" s="12" t="s">
        <v>4658</v>
      </c>
      <c r="C404" t="s">
        <v>4909</v>
      </c>
      <c r="E404">
        <v>8</v>
      </c>
      <c r="F404">
        <v>25</v>
      </c>
      <c r="G404">
        <v>2015</v>
      </c>
      <c r="H404">
        <v>61</v>
      </c>
      <c r="I404">
        <v>27</v>
      </c>
      <c r="K404" s="13"/>
      <c r="L404" s="13" t="str">
        <f t="shared" si="8"/>
        <v>ML3.3_8_25_27</v>
      </c>
      <c r="M404" s="14" t="s">
        <v>5161</v>
      </c>
    </row>
    <row r="405" spans="1:13">
      <c r="A405" t="s">
        <v>4908</v>
      </c>
      <c r="B405" s="12" t="s">
        <v>4658</v>
      </c>
      <c r="C405" t="s">
        <v>4909</v>
      </c>
      <c r="E405">
        <v>8</v>
      </c>
      <c r="F405">
        <v>25</v>
      </c>
      <c r="G405">
        <v>2015</v>
      </c>
      <c r="H405">
        <v>61</v>
      </c>
      <c r="I405">
        <v>6</v>
      </c>
      <c r="K405" s="13"/>
      <c r="L405" s="13" t="str">
        <f t="shared" si="8"/>
        <v>ML3.3_8_25_6</v>
      </c>
      <c r="M405" s="14" t="s">
        <v>5162</v>
      </c>
    </row>
    <row r="406" spans="1:13">
      <c r="A406" t="s">
        <v>4912</v>
      </c>
      <c r="B406" s="12" t="s">
        <v>4625</v>
      </c>
      <c r="C406" t="s">
        <v>4913</v>
      </c>
      <c r="E406">
        <v>8</v>
      </c>
      <c r="F406">
        <v>24</v>
      </c>
      <c r="G406">
        <v>2015</v>
      </c>
      <c r="H406">
        <v>58</v>
      </c>
      <c r="I406">
        <v>10</v>
      </c>
      <c r="K406" s="13"/>
      <c r="L406" s="13" t="str">
        <f t="shared" si="8"/>
        <v>ML3.5ANDDBO4.1_8_24_10</v>
      </c>
      <c r="M406" s="14" t="s">
        <v>5163</v>
      </c>
    </row>
    <row r="407" spans="1:13">
      <c r="A407" t="s">
        <v>4912</v>
      </c>
      <c r="B407" s="12" t="s">
        <v>4625</v>
      </c>
      <c r="C407" t="s">
        <v>4913</v>
      </c>
      <c r="E407">
        <v>8</v>
      </c>
      <c r="F407">
        <v>24</v>
      </c>
      <c r="G407">
        <v>2015</v>
      </c>
      <c r="H407">
        <v>58</v>
      </c>
      <c r="I407">
        <v>20</v>
      </c>
      <c r="K407" s="13"/>
      <c r="L407" s="13" t="str">
        <f t="shared" si="8"/>
        <v>ML3.5ANDDBO4.1_8_24_20</v>
      </c>
      <c r="M407" s="14" t="s">
        <v>5164</v>
      </c>
    </row>
    <row r="408" spans="1:13">
      <c r="A408" t="s">
        <v>4912</v>
      </c>
      <c r="B408" s="12" t="s">
        <v>4625</v>
      </c>
      <c r="C408" t="s">
        <v>4913</v>
      </c>
      <c r="E408">
        <v>8</v>
      </c>
      <c r="F408">
        <v>24</v>
      </c>
      <c r="G408">
        <v>2015</v>
      </c>
      <c r="H408">
        <v>58</v>
      </c>
      <c r="I408">
        <v>30</v>
      </c>
      <c r="K408" s="13"/>
      <c r="L408" s="13" t="str">
        <f t="shared" si="8"/>
        <v>ML3.5ANDDBO4.1_8_24_30</v>
      </c>
      <c r="M408" s="14" t="s">
        <v>5165</v>
      </c>
    </row>
    <row r="409" spans="1:13">
      <c r="A409" t="s">
        <v>4916</v>
      </c>
      <c r="B409" s="12" t="s">
        <v>4630</v>
      </c>
      <c r="C409" t="s">
        <v>4917</v>
      </c>
      <c r="E409">
        <v>8</v>
      </c>
      <c r="F409">
        <v>24</v>
      </c>
      <c r="G409">
        <v>2015</v>
      </c>
      <c r="H409">
        <v>56</v>
      </c>
      <c r="I409">
        <v>20</v>
      </c>
      <c r="K409" s="13"/>
      <c r="L409" s="13" t="str">
        <f t="shared" si="8"/>
        <v>ML3.6ANDDBO4.2_8_24_20</v>
      </c>
      <c r="M409" s="14" t="s">
        <v>5166</v>
      </c>
    </row>
    <row r="410" spans="1:13">
      <c r="A410" t="s">
        <v>4916</v>
      </c>
      <c r="B410" s="12" t="s">
        <v>4630</v>
      </c>
      <c r="C410" t="s">
        <v>4917</v>
      </c>
      <c r="E410">
        <v>8</v>
      </c>
      <c r="F410">
        <v>24</v>
      </c>
      <c r="G410">
        <v>2015</v>
      </c>
      <c r="H410">
        <v>56</v>
      </c>
      <c r="I410">
        <v>30</v>
      </c>
      <c r="K410" s="13"/>
      <c r="L410" s="13" t="str">
        <f t="shared" si="8"/>
        <v>ML3.6ANDDBO4.2_8_24_30</v>
      </c>
      <c r="M410" s="14" t="s">
        <v>5167</v>
      </c>
    </row>
    <row r="411" spans="1:13">
      <c r="A411" t="s">
        <v>4916</v>
      </c>
      <c r="B411" s="12" t="s">
        <v>4630</v>
      </c>
      <c r="C411" t="s">
        <v>4917</v>
      </c>
      <c r="E411">
        <v>8</v>
      </c>
      <c r="F411">
        <v>24</v>
      </c>
      <c r="G411">
        <v>2015</v>
      </c>
      <c r="H411">
        <v>56</v>
      </c>
      <c r="I411">
        <v>9</v>
      </c>
      <c r="K411" s="13"/>
      <c r="L411" s="13" t="str">
        <f t="shared" si="8"/>
        <v>ML3.6ANDDBO4.2_8_24_9</v>
      </c>
      <c r="M411" s="14" t="s">
        <v>5168</v>
      </c>
    </row>
    <row r="412" spans="1:13">
      <c r="A412" t="s">
        <v>4920</v>
      </c>
      <c r="B412" s="12" t="s">
        <v>4635</v>
      </c>
      <c r="C412" t="s">
        <v>4921</v>
      </c>
      <c r="E412">
        <v>8</v>
      </c>
      <c r="F412">
        <v>24</v>
      </c>
      <c r="G412">
        <v>2015</v>
      </c>
      <c r="H412">
        <v>54</v>
      </c>
      <c r="I412">
        <v>10</v>
      </c>
      <c r="K412" s="13"/>
      <c r="L412" s="13" t="str">
        <f t="shared" si="8"/>
        <v>ML3.7ANDDBO4.3_8_24_10</v>
      </c>
      <c r="M412" s="14" t="s">
        <v>5169</v>
      </c>
    </row>
    <row r="413" spans="1:13">
      <c r="A413" t="s">
        <v>4920</v>
      </c>
      <c r="B413" s="12" t="s">
        <v>4635</v>
      </c>
      <c r="C413" t="s">
        <v>4921</v>
      </c>
      <c r="E413">
        <v>8</v>
      </c>
      <c r="F413">
        <v>24</v>
      </c>
      <c r="G413">
        <v>2015</v>
      </c>
      <c r="H413">
        <v>54</v>
      </c>
      <c r="I413">
        <v>20</v>
      </c>
      <c r="K413" s="13"/>
      <c r="L413" s="13" t="str">
        <f t="shared" si="8"/>
        <v>ML3.7ANDDBO4.3_8_24_20</v>
      </c>
      <c r="M413" s="14" t="s">
        <v>5170</v>
      </c>
    </row>
    <row r="414" spans="1:13">
      <c r="A414" t="s">
        <v>4920</v>
      </c>
      <c r="B414" s="12" t="s">
        <v>4635</v>
      </c>
      <c r="C414" t="s">
        <v>4921</v>
      </c>
      <c r="E414">
        <v>8</v>
      </c>
      <c r="F414">
        <v>24</v>
      </c>
      <c r="G414">
        <v>2015</v>
      </c>
      <c r="H414">
        <v>54</v>
      </c>
      <c r="I414">
        <v>30</v>
      </c>
      <c r="K414" s="13"/>
      <c r="L414" s="13" t="str">
        <f t="shared" si="8"/>
        <v>ML3.7ANDDBO4.3_8_24_30</v>
      </c>
      <c r="M414" s="14" t="s">
        <v>5171</v>
      </c>
    </row>
    <row r="415" spans="1:13">
      <c r="A415" t="s">
        <v>4924</v>
      </c>
      <c r="B415" s="12" t="s">
        <v>4640</v>
      </c>
      <c r="C415" t="s">
        <v>4925</v>
      </c>
      <c r="E415">
        <v>8</v>
      </c>
      <c r="F415">
        <v>24</v>
      </c>
      <c r="G415">
        <v>2015</v>
      </c>
      <c r="H415">
        <v>52</v>
      </c>
      <c r="I415">
        <v>10</v>
      </c>
      <c r="K415" s="13"/>
      <c r="L415" s="13" t="str">
        <f t="shared" si="8"/>
        <v>ML3.8ANDDBO4.4_8_24_10</v>
      </c>
      <c r="M415" s="14" t="s">
        <v>5172</v>
      </c>
    </row>
    <row r="416" spans="1:13">
      <c r="A416" t="s">
        <v>4924</v>
      </c>
      <c r="B416" s="12" t="s">
        <v>4640</v>
      </c>
      <c r="C416" t="s">
        <v>4925</v>
      </c>
      <c r="E416">
        <v>8</v>
      </c>
      <c r="F416">
        <v>24</v>
      </c>
      <c r="G416">
        <v>2015</v>
      </c>
      <c r="H416">
        <v>52</v>
      </c>
      <c r="I416">
        <v>20</v>
      </c>
      <c r="K416" s="13"/>
      <c r="L416" s="13" t="str">
        <f t="shared" si="8"/>
        <v>ML3.8ANDDBO4.4_8_24_20</v>
      </c>
      <c r="M416" s="14" t="s">
        <v>5173</v>
      </c>
    </row>
    <row r="417" spans="1:13">
      <c r="A417" t="s">
        <v>4924</v>
      </c>
      <c r="B417" s="12" t="s">
        <v>4640</v>
      </c>
      <c r="C417" t="s">
        <v>4925</v>
      </c>
      <c r="E417">
        <v>8</v>
      </c>
      <c r="F417">
        <v>24</v>
      </c>
      <c r="G417">
        <v>2015</v>
      </c>
      <c r="H417">
        <v>52</v>
      </c>
      <c r="I417">
        <v>30</v>
      </c>
      <c r="K417" s="13"/>
      <c r="L417" s="13" t="str">
        <f t="shared" si="8"/>
        <v>ML3.8ANDDBO4.4_8_24_30</v>
      </c>
      <c r="M417" s="14" t="s">
        <v>5174</v>
      </c>
    </row>
    <row r="418" spans="1:13">
      <c r="A418" t="s">
        <v>4924</v>
      </c>
      <c r="B418" s="12" t="s">
        <v>4640</v>
      </c>
      <c r="C418" t="s">
        <v>4925</v>
      </c>
      <c r="E418">
        <v>8</v>
      </c>
      <c r="F418">
        <v>24</v>
      </c>
      <c r="G418">
        <v>2015</v>
      </c>
      <c r="H418">
        <v>52</v>
      </c>
      <c r="I418">
        <v>40</v>
      </c>
      <c r="K418" s="13"/>
      <c r="L418" s="13" t="str">
        <f t="shared" si="8"/>
        <v>ML3.8ANDDBO4.4_8_24_40</v>
      </c>
      <c r="M418" s="14" t="s">
        <v>4641</v>
      </c>
    </row>
    <row r="419" spans="1:13">
      <c r="A419" t="s">
        <v>4924</v>
      </c>
      <c r="B419" s="12" t="s">
        <v>4640</v>
      </c>
      <c r="C419" t="s">
        <v>4925</v>
      </c>
      <c r="E419">
        <v>8</v>
      </c>
      <c r="F419">
        <v>24</v>
      </c>
      <c r="G419">
        <v>2015</v>
      </c>
      <c r="H419">
        <v>52</v>
      </c>
      <c r="I419">
        <v>40</v>
      </c>
      <c r="K419" s="13"/>
      <c r="L419" s="13" t="str">
        <f t="shared" si="8"/>
        <v>ML3.8ANDDBO4.4_8_24_40</v>
      </c>
      <c r="M419" s="14" t="s">
        <v>4641</v>
      </c>
    </row>
    <row r="420" spans="1:13">
      <c r="A420" t="s">
        <v>4924</v>
      </c>
      <c r="B420" s="12" t="s">
        <v>4640</v>
      </c>
      <c r="C420" t="s">
        <v>4925</v>
      </c>
      <c r="E420">
        <v>8</v>
      </c>
      <c r="F420">
        <v>24</v>
      </c>
      <c r="G420">
        <v>2015</v>
      </c>
      <c r="H420">
        <v>52</v>
      </c>
      <c r="I420">
        <v>40</v>
      </c>
      <c r="K420" s="13"/>
      <c r="L420" s="13" t="str">
        <f t="shared" si="8"/>
        <v>ML3.8ANDDBO4.4_8_24_40</v>
      </c>
      <c r="M420" s="14" t="s">
        <v>4641</v>
      </c>
    </row>
    <row r="421" spans="1:13">
      <c r="A421" t="s">
        <v>4924</v>
      </c>
      <c r="B421" s="12" t="s">
        <v>4640</v>
      </c>
      <c r="C421" t="s">
        <v>4925</v>
      </c>
      <c r="E421">
        <v>8</v>
      </c>
      <c r="F421">
        <v>24</v>
      </c>
      <c r="G421">
        <v>2015</v>
      </c>
      <c r="H421">
        <v>52</v>
      </c>
      <c r="I421">
        <v>5</v>
      </c>
      <c r="K421" s="13"/>
      <c r="L421" s="13" t="str">
        <f t="shared" si="8"/>
        <v>ML3.8ANDDBO4.4_8_24_5</v>
      </c>
      <c r="M421" s="14" t="s">
        <v>4643</v>
      </c>
    </row>
    <row r="422" spans="1:13">
      <c r="A422" t="s">
        <v>4928</v>
      </c>
      <c r="B422" s="12" t="s">
        <v>4618</v>
      </c>
      <c r="C422" t="s">
        <v>4929</v>
      </c>
      <c r="E422">
        <v>8</v>
      </c>
      <c r="F422">
        <v>23</v>
      </c>
      <c r="G422">
        <v>2015</v>
      </c>
      <c r="H422">
        <v>50</v>
      </c>
      <c r="I422">
        <v>11</v>
      </c>
      <c r="K422" s="13"/>
      <c r="L422" s="13" t="str">
        <f t="shared" si="8"/>
        <v>ML3.9ANDDBO4.5_8_23_11</v>
      </c>
      <c r="M422" s="14" t="s">
        <v>5175</v>
      </c>
    </row>
    <row r="423" spans="1:13">
      <c r="A423" t="s">
        <v>4928</v>
      </c>
      <c r="B423" s="12" t="s">
        <v>4618</v>
      </c>
      <c r="C423" t="s">
        <v>4929</v>
      </c>
      <c r="E423">
        <v>8</v>
      </c>
      <c r="F423">
        <v>23</v>
      </c>
      <c r="G423">
        <v>2015</v>
      </c>
      <c r="H423">
        <v>50</v>
      </c>
      <c r="I423">
        <v>20</v>
      </c>
      <c r="K423" s="13"/>
      <c r="L423" s="13" t="str">
        <f t="shared" si="8"/>
        <v>ML3.9ANDDBO4.5_8_23_20</v>
      </c>
      <c r="M423" s="14" t="s">
        <v>5176</v>
      </c>
    </row>
    <row r="424" spans="1:13">
      <c r="A424" t="s">
        <v>4928</v>
      </c>
      <c r="B424" s="12" t="s">
        <v>4618</v>
      </c>
      <c r="C424" t="s">
        <v>4929</v>
      </c>
      <c r="E424">
        <v>8</v>
      </c>
      <c r="F424">
        <v>23</v>
      </c>
      <c r="G424">
        <v>2015</v>
      </c>
      <c r="H424">
        <v>50</v>
      </c>
      <c r="I424">
        <v>31</v>
      </c>
      <c r="K424" s="13"/>
      <c r="L424" s="13" t="str">
        <f t="shared" si="8"/>
        <v>ML3.9ANDDBO4.5_8_23_31</v>
      </c>
      <c r="M424" s="14" t="s">
        <v>5177</v>
      </c>
    </row>
    <row r="425" spans="1:13">
      <c r="A425" t="s">
        <v>4928</v>
      </c>
      <c r="B425" s="12" t="s">
        <v>4618</v>
      </c>
      <c r="C425" t="s">
        <v>4929</v>
      </c>
      <c r="E425">
        <v>8</v>
      </c>
      <c r="F425">
        <v>23</v>
      </c>
      <c r="G425">
        <v>2015</v>
      </c>
      <c r="H425">
        <v>50</v>
      </c>
      <c r="I425">
        <v>31</v>
      </c>
      <c r="K425" s="13"/>
      <c r="L425" s="13" t="str">
        <f t="shared" si="8"/>
        <v>ML3.9ANDDBO4.5_8_23_31</v>
      </c>
      <c r="M425" s="14" t="s">
        <v>5177</v>
      </c>
    </row>
    <row r="426" spans="1:13">
      <c r="A426" t="s">
        <v>3609</v>
      </c>
      <c r="B426" s="12" t="s">
        <v>4471</v>
      </c>
      <c r="C426" t="s">
        <v>4933</v>
      </c>
      <c r="E426">
        <v>8</v>
      </c>
      <c r="F426">
        <v>19</v>
      </c>
      <c r="G426">
        <v>2015</v>
      </c>
      <c r="H426">
        <v>26</v>
      </c>
      <c r="I426">
        <v>10</v>
      </c>
      <c r="K426" s="13"/>
      <c r="L426" s="13" t="str">
        <f t="shared" si="8"/>
        <v>ML4.1_8_19_10</v>
      </c>
      <c r="M426" s="14" t="s">
        <v>5178</v>
      </c>
    </row>
    <row r="427" spans="1:13">
      <c r="A427" t="s">
        <v>3609</v>
      </c>
      <c r="B427" s="12" t="s">
        <v>4471</v>
      </c>
      <c r="C427" t="s">
        <v>4933</v>
      </c>
      <c r="E427">
        <v>8</v>
      </c>
      <c r="F427">
        <v>19</v>
      </c>
      <c r="G427">
        <v>2015</v>
      </c>
      <c r="H427">
        <v>26</v>
      </c>
      <c r="I427">
        <v>3</v>
      </c>
      <c r="K427" s="13"/>
      <c r="L427" s="13" t="str">
        <f t="shared" si="8"/>
        <v>ML4.1_8_19_3</v>
      </c>
      <c r="M427" s="14" t="s">
        <v>5179</v>
      </c>
    </row>
    <row r="428" spans="1:13">
      <c r="A428" t="s">
        <v>3624</v>
      </c>
      <c r="B428" s="12" t="s">
        <v>4540</v>
      </c>
      <c r="C428" t="s">
        <v>4936</v>
      </c>
      <c r="E428">
        <v>8</v>
      </c>
      <c r="F428">
        <v>21</v>
      </c>
      <c r="G428">
        <v>2015</v>
      </c>
      <c r="H428">
        <v>37</v>
      </c>
      <c r="I428">
        <v>10</v>
      </c>
      <c r="K428" s="13"/>
      <c r="L428" s="13" t="str">
        <f t="shared" si="8"/>
        <v>ML4.10_8_21_10</v>
      </c>
      <c r="M428" s="14" t="s">
        <v>5180</v>
      </c>
    </row>
    <row r="429" spans="1:13">
      <c r="A429" t="s">
        <v>3624</v>
      </c>
      <c r="B429" s="12" t="s">
        <v>4540</v>
      </c>
      <c r="C429" t="s">
        <v>4936</v>
      </c>
      <c r="E429">
        <v>8</v>
      </c>
      <c r="F429">
        <v>21</v>
      </c>
      <c r="G429">
        <v>2015</v>
      </c>
      <c r="H429">
        <v>37</v>
      </c>
      <c r="I429">
        <v>20</v>
      </c>
      <c r="K429" s="13"/>
      <c r="L429" s="13" t="str">
        <f t="shared" si="8"/>
        <v>ML4.10_8_21_20</v>
      </c>
      <c r="M429" s="14" t="s">
        <v>5181</v>
      </c>
    </row>
    <row r="430" spans="1:13">
      <c r="A430" t="s">
        <v>2021</v>
      </c>
      <c r="B430" s="12" t="s">
        <v>4546</v>
      </c>
      <c r="C430" t="s">
        <v>4939</v>
      </c>
      <c r="E430">
        <v>8</v>
      </c>
      <c r="F430">
        <v>21</v>
      </c>
      <c r="G430">
        <v>2015</v>
      </c>
      <c r="H430">
        <v>38</v>
      </c>
      <c r="I430">
        <v>20</v>
      </c>
      <c r="K430" s="13"/>
      <c r="L430" s="13" t="str">
        <f t="shared" si="8"/>
        <v>ML4.11_8_21_20</v>
      </c>
      <c r="M430" s="14" t="s">
        <v>5182</v>
      </c>
    </row>
    <row r="431" spans="1:13">
      <c r="A431" t="s">
        <v>2021</v>
      </c>
      <c r="B431" s="12" t="s">
        <v>4546</v>
      </c>
      <c r="C431" t="s">
        <v>4939</v>
      </c>
      <c r="E431">
        <v>8</v>
      </c>
      <c r="F431">
        <v>21</v>
      </c>
      <c r="G431">
        <v>2015</v>
      </c>
      <c r="H431">
        <v>38</v>
      </c>
      <c r="I431">
        <v>30</v>
      </c>
      <c r="K431" s="13"/>
      <c r="L431" s="13" t="str">
        <f t="shared" si="8"/>
        <v>ML4.11_8_21_30</v>
      </c>
      <c r="M431" s="14" t="s">
        <v>5183</v>
      </c>
    </row>
    <row r="432" spans="1:13">
      <c r="A432" t="s">
        <v>2021</v>
      </c>
      <c r="B432" s="12" t="s">
        <v>4546</v>
      </c>
      <c r="C432" t="s">
        <v>4939</v>
      </c>
      <c r="E432">
        <v>8</v>
      </c>
      <c r="F432">
        <v>21</v>
      </c>
      <c r="G432">
        <v>2015</v>
      </c>
      <c r="H432">
        <v>38</v>
      </c>
      <c r="I432">
        <v>9</v>
      </c>
      <c r="K432" s="13"/>
      <c r="L432" s="13" t="str">
        <f t="shared" si="8"/>
        <v>ML4.11_8_21_9</v>
      </c>
      <c r="M432" s="14" t="s">
        <v>5184</v>
      </c>
    </row>
    <row r="433" spans="1:13">
      <c r="A433" t="s">
        <v>4943</v>
      </c>
      <c r="B433" s="12" t="s">
        <v>4555</v>
      </c>
      <c r="C433" t="s">
        <v>4944</v>
      </c>
      <c r="E433">
        <v>8</v>
      </c>
      <c r="F433">
        <v>21</v>
      </c>
      <c r="G433">
        <v>2015</v>
      </c>
      <c r="H433">
        <v>39</v>
      </c>
      <c r="I433">
        <v>15</v>
      </c>
      <c r="K433" s="13"/>
      <c r="L433" s="13" t="str">
        <f t="shared" si="8"/>
        <v>ML4.115_8_21_15</v>
      </c>
      <c r="M433" s="14" t="s">
        <v>4556</v>
      </c>
    </row>
    <row r="434" spans="1:13">
      <c r="A434" t="s">
        <v>2070</v>
      </c>
      <c r="B434" s="12" t="s">
        <v>4575</v>
      </c>
      <c r="C434" t="s">
        <v>4946</v>
      </c>
      <c r="E434">
        <v>8</v>
      </c>
      <c r="F434">
        <v>22</v>
      </c>
      <c r="G434">
        <v>2015</v>
      </c>
      <c r="H434">
        <v>41</v>
      </c>
      <c r="I434">
        <v>10</v>
      </c>
      <c r="K434" s="13"/>
      <c r="L434" s="13" t="str">
        <f t="shared" si="8"/>
        <v>ML4.12_8_22_10</v>
      </c>
      <c r="M434" s="14" t="s">
        <v>5185</v>
      </c>
    </row>
    <row r="435" spans="1:13">
      <c r="A435" t="s">
        <v>2070</v>
      </c>
      <c r="B435" s="12" t="s">
        <v>4575</v>
      </c>
      <c r="C435" t="s">
        <v>4946</v>
      </c>
      <c r="E435">
        <v>8</v>
      </c>
      <c r="F435">
        <v>22</v>
      </c>
      <c r="G435">
        <v>2015</v>
      </c>
      <c r="H435">
        <v>41</v>
      </c>
      <c r="I435">
        <v>20</v>
      </c>
      <c r="K435" s="13"/>
      <c r="L435" s="13" t="str">
        <f t="shared" si="8"/>
        <v>ML4.12_8_22_20</v>
      </c>
      <c r="M435" s="14" t="s">
        <v>5186</v>
      </c>
    </row>
    <row r="436" spans="1:13">
      <c r="A436" t="s">
        <v>2070</v>
      </c>
      <c r="B436" s="12" t="s">
        <v>4575</v>
      </c>
      <c r="C436" t="s">
        <v>4946</v>
      </c>
      <c r="E436">
        <v>8</v>
      </c>
      <c r="F436">
        <v>22</v>
      </c>
      <c r="G436">
        <v>2015</v>
      </c>
      <c r="H436">
        <v>41</v>
      </c>
      <c r="I436">
        <v>30</v>
      </c>
      <c r="K436" s="13"/>
      <c r="L436" s="13" t="str">
        <f t="shared" si="8"/>
        <v>ML4.12_8_22_30</v>
      </c>
      <c r="M436" s="14" t="s">
        <v>5187</v>
      </c>
    </row>
    <row r="437" spans="1:13">
      <c r="A437" t="s">
        <v>2070</v>
      </c>
      <c r="B437" s="12" t="s">
        <v>4575</v>
      </c>
      <c r="C437" t="s">
        <v>4946</v>
      </c>
      <c r="E437">
        <v>8</v>
      </c>
      <c r="F437">
        <v>22</v>
      </c>
      <c r="G437">
        <v>2015</v>
      </c>
      <c r="H437">
        <v>41</v>
      </c>
      <c r="I437">
        <v>5</v>
      </c>
      <c r="K437" s="13"/>
      <c r="L437" s="13" t="str">
        <f t="shared" si="8"/>
        <v>ML4.12_8_22_5</v>
      </c>
      <c r="M437" s="14" t="s">
        <v>4580</v>
      </c>
    </row>
    <row r="438" spans="1:13">
      <c r="A438" t="s">
        <v>3646</v>
      </c>
      <c r="B438" s="12" t="s">
        <v>4583</v>
      </c>
      <c r="C438" t="s">
        <v>4950</v>
      </c>
      <c r="E438">
        <v>8</v>
      </c>
      <c r="F438">
        <v>22</v>
      </c>
      <c r="G438">
        <v>2015</v>
      </c>
      <c r="H438">
        <v>42</v>
      </c>
      <c r="I438">
        <v>10</v>
      </c>
      <c r="K438" s="13"/>
      <c r="L438" s="13" t="str">
        <f t="shared" si="8"/>
        <v>ML4.13_8_22_10</v>
      </c>
      <c r="M438" s="14" t="s">
        <v>5188</v>
      </c>
    </row>
    <row r="439" spans="1:13">
      <c r="A439" t="s">
        <v>3646</v>
      </c>
      <c r="B439" s="12" t="s">
        <v>4583</v>
      </c>
      <c r="C439" t="s">
        <v>4950</v>
      </c>
      <c r="E439">
        <v>8</v>
      </c>
      <c r="F439">
        <v>22</v>
      </c>
      <c r="G439">
        <v>2015</v>
      </c>
      <c r="H439">
        <v>42</v>
      </c>
      <c r="I439">
        <v>20</v>
      </c>
      <c r="K439" s="13"/>
      <c r="L439" s="13" t="str">
        <f t="shared" si="8"/>
        <v>ML4.13_8_22_20</v>
      </c>
      <c r="M439" s="14" t="s">
        <v>5189</v>
      </c>
    </row>
    <row r="440" spans="1:13">
      <c r="A440" t="s">
        <v>3646</v>
      </c>
      <c r="B440" s="12" t="s">
        <v>4583</v>
      </c>
      <c r="C440" t="s">
        <v>4950</v>
      </c>
      <c r="E440">
        <v>8</v>
      </c>
      <c r="F440">
        <v>22</v>
      </c>
      <c r="G440">
        <v>2015</v>
      </c>
      <c r="H440">
        <v>42</v>
      </c>
      <c r="I440">
        <v>30</v>
      </c>
      <c r="K440" s="13"/>
      <c r="L440" s="13" t="str">
        <f t="shared" si="8"/>
        <v>ML4.13_8_22_30</v>
      </c>
      <c r="M440" s="14" t="s">
        <v>5190</v>
      </c>
    </row>
    <row r="441" spans="1:13">
      <c r="A441" t="s">
        <v>3670</v>
      </c>
      <c r="B441" s="12" t="s">
        <v>4589</v>
      </c>
      <c r="C441" t="s">
        <v>4953</v>
      </c>
      <c r="E441">
        <v>8</v>
      </c>
      <c r="F441">
        <v>22</v>
      </c>
      <c r="G441">
        <v>2015</v>
      </c>
      <c r="H441">
        <v>43</v>
      </c>
      <c r="I441">
        <v>20</v>
      </c>
      <c r="K441" s="13"/>
      <c r="L441" s="13" t="str">
        <f t="shared" si="8"/>
        <v>ML4.14_8_22_20</v>
      </c>
      <c r="M441" s="14" t="s">
        <v>5191</v>
      </c>
    </row>
    <row r="442" spans="1:13">
      <c r="A442" t="s">
        <v>3670</v>
      </c>
      <c r="B442" s="12" t="s">
        <v>4589</v>
      </c>
      <c r="C442" t="s">
        <v>4953</v>
      </c>
      <c r="E442">
        <v>8</v>
      </c>
      <c r="F442">
        <v>22</v>
      </c>
      <c r="G442">
        <v>2015</v>
      </c>
      <c r="H442">
        <v>43</v>
      </c>
      <c r="I442">
        <v>30</v>
      </c>
      <c r="K442" s="13"/>
      <c r="L442" s="13" t="str">
        <f t="shared" si="8"/>
        <v>ML4.14_8_22_30</v>
      </c>
      <c r="M442" s="14" t="s">
        <v>4590</v>
      </c>
    </row>
    <row r="443" spans="1:13">
      <c r="A443" t="s">
        <v>3670</v>
      </c>
      <c r="B443" s="12" t="s">
        <v>4589</v>
      </c>
      <c r="C443" t="s">
        <v>4953</v>
      </c>
      <c r="E443">
        <v>8</v>
      </c>
      <c r="F443">
        <v>22</v>
      </c>
      <c r="G443">
        <v>2015</v>
      </c>
      <c r="H443">
        <v>43</v>
      </c>
      <c r="I443">
        <v>44</v>
      </c>
      <c r="K443" s="13"/>
      <c r="L443" s="13" t="str">
        <f t="shared" si="8"/>
        <v>ML4.14_8_22_44</v>
      </c>
      <c r="M443" s="14" t="s">
        <v>4592</v>
      </c>
    </row>
    <row r="444" spans="1:13">
      <c r="A444" t="s">
        <v>3670</v>
      </c>
      <c r="B444" s="12" t="s">
        <v>4589</v>
      </c>
      <c r="C444" t="s">
        <v>4953</v>
      </c>
      <c r="E444">
        <v>8</v>
      </c>
      <c r="F444">
        <v>22</v>
      </c>
      <c r="G444">
        <v>2015</v>
      </c>
      <c r="H444">
        <v>43</v>
      </c>
      <c r="I444">
        <v>5</v>
      </c>
      <c r="K444" s="13"/>
      <c r="L444" s="13" t="str">
        <f t="shared" si="8"/>
        <v>ML4.14_8_22_5</v>
      </c>
      <c r="M444" s="14" t="s">
        <v>5192</v>
      </c>
    </row>
    <row r="445" spans="1:13">
      <c r="A445" t="s">
        <v>3713</v>
      </c>
      <c r="B445" s="12" t="s">
        <v>4477</v>
      </c>
      <c r="C445" t="s">
        <v>4957</v>
      </c>
      <c r="E445">
        <v>8</v>
      </c>
      <c r="F445">
        <v>19</v>
      </c>
      <c r="G445">
        <v>2015</v>
      </c>
      <c r="H445">
        <v>27</v>
      </c>
      <c r="I445">
        <v>11</v>
      </c>
      <c r="K445" s="13"/>
      <c r="L445" s="13" t="str">
        <f t="shared" si="8"/>
        <v>ML4.2_8_19_11</v>
      </c>
      <c r="M445" s="14" t="s">
        <v>5193</v>
      </c>
    </row>
    <row r="446" spans="1:13">
      <c r="A446" t="s">
        <v>3713</v>
      </c>
      <c r="B446" s="12" t="s">
        <v>4477</v>
      </c>
      <c r="C446" t="s">
        <v>4957</v>
      </c>
      <c r="E446">
        <v>8</v>
      </c>
      <c r="F446">
        <v>19</v>
      </c>
      <c r="G446">
        <v>2015</v>
      </c>
      <c r="H446">
        <v>27</v>
      </c>
      <c r="I446">
        <v>20</v>
      </c>
      <c r="K446" s="13"/>
      <c r="L446" s="13" t="str">
        <f t="shared" si="8"/>
        <v>ML4.2_8_19_20</v>
      </c>
      <c r="M446" s="14" t="s">
        <v>5194</v>
      </c>
    </row>
    <row r="447" spans="1:13">
      <c r="A447" t="s">
        <v>3737</v>
      </c>
      <c r="B447" s="12" t="s">
        <v>4485</v>
      </c>
      <c r="C447" t="s">
        <v>4961</v>
      </c>
      <c r="E447">
        <v>8</v>
      </c>
      <c r="F447">
        <v>19</v>
      </c>
      <c r="G447">
        <v>2015</v>
      </c>
      <c r="H447">
        <v>28</v>
      </c>
      <c r="I447">
        <v>10</v>
      </c>
      <c r="K447" s="13"/>
      <c r="L447" s="13" t="str">
        <f t="shared" si="8"/>
        <v>ML4.3_8_19_10</v>
      </c>
      <c r="M447" s="14" t="s">
        <v>5195</v>
      </c>
    </row>
    <row r="448" spans="1:13">
      <c r="A448" t="s">
        <v>3737</v>
      </c>
      <c r="B448" s="12" t="s">
        <v>4485</v>
      </c>
      <c r="C448" t="s">
        <v>4961</v>
      </c>
      <c r="E448">
        <v>8</v>
      </c>
      <c r="F448">
        <v>19</v>
      </c>
      <c r="G448">
        <v>2015</v>
      </c>
      <c r="H448">
        <v>28</v>
      </c>
      <c r="I448">
        <v>21</v>
      </c>
      <c r="K448" s="13"/>
      <c r="L448" s="13" t="str">
        <f t="shared" si="8"/>
        <v>ML4.3_8_19_21</v>
      </c>
      <c r="M448" s="14" t="s">
        <v>5196</v>
      </c>
    </row>
    <row r="449" spans="1:13">
      <c r="A449" t="s">
        <v>3737</v>
      </c>
      <c r="B449" s="12" t="s">
        <v>4485</v>
      </c>
      <c r="C449" t="s">
        <v>4961</v>
      </c>
      <c r="E449">
        <v>8</v>
      </c>
      <c r="F449">
        <v>19</v>
      </c>
      <c r="G449">
        <v>2015</v>
      </c>
      <c r="H449">
        <v>28</v>
      </c>
      <c r="I449">
        <v>31</v>
      </c>
      <c r="K449" s="13"/>
      <c r="L449" s="13" t="str">
        <f t="shared" si="8"/>
        <v>ML4.3_8_19_31</v>
      </c>
      <c r="M449" s="14" t="s">
        <v>5197</v>
      </c>
    </row>
    <row r="450" spans="1:13">
      <c r="A450" t="s">
        <v>3737</v>
      </c>
      <c r="B450" s="12" t="s">
        <v>4485</v>
      </c>
      <c r="C450" t="s">
        <v>4961</v>
      </c>
      <c r="E450">
        <v>8</v>
      </c>
      <c r="F450">
        <v>19</v>
      </c>
      <c r="G450">
        <v>2015</v>
      </c>
      <c r="H450">
        <v>28</v>
      </c>
      <c r="I450">
        <v>40</v>
      </c>
      <c r="K450" s="13"/>
      <c r="L450" s="13" t="str">
        <f t="shared" si="8"/>
        <v>ML4.3_8_19_40</v>
      </c>
      <c r="M450" s="14" t="s">
        <v>5198</v>
      </c>
    </row>
    <row r="451" spans="1:13">
      <c r="A451" t="s">
        <v>3754</v>
      </c>
      <c r="B451" s="12" t="s">
        <v>4516</v>
      </c>
      <c r="C451" t="s">
        <v>4965</v>
      </c>
      <c r="E451">
        <v>8</v>
      </c>
      <c r="F451">
        <v>20</v>
      </c>
      <c r="G451">
        <v>2015</v>
      </c>
      <c r="H451">
        <v>31</v>
      </c>
      <c r="I451">
        <v>10</v>
      </c>
      <c r="K451" s="13"/>
      <c r="L451" s="13" t="str">
        <f t="shared" si="8"/>
        <v>ML4.5_8_20_10</v>
      </c>
      <c r="M451" s="14" t="s">
        <v>5199</v>
      </c>
    </row>
    <row r="452" spans="1:13">
      <c r="A452" t="s">
        <v>3754</v>
      </c>
      <c r="B452" s="12" t="s">
        <v>4516</v>
      </c>
      <c r="C452" t="s">
        <v>4965</v>
      </c>
      <c r="E452">
        <v>8</v>
      </c>
      <c r="F452">
        <v>20</v>
      </c>
      <c r="G452">
        <v>2015</v>
      </c>
      <c r="H452">
        <v>31</v>
      </c>
      <c r="I452">
        <v>20</v>
      </c>
      <c r="K452" s="13"/>
      <c r="L452" s="13" t="str">
        <f t="shared" si="8"/>
        <v>ML4.5_8_20_20</v>
      </c>
      <c r="M452" s="14" t="s">
        <v>5200</v>
      </c>
    </row>
    <row r="453" spans="1:13">
      <c r="A453" t="s">
        <v>3754</v>
      </c>
      <c r="B453" s="12" t="s">
        <v>4516</v>
      </c>
      <c r="C453" t="s">
        <v>4965</v>
      </c>
      <c r="E453">
        <v>8</v>
      </c>
      <c r="F453">
        <v>20</v>
      </c>
      <c r="G453">
        <v>2015</v>
      </c>
      <c r="H453">
        <v>31</v>
      </c>
      <c r="I453">
        <v>5</v>
      </c>
      <c r="K453" s="13"/>
      <c r="L453" s="13" t="str">
        <f t="shared" si="8"/>
        <v>ML4.5_8_20_5</v>
      </c>
      <c r="M453" s="14" t="s">
        <v>4519</v>
      </c>
    </row>
    <row r="454" spans="1:13">
      <c r="A454" t="s">
        <v>3754</v>
      </c>
      <c r="B454" s="12" t="s">
        <v>4516</v>
      </c>
      <c r="C454" t="s">
        <v>4965</v>
      </c>
      <c r="E454">
        <v>8</v>
      </c>
      <c r="F454">
        <v>20</v>
      </c>
      <c r="G454">
        <v>2015</v>
      </c>
      <c r="H454">
        <v>31</v>
      </c>
      <c r="I454">
        <v>5</v>
      </c>
      <c r="K454" s="13"/>
      <c r="L454" s="13" t="str">
        <f t="shared" si="8"/>
        <v>ML4.5_8_20_5</v>
      </c>
      <c r="M454" s="14" t="s">
        <v>4519</v>
      </c>
    </row>
    <row r="455" spans="1:13">
      <c r="A455" t="s">
        <v>3773</v>
      </c>
      <c r="B455" s="12" t="s">
        <v>4524</v>
      </c>
      <c r="C455" t="s">
        <v>4969</v>
      </c>
      <c r="E455">
        <v>8</v>
      </c>
      <c r="F455">
        <v>20</v>
      </c>
      <c r="G455">
        <v>2015</v>
      </c>
      <c r="H455">
        <v>32</v>
      </c>
      <c r="I455">
        <v>10</v>
      </c>
      <c r="K455" s="13"/>
      <c r="L455" s="13" t="str">
        <f t="shared" si="8"/>
        <v>ML4.6_8_20_10</v>
      </c>
      <c r="M455" s="14" t="s">
        <v>5201</v>
      </c>
    </row>
    <row r="456" spans="1:13">
      <c r="A456" t="s">
        <v>3773</v>
      </c>
      <c r="B456" s="12" t="s">
        <v>4524</v>
      </c>
      <c r="C456" t="s">
        <v>4969</v>
      </c>
      <c r="E456">
        <v>8</v>
      </c>
      <c r="F456">
        <v>20</v>
      </c>
      <c r="G456">
        <v>2015</v>
      </c>
      <c r="H456">
        <v>32</v>
      </c>
      <c r="I456">
        <v>20</v>
      </c>
      <c r="K456" s="13"/>
      <c r="L456" s="13" t="str">
        <f t="shared" si="8"/>
        <v>ML4.6_8_20_20</v>
      </c>
      <c r="M456" s="14" t="s">
        <v>5202</v>
      </c>
    </row>
    <row r="457" spans="1:13">
      <c r="A457" t="s">
        <v>3773</v>
      </c>
      <c r="B457" s="12" t="s">
        <v>4524</v>
      </c>
      <c r="C457" t="s">
        <v>4969</v>
      </c>
      <c r="E457">
        <v>8</v>
      </c>
      <c r="F457">
        <v>20</v>
      </c>
      <c r="G457">
        <v>2015</v>
      </c>
      <c r="H457">
        <v>32</v>
      </c>
      <c r="I457">
        <v>30</v>
      </c>
      <c r="K457" s="13"/>
      <c r="L457" s="13" t="str">
        <f t="shared" ref="L457:L520" si="9">A457&amp;"_"&amp;E457&amp;"_"&amp;F457&amp;"_"&amp;I457</f>
        <v>ML4.6_8_20_30</v>
      </c>
      <c r="M457" s="14" t="s">
        <v>5203</v>
      </c>
    </row>
    <row r="458" spans="1:13">
      <c r="A458" t="s">
        <v>3807</v>
      </c>
      <c r="B458" s="12" t="s">
        <v>4532</v>
      </c>
      <c r="C458" t="s">
        <v>4973</v>
      </c>
      <c r="E458">
        <v>8</v>
      </c>
      <c r="F458">
        <v>20</v>
      </c>
      <c r="G458">
        <v>2015</v>
      </c>
      <c r="H458">
        <v>33</v>
      </c>
      <c r="I458">
        <v>10</v>
      </c>
      <c r="K458" s="13"/>
      <c r="L458" s="13" t="str">
        <f t="shared" si="9"/>
        <v>ML4.7_8_20_10</v>
      </c>
      <c r="M458" s="14" t="s">
        <v>5204</v>
      </c>
    </row>
    <row r="459" spans="1:13">
      <c r="A459" t="s">
        <v>3807</v>
      </c>
      <c r="B459" s="12" t="s">
        <v>4532</v>
      </c>
      <c r="C459" t="s">
        <v>4973</v>
      </c>
      <c r="E459">
        <v>8</v>
      </c>
      <c r="F459">
        <v>20</v>
      </c>
      <c r="G459">
        <v>2015</v>
      </c>
      <c r="H459">
        <v>33</v>
      </c>
      <c r="I459">
        <v>21</v>
      </c>
      <c r="K459" s="13"/>
      <c r="L459" s="13" t="str">
        <f t="shared" si="9"/>
        <v>ML4.7_8_20_21</v>
      </c>
      <c r="M459" s="14" t="s">
        <v>5205</v>
      </c>
    </row>
    <row r="460" spans="1:13">
      <c r="A460" t="s">
        <v>3834</v>
      </c>
      <c r="B460" s="12" t="s">
        <v>4559</v>
      </c>
      <c r="C460" t="s">
        <v>4977</v>
      </c>
      <c r="E460">
        <v>8</v>
      </c>
      <c r="F460">
        <v>21</v>
      </c>
      <c r="G460">
        <v>2015</v>
      </c>
      <c r="H460">
        <v>35</v>
      </c>
      <c r="I460">
        <v>11</v>
      </c>
      <c r="K460" s="13"/>
      <c r="L460" s="13" t="str">
        <f t="shared" si="9"/>
        <v>ML4.8_8_21_11</v>
      </c>
      <c r="M460" s="14" t="s">
        <v>5206</v>
      </c>
    </row>
    <row r="461" spans="1:13">
      <c r="A461" t="s">
        <v>3834</v>
      </c>
      <c r="B461" s="12" t="s">
        <v>4559</v>
      </c>
      <c r="C461" t="s">
        <v>4977</v>
      </c>
      <c r="E461">
        <v>8</v>
      </c>
      <c r="F461">
        <v>21</v>
      </c>
      <c r="G461">
        <v>2015</v>
      </c>
      <c r="H461">
        <v>35</v>
      </c>
      <c r="I461">
        <v>20</v>
      </c>
      <c r="K461" s="13"/>
      <c r="L461" s="13" t="str">
        <f t="shared" si="9"/>
        <v>ML4.8_8_21_20</v>
      </c>
      <c r="M461" s="14" t="s">
        <v>5207</v>
      </c>
    </row>
    <row r="462" spans="1:13">
      <c r="A462" t="s">
        <v>3868</v>
      </c>
      <c r="B462" s="12" t="s">
        <v>4567</v>
      </c>
      <c r="C462" t="s">
        <v>4981</v>
      </c>
      <c r="E462">
        <v>8</v>
      </c>
      <c r="F462">
        <v>21</v>
      </c>
      <c r="G462">
        <v>2015</v>
      </c>
      <c r="H462">
        <v>36</v>
      </c>
      <c r="I462">
        <v>10</v>
      </c>
      <c r="K462" s="13"/>
      <c r="L462" s="13" t="str">
        <f t="shared" si="9"/>
        <v>ML4.9_8_21_10</v>
      </c>
      <c r="M462" s="14" t="s">
        <v>5208</v>
      </c>
    </row>
    <row r="463" spans="1:13">
      <c r="A463" t="s">
        <v>3868</v>
      </c>
      <c r="B463" s="12" t="s">
        <v>4567</v>
      </c>
      <c r="C463" t="s">
        <v>4981</v>
      </c>
      <c r="E463">
        <v>8</v>
      </c>
      <c r="F463">
        <v>21</v>
      </c>
      <c r="G463">
        <v>2015</v>
      </c>
      <c r="H463">
        <v>36</v>
      </c>
      <c r="I463">
        <v>20</v>
      </c>
      <c r="K463" s="13"/>
      <c r="L463" s="13" t="str">
        <f t="shared" si="9"/>
        <v>ML4.9_8_21_20</v>
      </c>
      <c r="M463" s="14" t="s">
        <v>5209</v>
      </c>
    </row>
    <row r="464" spans="1:13">
      <c r="A464" t="s">
        <v>3868</v>
      </c>
      <c r="B464" s="12" t="s">
        <v>4567</v>
      </c>
      <c r="C464" t="s">
        <v>4981</v>
      </c>
      <c r="E464">
        <v>8</v>
      </c>
      <c r="F464">
        <v>21</v>
      </c>
      <c r="G464">
        <v>2015</v>
      </c>
      <c r="H464">
        <v>36</v>
      </c>
      <c r="I464">
        <v>30</v>
      </c>
      <c r="K464" s="13"/>
      <c r="L464" s="13" t="str">
        <f t="shared" si="9"/>
        <v>ML4.9_8_21_30</v>
      </c>
      <c r="M464" s="14" t="s">
        <v>5210</v>
      </c>
    </row>
    <row r="465" spans="1:13">
      <c r="A465" t="s">
        <v>3868</v>
      </c>
      <c r="B465" s="12" t="s">
        <v>4567</v>
      </c>
      <c r="C465" t="s">
        <v>4981</v>
      </c>
      <c r="E465">
        <v>8</v>
      </c>
      <c r="F465">
        <v>21</v>
      </c>
      <c r="G465">
        <v>2015</v>
      </c>
      <c r="H465">
        <v>36</v>
      </c>
      <c r="I465">
        <v>5</v>
      </c>
      <c r="K465" s="13"/>
      <c r="L465" s="13" t="str">
        <f t="shared" si="9"/>
        <v>ML4.9_8_21_5</v>
      </c>
      <c r="M465" s="14" t="s">
        <v>4572</v>
      </c>
    </row>
    <row r="466" spans="1:13">
      <c r="A466" t="s">
        <v>3868</v>
      </c>
      <c r="B466" s="12" t="s">
        <v>4567</v>
      </c>
      <c r="C466" t="s">
        <v>4981</v>
      </c>
      <c r="E466">
        <v>8</v>
      </c>
      <c r="F466">
        <v>21</v>
      </c>
      <c r="G466">
        <v>2015</v>
      </c>
      <c r="H466">
        <v>36</v>
      </c>
      <c r="I466">
        <v>5</v>
      </c>
      <c r="K466" s="13"/>
      <c r="L466" s="13" t="str">
        <f t="shared" si="9"/>
        <v>ML4.9_8_21_5</v>
      </c>
      <c r="M466" s="14" t="s">
        <v>4572</v>
      </c>
    </row>
    <row r="467" spans="1:13">
      <c r="A467" t="s">
        <v>2106</v>
      </c>
      <c r="B467" s="12" t="s">
        <v>4682</v>
      </c>
      <c r="C467" t="s">
        <v>4985</v>
      </c>
      <c r="E467">
        <v>8</v>
      </c>
      <c r="F467">
        <v>31</v>
      </c>
      <c r="G467">
        <v>2015</v>
      </c>
      <c r="H467">
        <v>74</v>
      </c>
      <c r="I467">
        <v>10</v>
      </c>
      <c r="K467" s="13"/>
      <c r="L467" s="13" t="str">
        <f t="shared" si="9"/>
        <v>ML5.1_8_31_10</v>
      </c>
      <c r="M467" s="14" t="s">
        <v>5211</v>
      </c>
    </row>
    <row r="468" spans="1:13">
      <c r="A468" t="s">
        <v>2106</v>
      </c>
      <c r="B468" s="12" t="s">
        <v>4682</v>
      </c>
      <c r="C468" t="s">
        <v>4985</v>
      </c>
      <c r="E468">
        <v>8</v>
      </c>
      <c r="F468">
        <v>31</v>
      </c>
      <c r="G468">
        <v>2015</v>
      </c>
      <c r="H468">
        <v>74</v>
      </c>
      <c r="I468">
        <v>20</v>
      </c>
      <c r="K468" s="13"/>
      <c r="L468" s="13" t="str">
        <f t="shared" si="9"/>
        <v>ML5.1_8_31_20</v>
      </c>
      <c r="M468" s="14" t="s">
        <v>5212</v>
      </c>
    </row>
    <row r="469" spans="1:13">
      <c r="A469" t="s">
        <v>2106</v>
      </c>
      <c r="B469" s="12" t="s">
        <v>4682</v>
      </c>
      <c r="C469" t="s">
        <v>4985</v>
      </c>
      <c r="E469">
        <v>8</v>
      </c>
      <c r="F469">
        <v>31</v>
      </c>
      <c r="G469">
        <v>2015</v>
      </c>
      <c r="H469">
        <v>74</v>
      </c>
      <c r="I469">
        <v>30</v>
      </c>
      <c r="K469" s="13"/>
      <c r="L469" s="13" t="str">
        <f t="shared" si="9"/>
        <v>ML5.1_8_31_30</v>
      </c>
      <c r="M469" s="14" t="s">
        <v>5213</v>
      </c>
    </row>
    <row r="470" spans="1:13">
      <c r="A470" t="s">
        <v>2106</v>
      </c>
      <c r="B470" s="12" t="s">
        <v>4682</v>
      </c>
      <c r="C470" t="s">
        <v>4985</v>
      </c>
      <c r="E470">
        <v>8</v>
      </c>
      <c r="F470">
        <v>31</v>
      </c>
      <c r="G470">
        <v>2015</v>
      </c>
      <c r="H470">
        <v>74</v>
      </c>
      <c r="I470">
        <v>31</v>
      </c>
      <c r="K470" s="13"/>
      <c r="L470" s="13" t="str">
        <f t="shared" si="9"/>
        <v>ML5.1_8_31_31</v>
      </c>
      <c r="M470" s="14" t="s">
        <v>5214</v>
      </c>
    </row>
    <row r="471" spans="1:13">
      <c r="A471" t="s">
        <v>4988</v>
      </c>
      <c r="B471" s="12" t="s">
        <v>4664</v>
      </c>
      <c r="C471" t="s">
        <v>4989</v>
      </c>
      <c r="E471">
        <v>8</v>
      </c>
      <c r="F471">
        <v>30</v>
      </c>
      <c r="G471">
        <v>2015</v>
      </c>
      <c r="H471">
        <v>65</v>
      </c>
      <c r="I471">
        <v>10</v>
      </c>
      <c r="K471" s="13"/>
      <c r="L471" s="13" t="str">
        <f t="shared" si="9"/>
        <v>ML5.10_8_30_10</v>
      </c>
      <c r="M471" s="14" t="s">
        <v>5215</v>
      </c>
    </row>
    <row r="472" spans="1:13">
      <c r="A472" t="s">
        <v>4988</v>
      </c>
      <c r="B472" s="12" t="s">
        <v>4664</v>
      </c>
      <c r="C472" t="s">
        <v>4989</v>
      </c>
      <c r="E472">
        <v>8</v>
      </c>
      <c r="F472">
        <v>30</v>
      </c>
      <c r="G472">
        <v>2015</v>
      </c>
      <c r="H472">
        <v>65</v>
      </c>
      <c r="I472">
        <v>20</v>
      </c>
      <c r="K472" s="13"/>
      <c r="L472" s="13" t="str">
        <f t="shared" si="9"/>
        <v>ML5.10_8_30_20</v>
      </c>
      <c r="M472" s="14" t="s">
        <v>5216</v>
      </c>
    </row>
    <row r="473" spans="1:13">
      <c r="A473" t="s">
        <v>4988</v>
      </c>
      <c r="B473" s="12" t="s">
        <v>4664</v>
      </c>
      <c r="C473" t="s">
        <v>4989</v>
      </c>
      <c r="E473">
        <v>8</v>
      </c>
      <c r="F473">
        <v>30</v>
      </c>
      <c r="G473">
        <v>2015</v>
      </c>
      <c r="H473">
        <v>65</v>
      </c>
      <c r="I473">
        <v>31</v>
      </c>
      <c r="K473" s="13"/>
      <c r="L473" s="13" t="str">
        <f t="shared" si="9"/>
        <v>ML5.10_8_30_31</v>
      </c>
      <c r="M473" s="14" t="s">
        <v>5217</v>
      </c>
    </row>
    <row r="474" spans="1:13">
      <c r="A474" t="s">
        <v>5218</v>
      </c>
      <c r="B474" s="12" t="s">
        <v>5219</v>
      </c>
      <c r="C474" t="s">
        <v>5220</v>
      </c>
      <c r="E474">
        <v>8</v>
      </c>
      <c r="F474">
        <v>30</v>
      </c>
      <c r="G474">
        <v>2015</v>
      </c>
      <c r="H474">
        <v>64</v>
      </c>
      <c r="I474">
        <v>10</v>
      </c>
      <c r="K474" s="13"/>
      <c r="L474" s="13" t="str">
        <f t="shared" si="9"/>
        <v>ML5.11&amp;ML4.8_8_30_10</v>
      </c>
      <c r="M474" s="14" t="s">
        <v>5221</v>
      </c>
    </row>
    <row r="475" spans="1:13">
      <c r="A475" t="s">
        <v>5218</v>
      </c>
      <c r="B475" s="12" t="s">
        <v>5219</v>
      </c>
      <c r="C475" t="s">
        <v>5220</v>
      </c>
      <c r="E475">
        <v>8</v>
      </c>
      <c r="F475">
        <v>30</v>
      </c>
      <c r="G475">
        <v>2015</v>
      </c>
      <c r="H475">
        <v>64</v>
      </c>
      <c r="I475">
        <v>20</v>
      </c>
      <c r="K475" s="13"/>
      <c r="L475" s="13" t="str">
        <f t="shared" si="9"/>
        <v>ML5.11&amp;ML4.8_8_30_20</v>
      </c>
      <c r="M475" s="14" t="s">
        <v>5222</v>
      </c>
    </row>
    <row r="476" spans="1:13">
      <c r="A476" t="s">
        <v>5218</v>
      </c>
      <c r="B476" s="12" t="s">
        <v>5219</v>
      </c>
      <c r="C476" t="s">
        <v>5220</v>
      </c>
      <c r="E476">
        <v>8</v>
      </c>
      <c r="F476">
        <v>30</v>
      </c>
      <c r="G476">
        <v>2015</v>
      </c>
      <c r="H476">
        <v>64</v>
      </c>
      <c r="I476">
        <v>31</v>
      </c>
      <c r="K476" s="13"/>
      <c r="L476" s="13" t="str">
        <f t="shared" si="9"/>
        <v>ML5.11&amp;ML4.8_8_30_31</v>
      </c>
      <c r="M476" s="14" t="s">
        <v>5223</v>
      </c>
    </row>
    <row r="477" spans="1:13">
      <c r="A477" t="s">
        <v>5218</v>
      </c>
      <c r="B477" s="12" t="s">
        <v>5219</v>
      </c>
      <c r="C477" t="s">
        <v>5220</v>
      </c>
      <c r="E477">
        <v>8</v>
      </c>
      <c r="F477">
        <v>30</v>
      </c>
      <c r="G477">
        <v>2015</v>
      </c>
      <c r="H477">
        <v>64</v>
      </c>
      <c r="I477">
        <v>36</v>
      </c>
      <c r="K477" s="13"/>
      <c r="L477" s="13" t="str">
        <f t="shared" si="9"/>
        <v>ML5.11&amp;ML4.8_8_30_36</v>
      </c>
      <c r="M477" s="14" t="s">
        <v>5224</v>
      </c>
    </row>
    <row r="478" spans="1:13">
      <c r="A478" t="s">
        <v>5218</v>
      </c>
      <c r="B478" s="12" t="s">
        <v>5219</v>
      </c>
      <c r="C478" t="s">
        <v>5220</v>
      </c>
      <c r="E478">
        <v>8</v>
      </c>
      <c r="F478">
        <v>30</v>
      </c>
      <c r="G478">
        <v>2015</v>
      </c>
      <c r="H478">
        <v>64</v>
      </c>
      <c r="I478">
        <v>37</v>
      </c>
      <c r="K478" s="13"/>
      <c r="L478" s="13" t="str">
        <f t="shared" si="9"/>
        <v>ML5.11&amp;ML4.8_8_30_37</v>
      </c>
      <c r="M478" s="14" t="s">
        <v>5225</v>
      </c>
    </row>
    <row r="479" spans="1:13">
      <c r="A479" t="s">
        <v>5218</v>
      </c>
      <c r="B479" s="12" t="s">
        <v>5219</v>
      </c>
      <c r="C479" t="s">
        <v>5220</v>
      </c>
      <c r="E479">
        <v>8</v>
      </c>
      <c r="F479">
        <v>30</v>
      </c>
      <c r="G479">
        <v>2015</v>
      </c>
      <c r="H479">
        <v>64</v>
      </c>
      <c r="I479">
        <v>37</v>
      </c>
      <c r="K479" s="13"/>
      <c r="L479" s="13" t="str">
        <f t="shared" si="9"/>
        <v>ML5.11&amp;ML4.8_8_30_37</v>
      </c>
      <c r="M479" s="14" t="s">
        <v>5225</v>
      </c>
    </row>
    <row r="480" spans="1:13">
      <c r="A480" t="s">
        <v>5218</v>
      </c>
      <c r="B480" s="12" t="s">
        <v>5219</v>
      </c>
      <c r="C480" t="s">
        <v>5220</v>
      </c>
      <c r="E480">
        <v>8</v>
      </c>
      <c r="F480">
        <v>30</v>
      </c>
      <c r="G480">
        <v>2015</v>
      </c>
      <c r="H480">
        <v>64</v>
      </c>
      <c r="I480">
        <v>37</v>
      </c>
      <c r="K480" s="13"/>
      <c r="L480" s="13" t="str">
        <f t="shared" si="9"/>
        <v>ML5.11&amp;ML4.8_8_30_37</v>
      </c>
      <c r="M480" s="14" t="s">
        <v>5225</v>
      </c>
    </row>
    <row r="481" spans="1:13">
      <c r="A481" t="s">
        <v>5218</v>
      </c>
      <c r="B481" s="12" t="s">
        <v>5219</v>
      </c>
      <c r="C481" t="s">
        <v>5220</v>
      </c>
      <c r="E481">
        <v>8</v>
      </c>
      <c r="F481">
        <v>30</v>
      </c>
      <c r="G481">
        <v>2015</v>
      </c>
      <c r="H481">
        <v>64</v>
      </c>
      <c r="I481">
        <v>37</v>
      </c>
      <c r="K481" s="13"/>
      <c r="L481" s="13" t="str">
        <f t="shared" si="9"/>
        <v>ML5.11&amp;ML4.8_8_30_37</v>
      </c>
      <c r="M481" s="14" t="s">
        <v>5225</v>
      </c>
    </row>
    <row r="482" spans="1:13">
      <c r="A482" t="s">
        <v>5218</v>
      </c>
      <c r="B482" s="12" t="s">
        <v>5219</v>
      </c>
      <c r="C482" t="s">
        <v>5220</v>
      </c>
      <c r="E482">
        <v>8</v>
      </c>
      <c r="F482">
        <v>30</v>
      </c>
      <c r="G482">
        <v>2015</v>
      </c>
      <c r="H482">
        <v>64</v>
      </c>
      <c r="I482">
        <v>5</v>
      </c>
      <c r="K482" s="13"/>
      <c r="L482" s="13" t="str">
        <f t="shared" si="9"/>
        <v>ML5.11&amp;ML4.8_8_30_5</v>
      </c>
      <c r="M482" s="14" t="s">
        <v>5226</v>
      </c>
    </row>
    <row r="483" spans="1:13">
      <c r="A483" t="s">
        <v>5218</v>
      </c>
      <c r="B483" s="12" t="s">
        <v>5219</v>
      </c>
      <c r="C483" t="s">
        <v>5220</v>
      </c>
      <c r="E483">
        <v>8</v>
      </c>
      <c r="F483">
        <v>30</v>
      </c>
      <c r="G483">
        <v>2015</v>
      </c>
      <c r="H483">
        <v>64</v>
      </c>
      <c r="I483">
        <v>5</v>
      </c>
      <c r="K483" s="13"/>
      <c r="L483" s="13" t="str">
        <f t="shared" si="9"/>
        <v>ML5.11&amp;ML4.8_8_30_5</v>
      </c>
      <c r="M483" s="14" t="s">
        <v>5226</v>
      </c>
    </row>
    <row r="484" spans="1:13">
      <c r="A484" t="s">
        <v>4992</v>
      </c>
      <c r="B484" s="12" t="s">
        <v>4688</v>
      </c>
      <c r="C484" t="s">
        <v>4993</v>
      </c>
      <c r="E484">
        <v>8</v>
      </c>
      <c r="F484">
        <v>31</v>
      </c>
      <c r="G484">
        <v>2015</v>
      </c>
      <c r="H484">
        <v>73</v>
      </c>
      <c r="I484">
        <v>10</v>
      </c>
      <c r="K484" s="13"/>
      <c r="L484" s="13" t="str">
        <f t="shared" si="9"/>
        <v>ML5.2_8_31_10</v>
      </c>
      <c r="M484" s="14" t="s">
        <v>5227</v>
      </c>
    </row>
    <row r="485" spans="1:13">
      <c r="A485" t="s">
        <v>4992</v>
      </c>
      <c r="B485" s="12" t="s">
        <v>4688</v>
      </c>
      <c r="C485" t="s">
        <v>4993</v>
      </c>
      <c r="E485">
        <v>8</v>
      </c>
      <c r="F485">
        <v>31</v>
      </c>
      <c r="G485">
        <v>2015</v>
      </c>
      <c r="H485">
        <v>73</v>
      </c>
      <c r="I485">
        <v>20</v>
      </c>
      <c r="K485" s="13"/>
      <c r="L485" s="13" t="str">
        <f t="shared" si="9"/>
        <v>ML5.2_8_31_20</v>
      </c>
      <c r="M485" s="14" t="s">
        <v>5228</v>
      </c>
    </row>
    <row r="486" spans="1:13">
      <c r="A486" t="s">
        <v>5229</v>
      </c>
      <c r="B486" s="12" t="s">
        <v>5230</v>
      </c>
      <c r="C486" t="s">
        <v>5231</v>
      </c>
      <c r="E486">
        <v>8</v>
      </c>
      <c r="F486">
        <v>31</v>
      </c>
      <c r="G486">
        <v>2015</v>
      </c>
      <c r="H486">
        <v>72</v>
      </c>
      <c r="I486">
        <v>10</v>
      </c>
      <c r="K486" s="13"/>
      <c r="L486" s="13" t="str">
        <f t="shared" si="9"/>
        <v>ML5.3_8_31_10</v>
      </c>
      <c r="M486" s="14" t="s">
        <v>5232</v>
      </c>
    </row>
    <row r="487" spans="1:13">
      <c r="A487" t="s">
        <v>5229</v>
      </c>
      <c r="B487" s="12" t="s">
        <v>5230</v>
      </c>
      <c r="C487" t="s">
        <v>5231</v>
      </c>
      <c r="E487">
        <v>8</v>
      </c>
      <c r="F487">
        <v>31</v>
      </c>
      <c r="G487">
        <v>2015</v>
      </c>
      <c r="H487">
        <v>72</v>
      </c>
      <c r="I487">
        <v>20</v>
      </c>
      <c r="K487" s="13"/>
      <c r="L487" s="13" t="str">
        <f t="shared" si="9"/>
        <v>ML5.3_8_31_20</v>
      </c>
      <c r="M487" s="14" t="s">
        <v>5233</v>
      </c>
    </row>
    <row r="488" spans="1:13">
      <c r="A488" t="s">
        <v>5229</v>
      </c>
      <c r="B488" s="12" t="s">
        <v>5230</v>
      </c>
      <c r="C488" t="s">
        <v>5231</v>
      </c>
      <c r="E488">
        <v>8</v>
      </c>
      <c r="F488">
        <v>31</v>
      </c>
      <c r="G488">
        <v>2015</v>
      </c>
      <c r="H488">
        <v>72</v>
      </c>
      <c r="I488">
        <v>34</v>
      </c>
      <c r="K488" s="13"/>
      <c r="L488" s="13" t="str">
        <f t="shared" si="9"/>
        <v>ML5.3_8_31_34</v>
      </c>
      <c r="M488" s="14" t="s">
        <v>5234</v>
      </c>
    </row>
    <row r="489" spans="1:13">
      <c r="A489" t="s">
        <v>5229</v>
      </c>
      <c r="B489" s="12" t="s">
        <v>5230</v>
      </c>
      <c r="C489" t="s">
        <v>5231</v>
      </c>
      <c r="E489">
        <v>8</v>
      </c>
      <c r="F489">
        <v>31</v>
      </c>
      <c r="G489">
        <v>2015</v>
      </c>
      <c r="H489">
        <v>72</v>
      </c>
      <c r="I489">
        <v>34</v>
      </c>
      <c r="K489" s="13"/>
      <c r="L489" s="13" t="str">
        <f t="shared" si="9"/>
        <v>ML5.3_8_31_34</v>
      </c>
      <c r="M489" s="14" t="s">
        <v>5234</v>
      </c>
    </row>
    <row r="490" spans="1:13">
      <c r="A490" t="s">
        <v>5229</v>
      </c>
      <c r="B490" s="12" t="s">
        <v>5230</v>
      </c>
      <c r="C490" t="s">
        <v>5231</v>
      </c>
      <c r="E490">
        <v>8</v>
      </c>
      <c r="F490">
        <v>31</v>
      </c>
      <c r="G490">
        <v>2015</v>
      </c>
      <c r="H490">
        <v>72</v>
      </c>
      <c r="I490">
        <v>34</v>
      </c>
      <c r="K490" s="13"/>
      <c r="L490" s="13" t="str">
        <f t="shared" si="9"/>
        <v>ML5.3_8_31_34</v>
      </c>
      <c r="M490" s="14" t="s">
        <v>5234</v>
      </c>
    </row>
    <row r="491" spans="1:13">
      <c r="A491" t="s">
        <v>5229</v>
      </c>
      <c r="B491" s="12" t="s">
        <v>5230</v>
      </c>
      <c r="C491" t="s">
        <v>5231</v>
      </c>
      <c r="E491">
        <v>8</v>
      </c>
      <c r="F491">
        <v>31</v>
      </c>
      <c r="G491">
        <v>2015</v>
      </c>
      <c r="H491">
        <v>72</v>
      </c>
      <c r="I491">
        <v>34</v>
      </c>
      <c r="K491" s="13"/>
      <c r="L491" s="13" t="str">
        <f t="shared" si="9"/>
        <v>ML5.3_8_31_34</v>
      </c>
      <c r="M491" s="14" t="s">
        <v>5234</v>
      </c>
    </row>
    <row r="492" spans="1:13">
      <c r="A492" t="s">
        <v>5229</v>
      </c>
      <c r="B492" s="12" t="s">
        <v>5230</v>
      </c>
      <c r="C492" t="s">
        <v>5231</v>
      </c>
      <c r="E492">
        <v>8</v>
      </c>
      <c r="F492">
        <v>31</v>
      </c>
      <c r="G492">
        <v>2015</v>
      </c>
      <c r="H492">
        <v>72</v>
      </c>
      <c r="I492">
        <v>34</v>
      </c>
      <c r="K492" s="13"/>
      <c r="L492" s="13" t="str">
        <f t="shared" si="9"/>
        <v>ML5.3_8_31_34</v>
      </c>
      <c r="M492" s="14" t="s">
        <v>5234</v>
      </c>
    </row>
    <row r="493" spans="1:13">
      <c r="A493" t="s">
        <v>5229</v>
      </c>
      <c r="B493" s="12" t="s">
        <v>5230</v>
      </c>
      <c r="C493" t="s">
        <v>5231</v>
      </c>
      <c r="E493">
        <v>8</v>
      </c>
      <c r="F493">
        <v>31</v>
      </c>
      <c r="G493">
        <v>2015</v>
      </c>
      <c r="H493">
        <v>72</v>
      </c>
      <c r="I493">
        <v>6</v>
      </c>
      <c r="K493" s="13"/>
      <c r="L493" s="13" t="str">
        <f t="shared" si="9"/>
        <v>ML5.3_8_31_6</v>
      </c>
      <c r="M493" s="14" t="s">
        <v>5235</v>
      </c>
    </row>
    <row r="494" spans="1:13">
      <c r="A494" t="s">
        <v>3890</v>
      </c>
      <c r="B494" s="12" t="s">
        <v>4694</v>
      </c>
      <c r="C494" t="s">
        <v>4996</v>
      </c>
      <c r="E494">
        <v>8</v>
      </c>
      <c r="F494">
        <v>31</v>
      </c>
      <c r="G494">
        <v>2015</v>
      </c>
      <c r="H494">
        <v>71</v>
      </c>
      <c r="I494">
        <v>10</v>
      </c>
      <c r="K494" s="13"/>
      <c r="L494" s="13" t="str">
        <f t="shared" si="9"/>
        <v>ML5.4_8_31_10</v>
      </c>
      <c r="M494" s="14" t="s">
        <v>5236</v>
      </c>
    </row>
    <row r="495" spans="1:13">
      <c r="A495" t="s">
        <v>3890</v>
      </c>
      <c r="B495" s="12" t="s">
        <v>4694</v>
      </c>
      <c r="C495" t="s">
        <v>4996</v>
      </c>
      <c r="E495">
        <v>8</v>
      </c>
      <c r="F495">
        <v>31</v>
      </c>
      <c r="G495">
        <v>2015</v>
      </c>
      <c r="H495">
        <v>71</v>
      </c>
      <c r="I495">
        <v>21</v>
      </c>
      <c r="K495" s="13"/>
      <c r="L495" s="13" t="str">
        <f t="shared" si="9"/>
        <v>ML5.4_8_31_21</v>
      </c>
      <c r="M495" s="14" t="s">
        <v>5237</v>
      </c>
    </row>
    <row r="496" spans="1:13">
      <c r="A496" t="s">
        <v>3890</v>
      </c>
      <c r="B496" s="12" t="s">
        <v>4694</v>
      </c>
      <c r="C496" t="s">
        <v>4996</v>
      </c>
      <c r="E496">
        <v>8</v>
      </c>
      <c r="F496">
        <v>31</v>
      </c>
      <c r="G496">
        <v>2015</v>
      </c>
      <c r="H496">
        <v>71</v>
      </c>
      <c r="I496">
        <v>5</v>
      </c>
      <c r="K496" s="13"/>
      <c r="L496" s="13" t="str">
        <f t="shared" si="9"/>
        <v>ML5.4_8_31_5</v>
      </c>
      <c r="M496" s="14" t="s">
        <v>5238</v>
      </c>
    </row>
    <row r="497" spans="1:13">
      <c r="A497" t="s">
        <v>4998</v>
      </c>
      <c r="B497" s="12" t="s">
        <v>4699</v>
      </c>
      <c r="C497" t="s">
        <v>4999</v>
      </c>
      <c r="E497">
        <v>8</v>
      </c>
      <c r="F497">
        <v>31</v>
      </c>
      <c r="G497">
        <v>2015</v>
      </c>
      <c r="H497">
        <v>70</v>
      </c>
      <c r="I497">
        <v>10</v>
      </c>
      <c r="K497" s="13"/>
      <c r="L497" s="13" t="str">
        <f t="shared" si="9"/>
        <v>ML5.5_8_31_10</v>
      </c>
      <c r="M497" s="14" t="s">
        <v>5239</v>
      </c>
    </row>
    <row r="498" spans="1:13">
      <c r="A498" t="s">
        <v>4998</v>
      </c>
      <c r="B498" s="12" t="s">
        <v>4699</v>
      </c>
      <c r="C498" t="s">
        <v>4999</v>
      </c>
      <c r="E498">
        <v>8</v>
      </c>
      <c r="F498">
        <v>31</v>
      </c>
      <c r="G498">
        <v>2015</v>
      </c>
      <c r="H498">
        <v>70</v>
      </c>
      <c r="I498">
        <v>20</v>
      </c>
      <c r="K498" s="13"/>
      <c r="L498" s="13" t="str">
        <f t="shared" si="9"/>
        <v>ML5.5_8_31_20</v>
      </c>
      <c r="M498" s="14" t="s">
        <v>5240</v>
      </c>
    </row>
    <row r="499" spans="1:13">
      <c r="A499" t="s">
        <v>4998</v>
      </c>
      <c r="B499" s="12" t="s">
        <v>4699</v>
      </c>
      <c r="C499" t="s">
        <v>4999</v>
      </c>
      <c r="E499">
        <v>8</v>
      </c>
      <c r="F499">
        <v>31</v>
      </c>
      <c r="G499">
        <v>2015</v>
      </c>
      <c r="H499">
        <v>70</v>
      </c>
      <c r="I499">
        <v>30</v>
      </c>
      <c r="K499" s="13"/>
      <c r="L499" s="13" t="str">
        <f t="shared" si="9"/>
        <v>ML5.5_8_31_30</v>
      </c>
      <c r="M499" s="14" t="s">
        <v>5241</v>
      </c>
    </row>
    <row r="500" spans="1:13">
      <c r="A500" t="s">
        <v>3913</v>
      </c>
      <c r="B500" s="12" t="s">
        <v>4705</v>
      </c>
      <c r="C500" t="s">
        <v>5002</v>
      </c>
      <c r="E500">
        <v>8</v>
      </c>
      <c r="F500">
        <v>31</v>
      </c>
      <c r="G500">
        <v>2015</v>
      </c>
      <c r="H500">
        <v>69</v>
      </c>
      <c r="I500">
        <v>10</v>
      </c>
      <c r="K500" s="13"/>
      <c r="L500" s="13" t="str">
        <f t="shared" si="9"/>
        <v>ML5.6_8_31_10</v>
      </c>
      <c r="M500" s="14" t="s">
        <v>5242</v>
      </c>
    </row>
    <row r="501" spans="1:13">
      <c r="A501" t="s">
        <v>3913</v>
      </c>
      <c r="B501" s="12" t="s">
        <v>4705</v>
      </c>
      <c r="C501" t="s">
        <v>5002</v>
      </c>
      <c r="E501">
        <v>8</v>
      </c>
      <c r="F501">
        <v>31</v>
      </c>
      <c r="G501">
        <v>2015</v>
      </c>
      <c r="H501">
        <v>69</v>
      </c>
      <c r="I501">
        <v>2</v>
      </c>
      <c r="K501" s="13"/>
      <c r="L501" s="13" t="str">
        <f t="shared" si="9"/>
        <v>ML5.6_8_31_2</v>
      </c>
      <c r="M501" s="14" t="s">
        <v>5243</v>
      </c>
    </row>
    <row r="502" spans="1:13">
      <c r="A502" t="s">
        <v>3913</v>
      </c>
      <c r="B502" s="12" t="s">
        <v>4705</v>
      </c>
      <c r="C502" t="s">
        <v>5002</v>
      </c>
      <c r="E502">
        <v>8</v>
      </c>
      <c r="F502">
        <v>31</v>
      </c>
      <c r="G502">
        <v>2015</v>
      </c>
      <c r="H502">
        <v>69</v>
      </c>
      <c r="I502">
        <v>20</v>
      </c>
      <c r="K502" s="13"/>
      <c r="L502" s="13" t="str">
        <f t="shared" si="9"/>
        <v>ML5.6_8_31_20</v>
      </c>
      <c r="M502" s="14" t="s">
        <v>5244</v>
      </c>
    </row>
    <row r="503" spans="1:13">
      <c r="A503" t="s">
        <v>3913</v>
      </c>
      <c r="B503" s="12" t="s">
        <v>4705</v>
      </c>
      <c r="C503" t="s">
        <v>5002</v>
      </c>
      <c r="E503">
        <v>8</v>
      </c>
      <c r="F503">
        <v>31</v>
      </c>
      <c r="G503">
        <v>2015</v>
      </c>
      <c r="H503">
        <v>69</v>
      </c>
      <c r="I503">
        <v>30</v>
      </c>
      <c r="K503" s="13"/>
      <c r="L503" s="13" t="str">
        <f t="shared" si="9"/>
        <v>ML5.6_8_31_30</v>
      </c>
      <c r="M503" s="14" t="s">
        <v>5245</v>
      </c>
    </row>
    <row r="504" spans="1:13">
      <c r="A504" t="s">
        <v>3937</v>
      </c>
      <c r="B504" s="12" t="s">
        <v>4670</v>
      </c>
      <c r="C504" t="s">
        <v>5005</v>
      </c>
      <c r="E504">
        <v>8</v>
      </c>
      <c r="F504">
        <v>30</v>
      </c>
      <c r="G504">
        <v>2015</v>
      </c>
      <c r="H504">
        <v>68</v>
      </c>
      <c r="I504">
        <v>21</v>
      </c>
      <c r="K504" s="13"/>
      <c r="L504" s="13" t="str">
        <f t="shared" si="9"/>
        <v>ML5.7_8_30_21</v>
      </c>
      <c r="M504" s="14" t="s">
        <v>5246</v>
      </c>
    </row>
    <row r="505" spans="1:13">
      <c r="A505" t="s">
        <v>3937</v>
      </c>
      <c r="B505" s="12" t="s">
        <v>4670</v>
      </c>
      <c r="C505" t="s">
        <v>5005</v>
      </c>
      <c r="E505">
        <v>8</v>
      </c>
      <c r="F505">
        <v>30</v>
      </c>
      <c r="G505">
        <v>2015</v>
      </c>
      <c r="H505">
        <v>68</v>
      </c>
      <c r="I505">
        <v>29</v>
      </c>
      <c r="K505" s="13"/>
      <c r="L505" s="13" t="str">
        <f t="shared" si="9"/>
        <v>ML5.7_8_30_29</v>
      </c>
      <c r="M505" s="14" t="s">
        <v>5247</v>
      </c>
    </row>
    <row r="506" spans="1:13">
      <c r="A506" t="s">
        <v>3937</v>
      </c>
      <c r="B506" s="12" t="s">
        <v>4670</v>
      </c>
      <c r="C506" t="s">
        <v>5005</v>
      </c>
      <c r="E506">
        <v>8</v>
      </c>
      <c r="F506">
        <v>30</v>
      </c>
      <c r="G506">
        <v>2015</v>
      </c>
      <c r="H506">
        <v>68</v>
      </c>
      <c r="I506">
        <v>9</v>
      </c>
      <c r="K506" s="13"/>
      <c r="L506" s="13" t="str">
        <f t="shared" si="9"/>
        <v>ML5.7_8_30_9</v>
      </c>
      <c r="M506" s="14" t="s">
        <v>5248</v>
      </c>
    </row>
    <row r="507" spans="1:13">
      <c r="A507" t="s">
        <v>5249</v>
      </c>
      <c r="B507" s="12" t="s">
        <v>5250</v>
      </c>
      <c r="C507" t="s">
        <v>5251</v>
      </c>
      <c r="E507">
        <v>8</v>
      </c>
      <c r="F507">
        <v>30</v>
      </c>
      <c r="G507">
        <v>2015</v>
      </c>
      <c r="H507">
        <v>67</v>
      </c>
      <c r="I507">
        <v>10</v>
      </c>
      <c r="K507" s="13"/>
      <c r="L507" s="13" t="str">
        <f t="shared" si="9"/>
        <v>ML5.8_8_30_10</v>
      </c>
      <c r="M507" s="14" t="s">
        <v>5252</v>
      </c>
    </row>
    <row r="508" spans="1:13">
      <c r="A508" t="s">
        <v>5249</v>
      </c>
      <c r="B508" s="12" t="s">
        <v>5250</v>
      </c>
      <c r="C508" t="s">
        <v>5251</v>
      </c>
      <c r="E508">
        <v>8</v>
      </c>
      <c r="F508">
        <v>30</v>
      </c>
      <c r="G508">
        <v>2015</v>
      </c>
      <c r="H508">
        <v>67</v>
      </c>
      <c r="I508">
        <v>21</v>
      </c>
      <c r="K508" s="13"/>
      <c r="L508" s="13" t="str">
        <f t="shared" si="9"/>
        <v>ML5.8_8_30_21</v>
      </c>
      <c r="M508" s="14" t="s">
        <v>5253</v>
      </c>
    </row>
    <row r="509" spans="1:13">
      <c r="A509" t="s">
        <v>5249</v>
      </c>
      <c r="B509" s="12" t="s">
        <v>5250</v>
      </c>
      <c r="C509" t="s">
        <v>5251</v>
      </c>
      <c r="E509">
        <v>8</v>
      </c>
      <c r="F509">
        <v>30</v>
      </c>
      <c r="G509">
        <v>2015</v>
      </c>
      <c r="H509">
        <v>67</v>
      </c>
      <c r="I509">
        <v>29</v>
      </c>
      <c r="K509" s="13"/>
      <c r="L509" s="13" t="str">
        <f t="shared" si="9"/>
        <v>ML5.8_8_30_29</v>
      </c>
      <c r="M509" s="14" t="s">
        <v>5254</v>
      </c>
    </row>
    <row r="510" spans="1:13">
      <c r="A510" t="s">
        <v>5249</v>
      </c>
      <c r="B510" s="12" t="s">
        <v>5250</v>
      </c>
      <c r="C510" t="s">
        <v>5251</v>
      </c>
      <c r="E510">
        <v>8</v>
      </c>
      <c r="F510">
        <v>30</v>
      </c>
      <c r="G510">
        <v>2015</v>
      </c>
      <c r="H510">
        <v>67</v>
      </c>
      <c r="I510">
        <v>38</v>
      </c>
      <c r="K510" s="13"/>
      <c r="L510" s="13" t="str">
        <f t="shared" si="9"/>
        <v>ML5.8_8_30_38</v>
      </c>
      <c r="M510" s="14" t="s">
        <v>5255</v>
      </c>
    </row>
    <row r="511" spans="1:13">
      <c r="A511" t="s">
        <v>5249</v>
      </c>
      <c r="B511" s="12" t="s">
        <v>5250</v>
      </c>
      <c r="C511" t="s">
        <v>5251</v>
      </c>
      <c r="E511">
        <v>8</v>
      </c>
      <c r="F511">
        <v>30</v>
      </c>
      <c r="G511">
        <v>2015</v>
      </c>
      <c r="H511">
        <v>67</v>
      </c>
      <c r="I511">
        <v>5</v>
      </c>
      <c r="K511" s="13"/>
      <c r="L511" s="13" t="str">
        <f t="shared" si="9"/>
        <v>ML5.8_8_30_5</v>
      </c>
      <c r="M511" s="14" t="s">
        <v>5256</v>
      </c>
    </row>
    <row r="512" spans="1:13">
      <c r="A512" t="s">
        <v>5008</v>
      </c>
      <c r="B512" s="12" t="s">
        <v>4676</v>
      </c>
      <c r="C512" t="s">
        <v>5009</v>
      </c>
      <c r="E512">
        <v>8</v>
      </c>
      <c r="F512">
        <v>30</v>
      </c>
      <c r="G512">
        <v>2015</v>
      </c>
      <c r="H512">
        <v>66</v>
      </c>
      <c r="I512">
        <v>13</v>
      </c>
      <c r="K512" s="13"/>
      <c r="L512" s="13" t="str">
        <f t="shared" si="9"/>
        <v>ML5.9_8_30_13</v>
      </c>
      <c r="M512" s="14" t="s">
        <v>5257</v>
      </c>
    </row>
    <row r="513" spans="1:13">
      <c r="A513" t="s">
        <v>5008</v>
      </c>
      <c r="B513" s="12" t="s">
        <v>4676</v>
      </c>
      <c r="C513" t="s">
        <v>5009</v>
      </c>
      <c r="E513">
        <v>8</v>
      </c>
      <c r="F513">
        <v>30</v>
      </c>
      <c r="G513">
        <v>2015</v>
      </c>
      <c r="H513">
        <v>66</v>
      </c>
      <c r="I513">
        <v>20</v>
      </c>
      <c r="K513" s="13"/>
      <c r="L513" s="13" t="str">
        <f t="shared" si="9"/>
        <v>ML5.9_8_30_20</v>
      </c>
      <c r="M513" s="14" t="s">
        <v>5258</v>
      </c>
    </row>
    <row r="514" spans="1:13">
      <c r="A514" t="s">
        <v>5008</v>
      </c>
      <c r="B514" s="12" t="s">
        <v>4676</v>
      </c>
      <c r="C514" t="s">
        <v>5009</v>
      </c>
      <c r="E514">
        <v>8</v>
      </c>
      <c r="F514">
        <v>30</v>
      </c>
      <c r="G514">
        <v>2015</v>
      </c>
      <c r="H514">
        <v>66</v>
      </c>
      <c r="I514">
        <v>29</v>
      </c>
      <c r="K514" s="13"/>
      <c r="L514" s="13" t="str">
        <f t="shared" si="9"/>
        <v>ML5.9_8_30_29</v>
      </c>
      <c r="M514" s="14" t="s">
        <v>5259</v>
      </c>
    </row>
    <row r="515" spans="1:13">
      <c r="A515" t="s">
        <v>2151</v>
      </c>
      <c r="B515" s="12" t="s">
        <v>4417</v>
      </c>
      <c r="C515" t="s">
        <v>5012</v>
      </c>
      <c r="E515">
        <v>8</v>
      </c>
      <c r="F515">
        <v>15</v>
      </c>
      <c r="G515">
        <v>2015</v>
      </c>
      <c r="H515">
        <v>17</v>
      </c>
      <c r="I515">
        <v>10</v>
      </c>
      <c r="K515" s="13"/>
      <c r="L515" s="13" t="str">
        <f t="shared" si="9"/>
        <v>ML6.1_8_15_10</v>
      </c>
      <c r="M515" s="14" t="s">
        <v>5260</v>
      </c>
    </row>
    <row r="516" spans="1:13">
      <c r="A516" t="s">
        <v>2151</v>
      </c>
      <c r="B516" s="12" t="s">
        <v>4417</v>
      </c>
      <c r="C516" t="s">
        <v>5012</v>
      </c>
      <c r="E516">
        <v>8</v>
      </c>
      <c r="F516">
        <v>15</v>
      </c>
      <c r="G516">
        <v>2015</v>
      </c>
      <c r="H516">
        <v>17</v>
      </c>
      <c r="I516">
        <v>21</v>
      </c>
      <c r="K516" s="13"/>
      <c r="L516" s="13" t="str">
        <f t="shared" si="9"/>
        <v>ML6.1_8_15_21</v>
      </c>
      <c r="M516" s="14" t="s">
        <v>5261</v>
      </c>
    </row>
    <row r="517" spans="1:13">
      <c r="A517" t="s">
        <v>2151</v>
      </c>
      <c r="B517" s="12" t="s">
        <v>4417</v>
      </c>
      <c r="C517" t="s">
        <v>5012</v>
      </c>
      <c r="E517">
        <v>8</v>
      </c>
      <c r="F517">
        <v>15</v>
      </c>
      <c r="G517">
        <v>2015</v>
      </c>
      <c r="H517">
        <v>17</v>
      </c>
      <c r="I517">
        <v>25</v>
      </c>
      <c r="K517" s="13"/>
      <c r="L517" s="13" t="str">
        <f t="shared" si="9"/>
        <v>ML6.1_8_15_25</v>
      </c>
      <c r="M517" s="14" t="s">
        <v>5262</v>
      </c>
    </row>
    <row r="518" spans="1:13">
      <c r="A518" t="s">
        <v>2151</v>
      </c>
      <c r="B518" s="12" t="s">
        <v>4417</v>
      </c>
      <c r="C518" t="s">
        <v>5012</v>
      </c>
      <c r="E518">
        <v>8</v>
      </c>
      <c r="F518">
        <v>15</v>
      </c>
      <c r="G518">
        <v>2015</v>
      </c>
      <c r="H518">
        <v>17</v>
      </c>
      <c r="I518">
        <v>5</v>
      </c>
      <c r="K518" s="13"/>
      <c r="L518" s="13" t="str">
        <f t="shared" si="9"/>
        <v>ML6.1_8_15_5</v>
      </c>
      <c r="M518" s="14" t="s">
        <v>5263</v>
      </c>
    </row>
    <row r="519" spans="1:13">
      <c r="A519" t="s">
        <v>3964</v>
      </c>
      <c r="B519" s="12" t="s">
        <v>4493</v>
      </c>
      <c r="C519" t="s">
        <v>5014</v>
      </c>
      <c r="E519">
        <v>8</v>
      </c>
      <c r="F519">
        <v>19</v>
      </c>
      <c r="G519">
        <v>2015</v>
      </c>
      <c r="H519">
        <v>29</v>
      </c>
      <c r="I519">
        <v>11</v>
      </c>
      <c r="K519" s="13"/>
      <c r="L519" s="13" t="str">
        <f t="shared" si="9"/>
        <v>ML6.10_8_19_11</v>
      </c>
      <c r="M519" s="14" t="s">
        <v>5264</v>
      </c>
    </row>
    <row r="520" spans="1:13">
      <c r="A520" t="s">
        <v>3964</v>
      </c>
      <c r="B520" s="12" t="s">
        <v>4493</v>
      </c>
      <c r="C520" t="s">
        <v>5014</v>
      </c>
      <c r="E520">
        <v>8</v>
      </c>
      <c r="F520">
        <v>19</v>
      </c>
      <c r="G520">
        <v>2015</v>
      </c>
      <c r="H520">
        <v>29</v>
      </c>
      <c r="I520">
        <v>20</v>
      </c>
      <c r="K520" s="13"/>
      <c r="L520" s="13" t="str">
        <f t="shared" si="9"/>
        <v>ML6.10_8_19_20</v>
      </c>
      <c r="M520" s="14" t="s">
        <v>5265</v>
      </c>
    </row>
    <row r="521" spans="1:13">
      <c r="A521" t="s">
        <v>3964</v>
      </c>
      <c r="B521" s="12" t="s">
        <v>4493</v>
      </c>
      <c r="C521" t="s">
        <v>5014</v>
      </c>
      <c r="E521">
        <v>8</v>
      </c>
      <c r="F521">
        <v>19</v>
      </c>
      <c r="G521">
        <v>2015</v>
      </c>
      <c r="H521">
        <v>29</v>
      </c>
      <c r="I521">
        <v>42</v>
      </c>
      <c r="K521" s="13"/>
      <c r="L521" s="13" t="str">
        <f t="shared" ref="L521:L548" si="10">A521&amp;"_"&amp;E521&amp;"_"&amp;F521&amp;"_"&amp;I521</f>
        <v>ML6.10_8_19_42</v>
      </c>
      <c r="M521" s="14" t="s">
        <v>5266</v>
      </c>
    </row>
    <row r="522" spans="1:13">
      <c r="A522" t="s">
        <v>3980</v>
      </c>
      <c r="B522" s="12" t="s">
        <v>4501</v>
      </c>
      <c r="C522" t="s">
        <v>5018</v>
      </c>
      <c r="E522">
        <v>8</v>
      </c>
      <c r="F522">
        <v>19</v>
      </c>
      <c r="G522">
        <v>2015</v>
      </c>
      <c r="H522">
        <v>30</v>
      </c>
      <c r="I522">
        <v>46</v>
      </c>
      <c r="K522" s="13"/>
      <c r="L522" s="13" t="str">
        <f t="shared" si="10"/>
        <v>ML6.11_8_19_46</v>
      </c>
      <c r="M522" s="14" t="s">
        <v>4511</v>
      </c>
    </row>
    <row r="523" spans="1:13">
      <c r="A523" t="s">
        <v>3980</v>
      </c>
      <c r="B523" s="12" t="s">
        <v>4501</v>
      </c>
      <c r="C523" t="s">
        <v>5018</v>
      </c>
      <c r="E523">
        <v>8</v>
      </c>
      <c r="F523">
        <v>19</v>
      </c>
      <c r="G523">
        <v>2015</v>
      </c>
      <c r="H523">
        <v>30</v>
      </c>
      <c r="I523">
        <v>46</v>
      </c>
      <c r="K523" s="13"/>
      <c r="L523" s="13" t="str">
        <f t="shared" si="10"/>
        <v>ML6.11_8_19_46</v>
      </c>
      <c r="M523" s="14" t="s">
        <v>4511</v>
      </c>
    </row>
    <row r="524" spans="1:13">
      <c r="A524" t="s">
        <v>3980</v>
      </c>
      <c r="B524" s="12" t="s">
        <v>4501</v>
      </c>
      <c r="C524" t="s">
        <v>5018</v>
      </c>
      <c r="E524">
        <v>8</v>
      </c>
      <c r="F524">
        <v>19</v>
      </c>
      <c r="G524">
        <v>2015</v>
      </c>
      <c r="H524">
        <v>30</v>
      </c>
      <c r="I524">
        <v>46</v>
      </c>
      <c r="K524" s="13"/>
      <c r="L524" s="13" t="str">
        <f t="shared" si="10"/>
        <v>ML6.11_8_19_46</v>
      </c>
      <c r="M524" s="14" t="s">
        <v>4511</v>
      </c>
    </row>
    <row r="525" spans="1:13">
      <c r="A525" t="s">
        <v>3980</v>
      </c>
      <c r="B525" s="12" t="s">
        <v>4501</v>
      </c>
      <c r="C525" t="s">
        <v>5018</v>
      </c>
      <c r="E525">
        <v>8</v>
      </c>
      <c r="F525">
        <v>19</v>
      </c>
      <c r="G525">
        <v>2015</v>
      </c>
      <c r="H525">
        <v>30</v>
      </c>
      <c r="I525">
        <v>46</v>
      </c>
      <c r="K525" s="13"/>
      <c r="L525" s="13" t="str">
        <f t="shared" si="10"/>
        <v>ML6.11_8_19_46</v>
      </c>
      <c r="M525" s="14" t="s">
        <v>4511</v>
      </c>
    </row>
    <row r="526" spans="1:13">
      <c r="A526" t="s">
        <v>3980</v>
      </c>
      <c r="B526" s="12" t="s">
        <v>4501</v>
      </c>
      <c r="C526" t="s">
        <v>5018</v>
      </c>
      <c r="E526">
        <v>8</v>
      </c>
      <c r="F526">
        <v>19</v>
      </c>
      <c r="G526">
        <v>2015</v>
      </c>
      <c r="H526">
        <v>30</v>
      </c>
      <c r="I526">
        <v>46</v>
      </c>
      <c r="K526" s="13"/>
      <c r="L526" s="13" t="str">
        <f t="shared" si="10"/>
        <v>ML6.11_8_19_46</v>
      </c>
      <c r="M526" s="14" t="s">
        <v>4511</v>
      </c>
    </row>
    <row r="527" spans="1:13">
      <c r="A527" t="s">
        <v>3980</v>
      </c>
      <c r="B527" s="12" t="s">
        <v>4501</v>
      </c>
      <c r="C527" t="s">
        <v>5018</v>
      </c>
      <c r="E527">
        <v>8</v>
      </c>
      <c r="F527">
        <v>19</v>
      </c>
      <c r="G527">
        <v>2015</v>
      </c>
      <c r="H527">
        <v>30</v>
      </c>
      <c r="I527">
        <v>46</v>
      </c>
      <c r="K527" s="13"/>
      <c r="L527" s="13" t="str">
        <f t="shared" si="10"/>
        <v>ML6.11_8_19_46</v>
      </c>
      <c r="M527" s="14" t="s">
        <v>4511</v>
      </c>
    </row>
    <row r="528" spans="1:13">
      <c r="A528" t="s">
        <v>3980</v>
      </c>
      <c r="B528" s="12" t="s">
        <v>4501</v>
      </c>
      <c r="C528" t="s">
        <v>5018</v>
      </c>
      <c r="E528">
        <v>8</v>
      </c>
      <c r="F528">
        <v>19</v>
      </c>
      <c r="G528">
        <v>2015</v>
      </c>
      <c r="H528">
        <v>30</v>
      </c>
      <c r="I528">
        <v>46</v>
      </c>
      <c r="K528" s="13"/>
      <c r="L528" s="13" t="str">
        <f t="shared" si="10"/>
        <v>ML6.11_8_19_46</v>
      </c>
      <c r="M528" s="14" t="s">
        <v>4511</v>
      </c>
    </row>
    <row r="529" spans="1:13">
      <c r="A529" t="s">
        <v>4004</v>
      </c>
      <c r="B529" s="12" t="s">
        <v>4421</v>
      </c>
      <c r="C529" t="s">
        <v>5024</v>
      </c>
      <c r="E529">
        <v>8</v>
      </c>
      <c r="F529">
        <v>15</v>
      </c>
      <c r="G529">
        <v>2015</v>
      </c>
      <c r="H529">
        <v>18</v>
      </c>
      <c r="I529">
        <v>10</v>
      </c>
      <c r="K529" s="13"/>
      <c r="L529" s="13" t="str">
        <f t="shared" si="10"/>
        <v>ML6.2_8_15_10</v>
      </c>
      <c r="M529" s="14" t="s">
        <v>5267</v>
      </c>
    </row>
    <row r="530" spans="1:13">
      <c r="A530" t="s">
        <v>4004</v>
      </c>
      <c r="B530" s="12" t="s">
        <v>4421</v>
      </c>
      <c r="C530" t="s">
        <v>5024</v>
      </c>
      <c r="E530">
        <v>8</v>
      </c>
      <c r="F530">
        <v>15</v>
      </c>
      <c r="G530">
        <v>2015</v>
      </c>
      <c r="H530">
        <v>18</v>
      </c>
      <c r="I530">
        <v>21</v>
      </c>
      <c r="K530" s="13"/>
      <c r="L530" s="13" t="str">
        <f t="shared" si="10"/>
        <v>ML6.2_8_15_21</v>
      </c>
      <c r="M530" s="14" t="s">
        <v>5268</v>
      </c>
    </row>
    <row r="531" spans="1:13">
      <c r="A531" t="s">
        <v>4024</v>
      </c>
      <c r="B531" s="12" t="s">
        <v>4427</v>
      </c>
      <c r="C531" t="s">
        <v>5027</v>
      </c>
      <c r="E531">
        <v>8</v>
      </c>
      <c r="F531">
        <v>15</v>
      </c>
      <c r="G531">
        <v>2015</v>
      </c>
      <c r="H531">
        <v>19</v>
      </c>
      <c r="I531">
        <v>10</v>
      </c>
      <c r="K531" s="13"/>
      <c r="L531" s="13" t="str">
        <f t="shared" si="10"/>
        <v>ML6.3_8_15_10</v>
      </c>
      <c r="M531" s="14" t="s">
        <v>5269</v>
      </c>
    </row>
    <row r="532" spans="1:13">
      <c r="A532" t="s">
        <v>4024</v>
      </c>
      <c r="B532" s="12" t="s">
        <v>4427</v>
      </c>
      <c r="C532" t="s">
        <v>5027</v>
      </c>
      <c r="E532">
        <v>8</v>
      </c>
      <c r="F532">
        <v>15</v>
      </c>
      <c r="G532">
        <v>2015</v>
      </c>
      <c r="H532">
        <v>19</v>
      </c>
      <c r="I532">
        <v>20</v>
      </c>
      <c r="K532" s="13"/>
      <c r="L532" s="13" t="str">
        <f t="shared" si="10"/>
        <v>ML6.3_8_15_20</v>
      </c>
      <c r="M532" s="14" t="s">
        <v>5270</v>
      </c>
    </row>
    <row r="533" spans="1:13">
      <c r="A533" t="s">
        <v>4047</v>
      </c>
      <c r="B533" s="12" t="s">
        <v>5271</v>
      </c>
      <c r="C533" t="s">
        <v>5272</v>
      </c>
      <c r="E533">
        <v>8</v>
      </c>
      <c r="F533">
        <v>15</v>
      </c>
      <c r="G533">
        <v>2015</v>
      </c>
      <c r="H533">
        <v>20</v>
      </c>
      <c r="I533">
        <v>10</v>
      </c>
      <c r="K533" s="13"/>
      <c r="L533" s="13" t="str">
        <f t="shared" si="10"/>
        <v>ML6.4_8_15_10</v>
      </c>
      <c r="M533" s="14" t="s">
        <v>5273</v>
      </c>
    </row>
    <row r="534" spans="1:13">
      <c r="A534" t="s">
        <v>4047</v>
      </c>
      <c r="B534" s="12" t="s">
        <v>5271</v>
      </c>
      <c r="C534" t="s">
        <v>5272</v>
      </c>
      <c r="E534">
        <v>8</v>
      </c>
      <c r="F534">
        <v>15</v>
      </c>
      <c r="G534">
        <v>2015</v>
      </c>
      <c r="H534">
        <v>20</v>
      </c>
      <c r="I534">
        <v>21</v>
      </c>
      <c r="K534" s="13"/>
      <c r="L534" s="13" t="str">
        <f t="shared" si="10"/>
        <v>ML6.4_8_15_21</v>
      </c>
      <c r="M534" s="14" t="s">
        <v>5274</v>
      </c>
    </row>
    <row r="535" spans="1:13">
      <c r="A535" t="s">
        <v>4047</v>
      </c>
      <c r="B535" s="12" t="s">
        <v>5271</v>
      </c>
      <c r="C535" t="s">
        <v>5272</v>
      </c>
      <c r="E535">
        <v>8</v>
      </c>
      <c r="F535">
        <v>15</v>
      </c>
      <c r="G535">
        <v>2015</v>
      </c>
      <c r="H535">
        <v>20</v>
      </c>
      <c r="I535">
        <v>32</v>
      </c>
      <c r="K535" s="13"/>
      <c r="L535" s="13" t="str">
        <f t="shared" si="10"/>
        <v>ML6.4_8_15_32</v>
      </c>
      <c r="M535" s="14" t="s">
        <v>5275</v>
      </c>
    </row>
    <row r="536" spans="1:13">
      <c r="A536" t="s">
        <v>4047</v>
      </c>
      <c r="B536" s="12" t="s">
        <v>5271</v>
      </c>
      <c r="C536" t="s">
        <v>5272</v>
      </c>
      <c r="E536">
        <v>8</v>
      </c>
      <c r="F536">
        <v>15</v>
      </c>
      <c r="G536">
        <v>2015</v>
      </c>
      <c r="H536">
        <v>20</v>
      </c>
      <c r="I536">
        <v>5</v>
      </c>
      <c r="K536" s="13"/>
      <c r="L536" s="13" t="str">
        <f t="shared" si="10"/>
        <v>ML6.4_8_15_5</v>
      </c>
      <c r="M536" s="14" t="s">
        <v>5276</v>
      </c>
    </row>
    <row r="537" spans="1:13">
      <c r="A537" t="s">
        <v>4047</v>
      </c>
      <c r="B537" s="12" t="s">
        <v>5271</v>
      </c>
      <c r="C537" t="s">
        <v>5272</v>
      </c>
      <c r="E537">
        <v>8</v>
      </c>
      <c r="F537">
        <v>15</v>
      </c>
      <c r="G537">
        <v>2015</v>
      </c>
      <c r="H537">
        <v>20</v>
      </c>
      <c r="I537">
        <v>5</v>
      </c>
      <c r="K537" s="13"/>
      <c r="L537" s="13" t="str">
        <f t="shared" si="10"/>
        <v>ML6.4_8_15_5</v>
      </c>
      <c r="M537" s="14" t="s">
        <v>5276</v>
      </c>
    </row>
    <row r="538" spans="1:13">
      <c r="A538" t="s">
        <v>4067</v>
      </c>
      <c r="B538" s="12" t="s">
        <v>4433</v>
      </c>
      <c r="C538" t="s">
        <v>5030</v>
      </c>
      <c r="E538">
        <v>8</v>
      </c>
      <c r="F538">
        <v>16</v>
      </c>
      <c r="G538">
        <v>2015</v>
      </c>
      <c r="H538">
        <v>21</v>
      </c>
      <c r="I538">
        <v>10</v>
      </c>
      <c r="K538" s="13"/>
      <c r="L538" s="13" t="str">
        <f t="shared" si="10"/>
        <v>ML6.5_8_16_10</v>
      </c>
      <c r="M538" s="14" t="s">
        <v>5277</v>
      </c>
    </row>
    <row r="539" spans="1:13">
      <c r="A539" t="s">
        <v>4067</v>
      </c>
      <c r="B539" s="12" t="s">
        <v>4433</v>
      </c>
      <c r="C539" t="s">
        <v>5030</v>
      </c>
      <c r="E539">
        <v>8</v>
      </c>
      <c r="F539">
        <v>16</v>
      </c>
      <c r="G539">
        <v>2015</v>
      </c>
      <c r="H539">
        <v>21</v>
      </c>
      <c r="I539">
        <v>20</v>
      </c>
      <c r="K539" s="13"/>
      <c r="L539" s="13" t="str">
        <f t="shared" si="10"/>
        <v>ML6.5_8_16_20</v>
      </c>
      <c r="M539" s="14" t="s">
        <v>5278</v>
      </c>
    </row>
    <row r="540" spans="1:13">
      <c r="A540" t="s">
        <v>4086</v>
      </c>
      <c r="B540" s="12" t="s">
        <v>4439</v>
      </c>
      <c r="C540" t="s">
        <v>5033</v>
      </c>
      <c r="E540">
        <v>8</v>
      </c>
      <c r="F540">
        <v>16</v>
      </c>
      <c r="G540">
        <v>2015</v>
      </c>
      <c r="H540">
        <v>22</v>
      </c>
      <c r="I540">
        <v>11</v>
      </c>
      <c r="K540" s="13"/>
      <c r="L540" s="13" t="str">
        <f t="shared" si="10"/>
        <v>ML6.6_8_16_11</v>
      </c>
      <c r="M540" s="14" t="s">
        <v>5279</v>
      </c>
    </row>
    <row r="541" spans="1:13">
      <c r="A541" t="s">
        <v>4086</v>
      </c>
      <c r="B541" s="12" t="s">
        <v>4439</v>
      </c>
      <c r="C541" t="s">
        <v>5033</v>
      </c>
      <c r="E541">
        <v>8</v>
      </c>
      <c r="F541">
        <v>16</v>
      </c>
      <c r="G541">
        <v>2015</v>
      </c>
      <c r="H541">
        <v>22</v>
      </c>
      <c r="I541">
        <v>31</v>
      </c>
      <c r="K541" s="13"/>
      <c r="L541" s="13" t="str">
        <f t="shared" si="10"/>
        <v>ML6.6_8_16_31</v>
      </c>
      <c r="M541" s="14" t="s">
        <v>5280</v>
      </c>
    </row>
    <row r="542" spans="1:13">
      <c r="A542" t="s">
        <v>2179</v>
      </c>
      <c r="B542" s="12" t="s">
        <v>4447</v>
      </c>
      <c r="C542" t="s">
        <v>5037</v>
      </c>
      <c r="E542">
        <v>8</v>
      </c>
      <c r="F542">
        <v>16</v>
      </c>
      <c r="G542">
        <v>2015</v>
      </c>
      <c r="H542">
        <v>23</v>
      </c>
      <c r="I542">
        <v>11</v>
      </c>
      <c r="K542" s="13"/>
      <c r="L542" s="13" t="str">
        <f t="shared" si="10"/>
        <v>ML6.7_8_16_11</v>
      </c>
      <c r="M542" s="14" t="s">
        <v>5281</v>
      </c>
    </row>
    <row r="543" spans="1:13">
      <c r="A543" t="s">
        <v>2179</v>
      </c>
      <c r="B543" s="12" t="s">
        <v>4447</v>
      </c>
      <c r="C543" t="s">
        <v>5037</v>
      </c>
      <c r="E543">
        <v>8</v>
      </c>
      <c r="F543">
        <v>16</v>
      </c>
      <c r="G543">
        <v>2015</v>
      </c>
      <c r="H543">
        <v>23</v>
      </c>
      <c r="I543">
        <v>31</v>
      </c>
      <c r="K543" s="13"/>
      <c r="L543" s="13" t="str">
        <f t="shared" si="10"/>
        <v>ML6.7_8_16_31</v>
      </c>
      <c r="M543" s="14" t="s">
        <v>5282</v>
      </c>
    </row>
    <row r="544" spans="1:13">
      <c r="A544" t="s">
        <v>4106</v>
      </c>
      <c r="B544" s="12" t="s">
        <v>4455</v>
      </c>
      <c r="C544" t="s">
        <v>5041</v>
      </c>
      <c r="E544">
        <v>8</v>
      </c>
      <c r="F544">
        <v>16</v>
      </c>
      <c r="G544">
        <v>2015</v>
      </c>
      <c r="H544">
        <v>24</v>
      </c>
      <c r="I544">
        <v>11</v>
      </c>
      <c r="K544" s="13"/>
      <c r="L544" s="13" t="str">
        <f t="shared" si="10"/>
        <v>ML6.8_8_16_11</v>
      </c>
      <c r="M544" s="14" t="s">
        <v>5283</v>
      </c>
    </row>
    <row r="545" spans="1:13">
      <c r="A545" t="s">
        <v>4106</v>
      </c>
      <c r="B545" s="12" t="s">
        <v>4455</v>
      </c>
      <c r="C545" t="s">
        <v>5041</v>
      </c>
      <c r="E545">
        <v>8</v>
      </c>
      <c r="F545">
        <v>16</v>
      </c>
      <c r="G545">
        <v>2015</v>
      </c>
      <c r="H545">
        <v>24</v>
      </c>
      <c r="I545">
        <v>30</v>
      </c>
      <c r="K545" s="13"/>
      <c r="L545" s="13" t="str">
        <f t="shared" si="10"/>
        <v>ML6.8_8_16_30</v>
      </c>
      <c r="M545" s="14" t="s">
        <v>5284</v>
      </c>
    </row>
    <row r="546" spans="1:13">
      <c r="A546" t="s">
        <v>2229</v>
      </c>
      <c r="B546" s="12" t="s">
        <v>4463</v>
      </c>
      <c r="C546" t="s">
        <v>5045</v>
      </c>
      <c r="E546">
        <v>8</v>
      </c>
      <c r="F546">
        <v>16</v>
      </c>
      <c r="G546">
        <v>2015</v>
      </c>
      <c r="H546">
        <v>25</v>
      </c>
      <c r="I546">
        <v>34</v>
      </c>
      <c r="K546" s="13"/>
      <c r="L546" s="13" t="str">
        <f t="shared" si="10"/>
        <v>ML6.9_8_16_34</v>
      </c>
      <c r="M546" s="14" t="s">
        <v>5285</v>
      </c>
    </row>
    <row r="547" spans="1:13">
      <c r="A547" t="s">
        <v>2229</v>
      </c>
      <c r="B547" s="12" t="s">
        <v>4463</v>
      </c>
      <c r="C547" t="s">
        <v>5045</v>
      </c>
      <c r="E547">
        <v>8</v>
      </c>
      <c r="F547">
        <v>16</v>
      </c>
      <c r="G547">
        <v>2015</v>
      </c>
      <c r="H547">
        <v>25</v>
      </c>
      <c r="I547">
        <v>41</v>
      </c>
      <c r="K547" s="13"/>
      <c r="L547" s="13" t="str">
        <f t="shared" si="10"/>
        <v>ML6.9_8_16_41</v>
      </c>
      <c r="M547" s="14" t="s">
        <v>5286</v>
      </c>
    </row>
    <row r="548" spans="1:13">
      <c r="A548" t="s">
        <v>2229</v>
      </c>
      <c r="B548" s="12" t="s">
        <v>4463</v>
      </c>
      <c r="C548" t="s">
        <v>5045</v>
      </c>
      <c r="E548">
        <v>8</v>
      </c>
      <c r="F548">
        <v>16</v>
      </c>
      <c r="G548">
        <v>2015</v>
      </c>
      <c r="H548">
        <v>25</v>
      </c>
      <c r="I548">
        <v>9</v>
      </c>
      <c r="K548" s="13"/>
      <c r="L548" s="13" t="str">
        <f t="shared" si="10"/>
        <v>ML6.9_8_16_9</v>
      </c>
      <c r="M548" s="14" t="s">
        <v>5287</v>
      </c>
    </row>
  </sheetData>
  <phoneticPr fontId="7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Roman,Regular"&amp;A</oddHeader>
    <oddFooter>&amp;C&amp;"Times New Roman,Regular"Page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T454"/>
  <sheetViews>
    <sheetView zoomScale="40" zoomScaleNormal="40" workbookViewId="0">
      <selection activeCell="E9" sqref="E9"/>
    </sheetView>
  </sheetViews>
  <sheetFormatPr baseColWidth="10" defaultColWidth="10.5" defaultRowHeight="16"/>
  <cols>
    <col min="4" max="4" width="43.83203125" customWidth="1"/>
    <col min="5" max="5" width="12" customWidth="1"/>
    <col min="6" max="6" width="18.6640625" customWidth="1"/>
    <col min="8" max="8" width="20.33203125" customWidth="1"/>
    <col min="9" max="9" width="16" customWidth="1"/>
    <col min="10" max="10" width="19" customWidth="1"/>
    <col min="11" max="12" width="5.5" customWidth="1"/>
    <col min="13" max="13" width="3.33203125" customWidth="1"/>
    <col min="15" max="15" width="7" customWidth="1"/>
    <col min="16" max="16" width="8.5" customWidth="1"/>
    <col min="17" max="18" width="6" customWidth="1"/>
    <col min="19" max="19" width="8" customWidth="1"/>
    <col min="22" max="22" width="2.1640625" customWidth="1"/>
    <col min="23" max="23" width="7" customWidth="1"/>
    <col min="24" max="24" width="3.33203125" customWidth="1"/>
    <col min="25" max="25" width="7" customWidth="1"/>
    <col min="27" max="27" width="5" customWidth="1"/>
    <col min="28" max="28" width="6" customWidth="1"/>
    <col min="31" max="31" width="5" customWidth="1"/>
    <col min="32" max="32" width="6" customWidth="1"/>
    <col min="35" max="35" width="3.33203125" customWidth="1"/>
    <col min="38" max="38" width="8" customWidth="1"/>
    <col min="43" max="43" width="12.6640625" customWidth="1"/>
    <col min="46" max="46" width="5.5" customWidth="1"/>
  </cols>
  <sheetData>
    <row r="1" spans="4:43">
      <c r="D1" t="s">
        <v>4307</v>
      </c>
      <c r="E1" t="s">
        <v>4308</v>
      </c>
      <c r="F1" t="s">
        <v>4309</v>
      </c>
      <c r="H1" t="s">
        <v>4310</v>
      </c>
      <c r="I1" t="s">
        <v>4789</v>
      </c>
      <c r="J1" t="s">
        <v>4311</v>
      </c>
      <c r="K1">
        <v>0</v>
      </c>
      <c r="M1">
        <v>2</v>
      </c>
      <c r="O1">
        <v>70.924999999999997</v>
      </c>
      <c r="P1">
        <v>-159.94300000000001</v>
      </c>
      <c r="Q1">
        <v>8.2899999999999991</v>
      </c>
      <c r="R1">
        <v>30.92</v>
      </c>
      <c r="S1">
        <v>283.15899999999999</v>
      </c>
      <c r="V1" t="s">
        <v>5288</v>
      </c>
      <c r="W1">
        <v>0.39900000000000002</v>
      </c>
      <c r="X1">
        <v>6</v>
      </c>
      <c r="AI1">
        <v>6</v>
      </c>
      <c r="AL1">
        <v>94.687100000000001</v>
      </c>
    </row>
    <row r="2" spans="4:43">
      <c r="D2" t="s">
        <v>4312</v>
      </c>
      <c r="E2" t="s">
        <v>4308</v>
      </c>
      <c r="F2" t="s">
        <v>4309</v>
      </c>
      <c r="H2" t="s">
        <v>4310</v>
      </c>
      <c r="I2" t="s">
        <v>4789</v>
      </c>
      <c r="J2" t="s">
        <v>4313</v>
      </c>
      <c r="K2">
        <v>20</v>
      </c>
      <c r="M2">
        <v>19</v>
      </c>
      <c r="O2">
        <v>70.924999999999997</v>
      </c>
      <c r="P2">
        <v>-159.94300000000001</v>
      </c>
      <c r="Q2">
        <v>7.83</v>
      </c>
      <c r="R2">
        <v>31.19</v>
      </c>
      <c r="S2">
        <v>287.21499999999997</v>
      </c>
      <c r="V2" t="s">
        <v>5288</v>
      </c>
      <c r="W2">
        <v>0.441</v>
      </c>
      <c r="X2">
        <v>3</v>
      </c>
      <c r="AI2">
        <v>3</v>
      </c>
      <c r="AL2">
        <v>95.405199999999994</v>
      </c>
    </row>
    <row r="3" spans="4:43">
      <c r="D3" t="s">
        <v>4314</v>
      </c>
      <c r="E3" t="s">
        <v>4308</v>
      </c>
      <c r="F3" t="s">
        <v>4309</v>
      </c>
      <c r="H3" t="s">
        <v>4310</v>
      </c>
      <c r="I3" t="s">
        <v>4789</v>
      </c>
      <c r="J3" t="s">
        <v>4315</v>
      </c>
      <c r="K3">
        <v>50</v>
      </c>
      <c r="M3">
        <v>53</v>
      </c>
      <c r="O3">
        <v>70.924999999999997</v>
      </c>
      <c r="P3">
        <v>-159.94300000000001</v>
      </c>
      <c r="Q3">
        <v>4.07</v>
      </c>
      <c r="R3">
        <v>31.55</v>
      </c>
      <c r="S3">
        <v>290.44400000000002</v>
      </c>
      <c r="V3" t="s">
        <v>5288</v>
      </c>
      <c r="W3">
        <v>1.9139999999999999</v>
      </c>
      <c r="X3">
        <v>1</v>
      </c>
      <c r="AI3">
        <v>1</v>
      </c>
      <c r="AL3">
        <v>76.288600000000002</v>
      </c>
    </row>
    <row r="4" spans="4:43">
      <c r="D4" t="s">
        <v>4316</v>
      </c>
      <c r="E4" t="s">
        <v>4308</v>
      </c>
      <c r="F4" t="s">
        <v>4317</v>
      </c>
      <c r="H4" t="s">
        <v>4318</v>
      </c>
      <c r="I4" t="s">
        <v>4823</v>
      </c>
      <c r="J4" t="s">
        <v>4319</v>
      </c>
      <c r="K4">
        <v>3</v>
      </c>
      <c r="M4">
        <v>3</v>
      </c>
      <c r="O4">
        <v>68.125</v>
      </c>
      <c r="P4">
        <v>-167.49799999999999</v>
      </c>
      <c r="Q4">
        <v>7.41</v>
      </c>
      <c r="R4">
        <v>31.94</v>
      </c>
      <c r="S4">
        <v>290.42099999999999</v>
      </c>
      <c r="V4" t="s">
        <v>5288</v>
      </c>
      <c r="W4">
        <v>0.67900000000000005</v>
      </c>
      <c r="X4">
        <v>9</v>
      </c>
      <c r="Y4">
        <v>0.93100000000000005</v>
      </c>
      <c r="AA4">
        <v>0.53</v>
      </c>
      <c r="AB4">
        <v>12.46</v>
      </c>
      <c r="AE4">
        <v>0.63</v>
      </c>
      <c r="AF4">
        <v>0.73</v>
      </c>
      <c r="AI4">
        <v>9</v>
      </c>
      <c r="AL4">
        <v>94.427099999999996</v>
      </c>
      <c r="AQ4">
        <v>-1.235800462</v>
      </c>
    </row>
    <row r="5" spans="4:43">
      <c r="D5" t="s">
        <v>4320</v>
      </c>
      <c r="E5" t="s">
        <v>4308</v>
      </c>
      <c r="F5" t="s">
        <v>4317</v>
      </c>
      <c r="H5" t="s">
        <v>4318</v>
      </c>
      <c r="I5" t="s">
        <v>4823</v>
      </c>
      <c r="J5" t="s">
        <v>4321</v>
      </c>
      <c r="K5">
        <v>20</v>
      </c>
      <c r="M5">
        <v>21</v>
      </c>
      <c r="O5">
        <v>68.125</v>
      </c>
      <c r="P5">
        <v>-167.49799999999999</v>
      </c>
      <c r="Q5">
        <v>6.05</v>
      </c>
      <c r="R5">
        <v>32.04</v>
      </c>
      <c r="S5">
        <v>273.09100000000001</v>
      </c>
      <c r="V5" t="s">
        <v>5288</v>
      </c>
      <c r="W5">
        <v>0.98199999999999998</v>
      </c>
      <c r="X5">
        <v>5</v>
      </c>
      <c r="Y5">
        <v>0.86099999999999999</v>
      </c>
      <c r="AA5">
        <v>0.91</v>
      </c>
      <c r="AB5">
        <v>16.73</v>
      </c>
      <c r="AE5">
        <v>3</v>
      </c>
      <c r="AF5">
        <v>1.74</v>
      </c>
      <c r="AI5">
        <v>5</v>
      </c>
      <c r="AL5">
        <v>78.221999999999994</v>
      </c>
      <c r="AQ5">
        <v>-1.2400377250000001</v>
      </c>
    </row>
    <row r="6" spans="4:43">
      <c r="D6" t="s">
        <v>4322</v>
      </c>
      <c r="E6" t="s">
        <v>4308</v>
      </c>
      <c r="F6" t="s">
        <v>4317</v>
      </c>
      <c r="H6" t="s">
        <v>4318</v>
      </c>
      <c r="I6" t="s">
        <v>4823</v>
      </c>
      <c r="J6" t="s">
        <v>4323</v>
      </c>
      <c r="K6">
        <v>43</v>
      </c>
      <c r="M6">
        <v>44</v>
      </c>
      <c r="O6">
        <v>68.125</v>
      </c>
      <c r="P6">
        <v>-167.49799999999999</v>
      </c>
      <c r="Q6">
        <v>5.86</v>
      </c>
      <c r="R6">
        <v>32.03</v>
      </c>
      <c r="S6">
        <v>267.476</v>
      </c>
      <c r="V6" t="s">
        <v>5288</v>
      </c>
      <c r="W6">
        <v>0.95799999999999996</v>
      </c>
      <c r="X6">
        <v>1</v>
      </c>
      <c r="Y6">
        <v>0.92500000000000004</v>
      </c>
      <c r="AA6">
        <v>0.84</v>
      </c>
      <c r="AB6">
        <v>15.3</v>
      </c>
      <c r="AE6">
        <v>2.11</v>
      </c>
      <c r="AF6">
        <v>1.69</v>
      </c>
      <c r="AI6">
        <v>1</v>
      </c>
      <c r="AL6">
        <v>70.802000000000007</v>
      </c>
      <c r="AQ6">
        <v>-0.77958841999999995</v>
      </c>
    </row>
    <row r="7" spans="4:43">
      <c r="D7" t="s">
        <v>4324</v>
      </c>
      <c r="E7" t="s">
        <v>4308</v>
      </c>
      <c r="F7" t="s">
        <v>4325</v>
      </c>
      <c r="H7" t="s">
        <v>4326</v>
      </c>
      <c r="I7" t="s">
        <v>4827</v>
      </c>
      <c r="J7" t="s">
        <v>4327</v>
      </c>
      <c r="K7">
        <v>21</v>
      </c>
      <c r="M7">
        <v>22</v>
      </c>
      <c r="O7">
        <v>68.012</v>
      </c>
      <c r="P7">
        <v>-167.86600000000001</v>
      </c>
      <c r="Q7">
        <v>5.1100000000000003</v>
      </c>
      <c r="R7">
        <v>32.06</v>
      </c>
      <c r="S7">
        <v>265.36399999999998</v>
      </c>
      <c r="V7" t="s">
        <v>5288</v>
      </c>
      <c r="W7">
        <v>0.38</v>
      </c>
      <c r="X7">
        <v>4</v>
      </c>
      <c r="Y7">
        <v>0.52500000000000002</v>
      </c>
      <c r="AA7">
        <v>1.06</v>
      </c>
      <c r="AB7">
        <v>17.79</v>
      </c>
      <c r="AE7">
        <v>2.2599999999999998</v>
      </c>
      <c r="AF7">
        <v>3.74</v>
      </c>
      <c r="AI7">
        <v>4</v>
      </c>
      <c r="AL7">
        <v>96.328400000000002</v>
      </c>
      <c r="AQ7">
        <v>-0.24851805599999999</v>
      </c>
    </row>
    <row r="8" spans="4:43">
      <c r="D8" t="s">
        <v>4328</v>
      </c>
      <c r="E8" t="s">
        <v>4308</v>
      </c>
      <c r="F8" t="s">
        <v>4325</v>
      </c>
      <c r="H8" t="s">
        <v>4326</v>
      </c>
      <c r="I8" t="s">
        <v>4827</v>
      </c>
      <c r="J8" t="s">
        <v>4329</v>
      </c>
      <c r="K8">
        <v>5</v>
      </c>
      <c r="M8">
        <v>4</v>
      </c>
      <c r="O8">
        <v>68.012</v>
      </c>
      <c r="P8">
        <v>-167.86600000000001</v>
      </c>
      <c r="Q8">
        <v>7.37</v>
      </c>
      <c r="R8">
        <v>31.75</v>
      </c>
      <c r="S8">
        <v>290.142</v>
      </c>
      <c r="V8" t="s">
        <v>5288</v>
      </c>
      <c r="W8">
        <v>0.79400000000000004</v>
      </c>
      <c r="X8">
        <v>6</v>
      </c>
      <c r="Y8">
        <v>1.0940000000000001</v>
      </c>
      <c r="AA8">
        <v>0.49</v>
      </c>
      <c r="AB8">
        <v>12.81</v>
      </c>
      <c r="AE8">
        <v>0.49</v>
      </c>
      <c r="AF8">
        <v>0.66</v>
      </c>
      <c r="AI8">
        <v>6</v>
      </c>
      <c r="AL8">
        <v>93.518199999999993</v>
      </c>
      <c r="AQ8">
        <v>-1.251337095</v>
      </c>
    </row>
    <row r="9" spans="4:43">
      <c r="D9" t="s">
        <v>4330</v>
      </c>
      <c r="E9" t="s">
        <v>4308</v>
      </c>
      <c r="F9" t="s">
        <v>4325</v>
      </c>
      <c r="H9" t="s">
        <v>4326</v>
      </c>
      <c r="I9" t="s">
        <v>4827</v>
      </c>
      <c r="J9" t="s">
        <v>4331</v>
      </c>
      <c r="K9">
        <v>47</v>
      </c>
      <c r="M9">
        <v>47</v>
      </c>
      <c r="O9">
        <v>68.012</v>
      </c>
      <c r="P9">
        <v>-167.86600000000001</v>
      </c>
      <c r="Q9">
        <v>4.68</v>
      </c>
      <c r="R9">
        <v>32.26</v>
      </c>
      <c r="S9">
        <v>237.113</v>
      </c>
      <c r="V9" t="s">
        <v>5288</v>
      </c>
      <c r="W9">
        <v>0.503</v>
      </c>
      <c r="X9">
        <v>1</v>
      </c>
      <c r="Y9">
        <v>1.552</v>
      </c>
      <c r="AA9">
        <v>1.69</v>
      </c>
      <c r="AB9">
        <v>34.159999999999997</v>
      </c>
      <c r="AE9">
        <v>3.94</v>
      </c>
      <c r="AF9">
        <v>6.06</v>
      </c>
      <c r="AI9">
        <v>1</v>
      </c>
      <c r="AL9">
        <v>53.455599999999997</v>
      </c>
      <c r="AQ9">
        <v>-1.008400652</v>
      </c>
    </row>
    <row r="10" spans="4:43">
      <c r="D10" t="s">
        <v>4332</v>
      </c>
      <c r="E10" t="s">
        <v>4308</v>
      </c>
      <c r="F10" t="s">
        <v>4333</v>
      </c>
      <c r="H10" t="s">
        <v>4334</v>
      </c>
      <c r="I10" t="s">
        <v>4831</v>
      </c>
      <c r="J10" t="s">
        <v>4335</v>
      </c>
      <c r="K10">
        <v>20</v>
      </c>
      <c r="M10">
        <v>20</v>
      </c>
      <c r="O10">
        <v>67.897000000000006</v>
      </c>
      <c r="P10">
        <v>-168.23699999999999</v>
      </c>
      <c r="Q10">
        <v>4.47</v>
      </c>
      <c r="R10">
        <v>32.549999999999997</v>
      </c>
      <c r="S10">
        <v>268.53500000000003</v>
      </c>
      <c r="V10" t="s">
        <v>5288</v>
      </c>
      <c r="W10">
        <v>0.24299999999999999</v>
      </c>
      <c r="X10">
        <v>5</v>
      </c>
      <c r="Y10">
        <v>0.621</v>
      </c>
      <c r="AA10">
        <v>1.6</v>
      </c>
      <c r="AB10">
        <v>31.32</v>
      </c>
      <c r="AE10">
        <v>2.41</v>
      </c>
      <c r="AF10">
        <v>11.07</v>
      </c>
      <c r="AI10">
        <v>5</v>
      </c>
      <c r="AL10">
        <v>95.819000000000003</v>
      </c>
      <c r="AQ10">
        <v>-0.46885576099999998</v>
      </c>
    </row>
    <row r="11" spans="4:43">
      <c r="D11" t="s">
        <v>4336</v>
      </c>
      <c r="E11" t="s">
        <v>4308</v>
      </c>
      <c r="F11" t="s">
        <v>4333</v>
      </c>
      <c r="H11" t="s">
        <v>4334</v>
      </c>
      <c r="I11" t="s">
        <v>4831</v>
      </c>
      <c r="J11" t="s">
        <v>4337</v>
      </c>
      <c r="K11">
        <v>5</v>
      </c>
      <c r="M11">
        <v>4</v>
      </c>
      <c r="O11">
        <v>67.897000000000006</v>
      </c>
      <c r="P11">
        <v>-168.23699999999999</v>
      </c>
      <c r="Q11">
        <v>5.99</v>
      </c>
      <c r="R11">
        <v>32.409999999999997</v>
      </c>
      <c r="S11">
        <v>396.35500000000002</v>
      </c>
      <c r="V11" t="s">
        <v>5288</v>
      </c>
      <c r="W11">
        <v>12.039</v>
      </c>
      <c r="X11">
        <v>7</v>
      </c>
      <c r="Y11">
        <v>18.207999999999998</v>
      </c>
      <c r="AA11">
        <v>0.08</v>
      </c>
      <c r="AB11">
        <v>7.83</v>
      </c>
      <c r="AE11">
        <v>0.89</v>
      </c>
      <c r="AF11">
        <v>0.23</v>
      </c>
      <c r="AI11">
        <v>7</v>
      </c>
      <c r="AL11">
        <v>67.454499999999996</v>
      </c>
      <c r="AQ11">
        <v>-0.152473416</v>
      </c>
    </row>
    <row r="12" spans="4:43">
      <c r="D12" t="s">
        <v>4338</v>
      </c>
      <c r="E12" t="s">
        <v>4308</v>
      </c>
      <c r="F12" t="s">
        <v>4333</v>
      </c>
      <c r="H12" t="s">
        <v>4334</v>
      </c>
      <c r="I12" t="s">
        <v>4831</v>
      </c>
      <c r="J12" t="s">
        <v>4339</v>
      </c>
      <c r="K12">
        <v>53</v>
      </c>
      <c r="M12">
        <v>54</v>
      </c>
      <c r="O12">
        <v>67.897000000000006</v>
      </c>
      <c r="P12">
        <v>-168.23699999999999</v>
      </c>
      <c r="Q12">
        <v>4.18</v>
      </c>
      <c r="R12">
        <v>32.6</v>
      </c>
      <c r="S12">
        <v>235.81200000000001</v>
      </c>
      <c r="V12" t="s">
        <v>5288</v>
      </c>
      <c r="W12">
        <v>0.65100000000000002</v>
      </c>
      <c r="X12">
        <v>1</v>
      </c>
      <c r="Y12">
        <v>1.9039999999999999</v>
      </c>
      <c r="AA12">
        <v>1.95</v>
      </c>
      <c r="AB12">
        <v>44.84</v>
      </c>
      <c r="AE12">
        <v>4.3600000000000003</v>
      </c>
      <c r="AF12">
        <v>12.79</v>
      </c>
      <c r="AI12">
        <v>1</v>
      </c>
      <c r="AL12">
        <v>28.193999999999999</v>
      </c>
      <c r="AQ12">
        <v>-0.39117259599999998</v>
      </c>
    </row>
    <row r="13" spans="4:43">
      <c r="D13" t="s">
        <v>4340</v>
      </c>
      <c r="E13" t="s">
        <v>4308</v>
      </c>
      <c r="F13" t="s">
        <v>4341</v>
      </c>
      <c r="H13" t="s">
        <v>4342</v>
      </c>
      <c r="I13" t="s">
        <v>4835</v>
      </c>
      <c r="J13" t="s">
        <v>4343</v>
      </c>
      <c r="K13">
        <v>20</v>
      </c>
      <c r="M13">
        <v>21</v>
      </c>
      <c r="O13">
        <v>67.784000000000006</v>
      </c>
      <c r="P13">
        <v>-168.60499999999999</v>
      </c>
      <c r="Q13">
        <v>4.8099999999999996</v>
      </c>
      <c r="R13">
        <v>32.68</v>
      </c>
      <c r="S13">
        <v>315.536</v>
      </c>
      <c r="V13" t="s">
        <v>5288</v>
      </c>
      <c r="W13">
        <v>3.0680000000000001</v>
      </c>
      <c r="X13">
        <v>3</v>
      </c>
      <c r="Y13">
        <v>9.5359999999999996</v>
      </c>
      <c r="AA13">
        <v>1.48</v>
      </c>
      <c r="AB13">
        <v>25.27</v>
      </c>
      <c r="AE13">
        <v>2.08</v>
      </c>
      <c r="AF13">
        <v>8.5</v>
      </c>
      <c r="AI13">
        <v>3</v>
      </c>
      <c r="AL13">
        <v>83.632599999999996</v>
      </c>
      <c r="AQ13">
        <v>-1.3770425799999999</v>
      </c>
    </row>
    <row r="14" spans="4:43">
      <c r="D14" t="s">
        <v>4344</v>
      </c>
      <c r="E14" t="s">
        <v>4308</v>
      </c>
      <c r="F14" t="s">
        <v>4341</v>
      </c>
      <c r="H14" t="s">
        <v>4342</v>
      </c>
      <c r="I14" t="s">
        <v>4835</v>
      </c>
      <c r="J14" t="s">
        <v>4345</v>
      </c>
      <c r="K14">
        <v>31</v>
      </c>
      <c r="M14">
        <v>31</v>
      </c>
      <c r="O14">
        <v>67.784000000000006</v>
      </c>
      <c r="P14">
        <v>-168.60499999999999</v>
      </c>
      <c r="Q14">
        <v>3.92</v>
      </c>
      <c r="R14">
        <v>32.69</v>
      </c>
      <c r="S14">
        <v>253.02600000000001</v>
      </c>
      <c r="V14" t="s">
        <v>5288</v>
      </c>
      <c r="W14">
        <v>0.50800000000000001</v>
      </c>
      <c r="X14">
        <v>2</v>
      </c>
      <c r="Y14">
        <v>1.8240000000000001</v>
      </c>
      <c r="AA14">
        <v>2.17</v>
      </c>
      <c r="AB14">
        <v>44.13</v>
      </c>
      <c r="AE14">
        <v>3.82</v>
      </c>
      <c r="AF14">
        <v>16.29</v>
      </c>
      <c r="AI14">
        <v>2</v>
      </c>
      <c r="AL14">
        <v>61.464300000000001</v>
      </c>
      <c r="AQ14">
        <v>-1.2259135139999999</v>
      </c>
    </row>
    <row r="15" spans="4:43">
      <c r="D15" t="s">
        <v>4346</v>
      </c>
      <c r="E15" t="s">
        <v>4308</v>
      </c>
      <c r="F15" t="s">
        <v>4341</v>
      </c>
      <c r="H15" t="s">
        <v>4342</v>
      </c>
      <c r="I15" t="s">
        <v>4835</v>
      </c>
      <c r="J15" t="s">
        <v>4347</v>
      </c>
      <c r="K15">
        <v>5</v>
      </c>
      <c r="M15">
        <v>5</v>
      </c>
      <c r="O15">
        <v>67.784000000000006</v>
      </c>
      <c r="P15">
        <v>-168.60499999999999</v>
      </c>
      <c r="Q15">
        <v>5.57</v>
      </c>
      <c r="R15">
        <v>32.69</v>
      </c>
      <c r="S15">
        <v>393.01799999999997</v>
      </c>
      <c r="V15" t="s">
        <v>5288</v>
      </c>
      <c r="W15">
        <v>13.21</v>
      </c>
      <c r="X15">
        <v>5</v>
      </c>
      <c r="Y15">
        <v>21.088000000000001</v>
      </c>
      <c r="AA15">
        <v>0.55000000000000004</v>
      </c>
      <c r="AB15">
        <v>5.69</v>
      </c>
      <c r="AE15">
        <v>0.84</v>
      </c>
      <c r="AF15">
        <v>0.24</v>
      </c>
      <c r="AI15">
        <v>5</v>
      </c>
      <c r="AL15">
        <v>70.646100000000004</v>
      </c>
      <c r="AQ15">
        <v>-1.136930979</v>
      </c>
    </row>
    <row r="16" spans="4:43">
      <c r="D16" t="s">
        <v>4348</v>
      </c>
      <c r="E16" t="s">
        <v>4308</v>
      </c>
      <c r="F16" t="s">
        <v>4349</v>
      </c>
      <c r="H16" t="s">
        <v>4350</v>
      </c>
      <c r="I16" t="s">
        <v>4839</v>
      </c>
      <c r="J16" t="s">
        <v>4351</v>
      </c>
      <c r="K16">
        <v>19</v>
      </c>
      <c r="M16">
        <v>18</v>
      </c>
      <c r="O16">
        <v>67.667000000000002</v>
      </c>
      <c r="P16">
        <v>-168.95500000000001</v>
      </c>
      <c r="Q16">
        <v>4.68</v>
      </c>
      <c r="R16">
        <v>32.700000000000003</v>
      </c>
      <c r="S16">
        <v>305.82100000000003</v>
      </c>
      <c r="V16" t="s">
        <v>5288</v>
      </c>
      <c r="W16">
        <v>10.855</v>
      </c>
      <c r="X16">
        <v>8</v>
      </c>
      <c r="Y16">
        <v>9.6319999999999997</v>
      </c>
      <c r="AA16">
        <v>0.18</v>
      </c>
      <c r="AB16">
        <v>2.85</v>
      </c>
      <c r="AE16">
        <v>0.26</v>
      </c>
      <c r="AF16">
        <v>0.5</v>
      </c>
      <c r="AI16">
        <v>8</v>
      </c>
      <c r="AL16">
        <v>64.264399999999995</v>
      </c>
    </row>
    <row r="17" spans="4:46">
      <c r="D17" t="s">
        <v>4352</v>
      </c>
      <c r="E17" t="s">
        <v>4308</v>
      </c>
      <c r="F17" t="s">
        <v>4349</v>
      </c>
      <c r="H17" t="s">
        <v>4350</v>
      </c>
      <c r="I17" t="s">
        <v>4839</v>
      </c>
      <c r="J17" t="s">
        <v>4353</v>
      </c>
      <c r="K17">
        <v>5</v>
      </c>
      <c r="M17">
        <v>5</v>
      </c>
      <c r="O17">
        <v>67.667000000000002</v>
      </c>
      <c r="P17">
        <v>-168.95500000000001</v>
      </c>
      <c r="Q17">
        <v>6.04</v>
      </c>
      <c r="R17">
        <v>32.65</v>
      </c>
      <c r="S17">
        <v>377.59199999999998</v>
      </c>
      <c r="V17" t="s">
        <v>5288</v>
      </c>
      <c r="W17">
        <v>8.7509999999999994</v>
      </c>
      <c r="X17">
        <v>10</v>
      </c>
      <c r="Y17">
        <v>9.8879999999999999</v>
      </c>
      <c r="AA17">
        <v>0.18</v>
      </c>
      <c r="AB17">
        <v>2.85</v>
      </c>
      <c r="AE17">
        <v>0.31</v>
      </c>
      <c r="AF17">
        <v>0.19</v>
      </c>
      <c r="AI17">
        <v>10</v>
      </c>
      <c r="AL17">
        <v>72.026899999999998</v>
      </c>
      <c r="AQ17">
        <v>-1.2131933989999999</v>
      </c>
    </row>
    <row r="18" spans="4:46">
      <c r="D18" t="s">
        <v>4354</v>
      </c>
      <c r="E18" t="s">
        <v>4308</v>
      </c>
      <c r="F18" t="s">
        <v>4349</v>
      </c>
      <c r="H18" t="s">
        <v>4350</v>
      </c>
      <c r="I18" t="s">
        <v>4839</v>
      </c>
      <c r="J18" t="s">
        <v>4355</v>
      </c>
      <c r="K18">
        <v>43</v>
      </c>
      <c r="M18">
        <v>44</v>
      </c>
      <c r="O18">
        <v>67.667000000000002</v>
      </c>
      <c r="P18">
        <v>-168.95500000000001</v>
      </c>
      <c r="Q18">
        <v>3.82</v>
      </c>
      <c r="R18">
        <v>32.75</v>
      </c>
      <c r="S18">
        <v>253.74799999999999</v>
      </c>
      <c r="V18" t="s">
        <v>5288</v>
      </c>
      <c r="W18">
        <v>0.70399999999999996</v>
      </c>
      <c r="X18">
        <v>5</v>
      </c>
      <c r="Y18">
        <v>1.1619999999999999</v>
      </c>
      <c r="AA18">
        <v>2.0299999999999998</v>
      </c>
      <c r="AB18">
        <v>39.86</v>
      </c>
      <c r="AE18">
        <v>3.49</v>
      </c>
      <c r="AF18">
        <v>17</v>
      </c>
      <c r="AI18">
        <v>5</v>
      </c>
      <c r="AL18">
        <v>54.078600000000002</v>
      </c>
      <c r="AQ18">
        <v>-0.57055008600000001</v>
      </c>
    </row>
    <row r="19" spans="4:46">
      <c r="D19" t="s">
        <v>4356</v>
      </c>
      <c r="E19" t="s">
        <v>4308</v>
      </c>
      <c r="F19" t="s">
        <v>4357</v>
      </c>
      <c r="H19" t="s">
        <v>4358</v>
      </c>
      <c r="I19" t="s">
        <v>4793</v>
      </c>
      <c r="J19" t="s">
        <v>4359</v>
      </c>
      <c r="K19">
        <v>23</v>
      </c>
      <c r="L19" t="s">
        <v>5288</v>
      </c>
      <c r="M19">
        <v>23</v>
      </c>
      <c r="O19">
        <v>68.899000000000001</v>
      </c>
      <c r="P19">
        <v>-166.423</v>
      </c>
      <c r="Q19">
        <v>9.81</v>
      </c>
      <c r="R19">
        <v>30.19</v>
      </c>
      <c r="S19">
        <v>267.48399999999998</v>
      </c>
      <c r="V19" t="s">
        <v>5288</v>
      </c>
      <c r="W19">
        <v>0.86899999999999999</v>
      </c>
      <c r="X19">
        <v>1</v>
      </c>
      <c r="Y19">
        <v>2.125</v>
      </c>
      <c r="AA19">
        <v>0.59</v>
      </c>
      <c r="AB19">
        <v>9.25</v>
      </c>
      <c r="AE19">
        <v>0.44</v>
      </c>
      <c r="AF19">
        <v>0.24</v>
      </c>
      <c r="AI19">
        <v>1</v>
      </c>
      <c r="AL19">
        <v>80.171899999999994</v>
      </c>
      <c r="AQ19">
        <v>-3.8290000000000002</v>
      </c>
      <c r="AT19" t="s">
        <v>5288</v>
      </c>
    </row>
    <row r="20" spans="4:46">
      <c r="D20" t="s">
        <v>4361</v>
      </c>
      <c r="E20" t="s">
        <v>4308</v>
      </c>
      <c r="F20" t="s">
        <v>4357</v>
      </c>
      <c r="H20" t="s">
        <v>4358</v>
      </c>
      <c r="I20" t="s">
        <v>4793</v>
      </c>
      <c r="J20" t="s">
        <v>4362</v>
      </c>
      <c r="K20">
        <v>5</v>
      </c>
      <c r="M20">
        <v>5</v>
      </c>
      <c r="O20">
        <v>68.899000000000001</v>
      </c>
      <c r="P20">
        <v>-166.423</v>
      </c>
      <c r="Q20">
        <v>10.220000000000001</v>
      </c>
      <c r="R20">
        <v>30.07</v>
      </c>
      <c r="S20">
        <v>267.14100000000002</v>
      </c>
      <c r="V20" t="s">
        <v>5288</v>
      </c>
      <c r="W20">
        <v>1.06</v>
      </c>
      <c r="X20">
        <v>4</v>
      </c>
      <c r="Y20">
        <v>1.7629999999999999</v>
      </c>
      <c r="AA20">
        <v>0.53</v>
      </c>
      <c r="AB20">
        <v>7.12</v>
      </c>
      <c r="AE20">
        <v>0.42</v>
      </c>
      <c r="AF20">
        <v>0.18</v>
      </c>
      <c r="AI20">
        <v>4</v>
      </c>
      <c r="AL20">
        <v>91.659199999999998</v>
      </c>
      <c r="AQ20">
        <v>-3.6168333330000002</v>
      </c>
    </row>
    <row r="21" spans="4:46">
      <c r="D21" t="s">
        <v>4363</v>
      </c>
      <c r="E21" t="s">
        <v>4308</v>
      </c>
      <c r="F21" t="s">
        <v>4357</v>
      </c>
      <c r="H21" t="s">
        <v>4358</v>
      </c>
      <c r="I21" t="s">
        <v>4793</v>
      </c>
      <c r="J21" t="s">
        <v>4364</v>
      </c>
      <c r="K21">
        <v>10</v>
      </c>
      <c r="M21">
        <v>10</v>
      </c>
      <c r="O21">
        <v>68.899000000000001</v>
      </c>
      <c r="P21">
        <v>-166.423</v>
      </c>
      <c r="Q21">
        <v>10.11</v>
      </c>
      <c r="R21">
        <v>30.12</v>
      </c>
      <c r="S21">
        <v>269.02999999999997</v>
      </c>
      <c r="V21" t="s">
        <v>5288</v>
      </c>
      <c r="W21">
        <v>0.86899999999999999</v>
      </c>
      <c r="X21">
        <v>3</v>
      </c>
      <c r="Y21">
        <v>1.786</v>
      </c>
      <c r="AA21">
        <v>0.56000000000000005</v>
      </c>
      <c r="AB21">
        <v>7.83</v>
      </c>
      <c r="AE21">
        <v>0.3</v>
      </c>
      <c r="AF21">
        <v>0.21</v>
      </c>
      <c r="AI21">
        <v>3</v>
      </c>
      <c r="AL21">
        <v>91.168899999999994</v>
      </c>
    </row>
    <row r="22" spans="4:46">
      <c r="D22" t="s">
        <v>4365</v>
      </c>
      <c r="E22" t="s">
        <v>4308</v>
      </c>
      <c r="F22" t="s">
        <v>4366</v>
      </c>
      <c r="H22" t="s">
        <v>4367</v>
      </c>
      <c r="I22" t="s">
        <v>4797</v>
      </c>
      <c r="J22" t="s">
        <v>4368</v>
      </c>
      <c r="K22" t="e">
        <v>#N/A</v>
      </c>
      <c r="L22" t="e">
        <v>#N/A</v>
      </c>
      <c r="M22">
        <v>41</v>
      </c>
      <c r="O22">
        <v>68.947999999999993</v>
      </c>
      <c r="P22">
        <v>-166.90799999999999</v>
      </c>
      <c r="Q22">
        <v>7.47</v>
      </c>
      <c r="R22">
        <v>31.7</v>
      </c>
      <c r="S22">
        <v>276.25900000000001</v>
      </c>
      <c r="V22" t="s">
        <v>5288</v>
      </c>
      <c r="W22">
        <v>0.40899999999999997</v>
      </c>
      <c r="X22">
        <v>1</v>
      </c>
      <c r="Y22">
        <v>0.79200000000000004</v>
      </c>
      <c r="AA22">
        <v>0.78</v>
      </c>
      <c r="AB22">
        <v>9.25</v>
      </c>
      <c r="AE22">
        <v>1.53</v>
      </c>
      <c r="AF22">
        <v>1.1299999999999999</v>
      </c>
      <c r="AI22">
        <v>1</v>
      </c>
      <c r="AL22">
        <v>62.644300000000001</v>
      </c>
      <c r="AQ22">
        <v>-1.388344925</v>
      </c>
      <c r="AT22" t="e">
        <v>#N/A</v>
      </c>
    </row>
    <row r="23" spans="4:46">
      <c r="D23" t="s">
        <v>4369</v>
      </c>
      <c r="E23" t="s">
        <v>4308</v>
      </c>
      <c r="F23" t="s">
        <v>4370</v>
      </c>
      <c r="H23" t="s">
        <v>4371</v>
      </c>
      <c r="I23" t="s">
        <v>4812</v>
      </c>
      <c r="J23" t="s">
        <v>4372</v>
      </c>
      <c r="K23">
        <v>11</v>
      </c>
      <c r="M23">
        <v>10</v>
      </c>
      <c r="O23">
        <v>68.299000000000007</v>
      </c>
      <c r="P23">
        <v>-166.93600000000001</v>
      </c>
      <c r="Q23">
        <v>9.9</v>
      </c>
      <c r="R23">
        <v>30.32</v>
      </c>
      <c r="S23">
        <v>270.65899999999999</v>
      </c>
      <c r="V23" t="s">
        <v>5288</v>
      </c>
      <c r="W23">
        <v>1.1339999999999999</v>
      </c>
      <c r="X23">
        <v>3</v>
      </c>
      <c r="Y23">
        <v>1.619</v>
      </c>
      <c r="AA23">
        <v>0.54</v>
      </c>
      <c r="AB23">
        <v>7.12</v>
      </c>
      <c r="AE23">
        <v>0.24</v>
      </c>
      <c r="AF23">
        <v>0.33</v>
      </c>
      <c r="AI23">
        <v>3</v>
      </c>
      <c r="AL23">
        <v>83.681200000000004</v>
      </c>
      <c r="AQ23">
        <v>-3.1404178780000001</v>
      </c>
    </row>
    <row r="24" spans="4:46">
      <c r="D24" t="s">
        <v>4373</v>
      </c>
      <c r="E24" t="s">
        <v>4308</v>
      </c>
      <c r="F24" t="s">
        <v>4370</v>
      </c>
      <c r="H24" t="s">
        <v>4371</v>
      </c>
      <c r="I24" t="s">
        <v>4812</v>
      </c>
      <c r="J24" t="s">
        <v>4374</v>
      </c>
      <c r="K24">
        <v>27</v>
      </c>
      <c r="M24">
        <v>27</v>
      </c>
      <c r="O24">
        <v>68.299000000000007</v>
      </c>
      <c r="P24">
        <v>-166.93600000000001</v>
      </c>
      <c r="Q24">
        <v>8.4700000000000006</v>
      </c>
      <c r="R24">
        <v>31.19</v>
      </c>
      <c r="S24">
        <v>278.69099999999997</v>
      </c>
      <c r="V24" t="s">
        <v>5288</v>
      </c>
      <c r="W24">
        <v>0.77800000000000002</v>
      </c>
      <c r="X24">
        <v>1</v>
      </c>
      <c r="Y24">
        <v>0.96299999999999997</v>
      </c>
      <c r="AA24">
        <v>0.56999999999999995</v>
      </c>
      <c r="AB24">
        <v>9.9600000000000009</v>
      </c>
      <c r="AE24">
        <v>0.96</v>
      </c>
      <c r="AF24">
        <v>1.1299999999999999</v>
      </c>
      <c r="AI24">
        <v>1</v>
      </c>
      <c r="AL24">
        <v>84.892799999999994</v>
      </c>
      <c r="AQ24">
        <v>-1.8465192610000001</v>
      </c>
    </row>
    <row r="25" spans="4:46">
      <c r="D25" t="s">
        <v>4375</v>
      </c>
      <c r="E25" t="s">
        <v>4308</v>
      </c>
      <c r="F25" t="s">
        <v>4370</v>
      </c>
      <c r="H25" t="s">
        <v>4371</v>
      </c>
      <c r="I25" t="s">
        <v>4812</v>
      </c>
      <c r="J25" t="s">
        <v>4376</v>
      </c>
      <c r="K25">
        <v>5</v>
      </c>
      <c r="M25">
        <v>5</v>
      </c>
      <c r="O25">
        <v>68.299000000000007</v>
      </c>
      <c r="P25">
        <v>-166.93600000000001</v>
      </c>
      <c r="Q25">
        <v>10.31</v>
      </c>
      <c r="R25">
        <v>30.07</v>
      </c>
      <c r="S25">
        <v>267.52600000000001</v>
      </c>
      <c r="V25" t="s">
        <v>5288</v>
      </c>
      <c r="W25">
        <v>1.198</v>
      </c>
      <c r="X25">
        <v>4</v>
      </c>
      <c r="Y25">
        <v>1.4239999999999999</v>
      </c>
      <c r="AA25">
        <v>0.55000000000000004</v>
      </c>
      <c r="AB25">
        <v>8.19</v>
      </c>
      <c r="AE25">
        <v>0.3</v>
      </c>
      <c r="AF25">
        <v>0.59</v>
      </c>
      <c r="AI25">
        <v>4</v>
      </c>
      <c r="AL25">
        <v>86.043199999999999</v>
      </c>
      <c r="AQ25">
        <v>-2.67653951</v>
      </c>
    </row>
    <row r="26" spans="4:46">
      <c r="D26" t="s">
        <v>4377</v>
      </c>
      <c r="E26" t="s">
        <v>4308</v>
      </c>
      <c r="F26" t="s">
        <v>4378</v>
      </c>
      <c r="H26" t="s">
        <v>4379</v>
      </c>
      <c r="I26" t="s">
        <v>4816</v>
      </c>
      <c r="J26" t="s">
        <v>4380</v>
      </c>
      <c r="K26">
        <v>21</v>
      </c>
      <c r="M26">
        <v>21</v>
      </c>
      <c r="O26">
        <v>68.242999999999995</v>
      </c>
      <c r="P26">
        <v>-167.124</v>
      </c>
      <c r="Q26">
        <v>7.69</v>
      </c>
      <c r="R26">
        <v>31.63</v>
      </c>
      <c r="S26">
        <v>280.23700000000002</v>
      </c>
      <c r="V26" t="s">
        <v>5288</v>
      </c>
      <c r="W26">
        <v>0.627</v>
      </c>
      <c r="X26">
        <v>3</v>
      </c>
      <c r="Y26">
        <v>0.76500000000000001</v>
      </c>
      <c r="AA26">
        <v>0.62</v>
      </c>
      <c r="AB26">
        <v>11.03</v>
      </c>
      <c r="AE26">
        <v>1.66</v>
      </c>
      <c r="AF26">
        <v>0.61</v>
      </c>
      <c r="AI26">
        <v>3</v>
      </c>
      <c r="AL26">
        <v>80.913300000000007</v>
      </c>
      <c r="AQ26">
        <v>-1.5631672430000001</v>
      </c>
    </row>
    <row r="27" spans="4:46">
      <c r="D27" t="s">
        <v>4381</v>
      </c>
      <c r="E27" t="s">
        <v>4308</v>
      </c>
      <c r="F27" t="s">
        <v>4378</v>
      </c>
      <c r="H27" t="s">
        <v>4379</v>
      </c>
      <c r="I27" t="s">
        <v>4816</v>
      </c>
      <c r="J27" t="s">
        <v>4382</v>
      </c>
      <c r="K27">
        <v>4</v>
      </c>
      <c r="M27">
        <v>4</v>
      </c>
      <c r="O27">
        <v>68.242999999999995</v>
      </c>
      <c r="P27">
        <v>-167.124</v>
      </c>
      <c r="Q27">
        <v>8.5</v>
      </c>
      <c r="R27">
        <v>31.5</v>
      </c>
      <c r="S27">
        <v>284.08600000000001</v>
      </c>
      <c r="V27" t="s">
        <v>5288</v>
      </c>
      <c r="W27">
        <v>1.2070000000000001</v>
      </c>
      <c r="X27">
        <v>5</v>
      </c>
      <c r="Y27">
        <v>1.2</v>
      </c>
      <c r="AA27">
        <v>0.36</v>
      </c>
      <c r="AB27">
        <v>10.68</v>
      </c>
      <c r="AE27">
        <v>0.7</v>
      </c>
      <c r="AF27">
        <v>0.81</v>
      </c>
      <c r="AI27">
        <v>5</v>
      </c>
      <c r="AL27">
        <v>89.798199999999994</v>
      </c>
      <c r="AQ27">
        <v>-1.3231753100000001</v>
      </c>
    </row>
    <row r="28" spans="4:46">
      <c r="D28" t="s">
        <v>4383</v>
      </c>
      <c r="E28" t="s">
        <v>4308</v>
      </c>
      <c r="F28" t="s">
        <v>4378</v>
      </c>
      <c r="H28" t="s">
        <v>4379</v>
      </c>
      <c r="I28" t="s">
        <v>4816</v>
      </c>
      <c r="J28" t="s">
        <v>4384</v>
      </c>
      <c r="K28">
        <v>35</v>
      </c>
      <c r="M28">
        <v>36</v>
      </c>
      <c r="O28">
        <v>68.242999999999995</v>
      </c>
      <c r="P28">
        <v>-167.124</v>
      </c>
      <c r="Q28">
        <v>7.64</v>
      </c>
      <c r="R28">
        <v>31.72</v>
      </c>
      <c r="S28">
        <v>283.07</v>
      </c>
      <c r="V28" t="s">
        <v>5288</v>
      </c>
      <c r="W28">
        <v>0.7</v>
      </c>
      <c r="X28">
        <v>1</v>
      </c>
      <c r="Y28">
        <v>0.91200000000000003</v>
      </c>
      <c r="AA28">
        <v>0.61</v>
      </c>
      <c r="AB28">
        <v>10.68</v>
      </c>
      <c r="AE28">
        <v>1.45</v>
      </c>
      <c r="AF28">
        <v>0.65</v>
      </c>
      <c r="AI28">
        <v>1</v>
      </c>
      <c r="AL28">
        <v>80.135400000000004</v>
      </c>
      <c r="AQ28">
        <v>-1.416127854</v>
      </c>
    </row>
    <row r="29" spans="4:46">
      <c r="D29" t="s">
        <v>4385</v>
      </c>
      <c r="E29" t="s">
        <v>4308</v>
      </c>
      <c r="F29" t="s">
        <v>4386</v>
      </c>
      <c r="H29" t="s">
        <v>4387</v>
      </c>
      <c r="I29" t="s">
        <v>4820</v>
      </c>
      <c r="J29" t="s">
        <v>4388</v>
      </c>
      <c r="K29">
        <v>41</v>
      </c>
      <c r="M29">
        <v>41</v>
      </c>
      <c r="O29">
        <v>68.186000000000007</v>
      </c>
      <c r="P29">
        <v>-167.30699999999999</v>
      </c>
      <c r="Q29">
        <v>7.37</v>
      </c>
      <c r="R29">
        <v>31.9</v>
      </c>
      <c r="S29">
        <v>284.68099999999998</v>
      </c>
      <c r="V29" t="s">
        <v>5288</v>
      </c>
      <c r="W29">
        <v>1.1140000000000001</v>
      </c>
      <c r="X29">
        <v>1</v>
      </c>
      <c r="Y29">
        <v>1.101</v>
      </c>
      <c r="AA29">
        <v>0.59</v>
      </c>
      <c r="AB29">
        <v>11.39</v>
      </c>
      <c r="AE29">
        <v>2.2200000000000002</v>
      </c>
      <c r="AF29">
        <v>0.56000000000000005</v>
      </c>
      <c r="AI29">
        <v>1</v>
      </c>
      <c r="AL29">
        <v>78.883099999999999</v>
      </c>
      <c r="AQ29">
        <v>-0.446257022</v>
      </c>
    </row>
    <row r="30" spans="4:46">
      <c r="D30" t="s">
        <v>4389</v>
      </c>
      <c r="E30" t="s">
        <v>4308</v>
      </c>
      <c r="F30" t="s">
        <v>4386</v>
      </c>
      <c r="H30" t="s">
        <v>4387</v>
      </c>
      <c r="I30" t="s">
        <v>4820</v>
      </c>
      <c r="J30" t="s">
        <v>4390</v>
      </c>
      <c r="K30">
        <v>5</v>
      </c>
      <c r="M30">
        <v>5</v>
      </c>
      <c r="O30">
        <v>68.186000000000007</v>
      </c>
      <c r="P30">
        <v>-167.30699999999999</v>
      </c>
      <c r="Q30">
        <v>7.65</v>
      </c>
      <c r="R30">
        <v>31.78</v>
      </c>
      <c r="S30">
        <v>288.62</v>
      </c>
      <c r="V30" t="s">
        <v>5288</v>
      </c>
      <c r="W30">
        <v>2.2330000000000001</v>
      </c>
      <c r="X30">
        <v>5</v>
      </c>
      <c r="Y30">
        <v>2.17</v>
      </c>
      <c r="AA30">
        <v>0.47</v>
      </c>
      <c r="AB30">
        <v>12.46</v>
      </c>
      <c r="AE30">
        <v>0.52</v>
      </c>
      <c r="AF30">
        <v>0.24</v>
      </c>
      <c r="AI30">
        <v>5</v>
      </c>
      <c r="AL30">
        <v>86.027299999999997</v>
      </c>
      <c r="AQ30">
        <v>-0.999926125</v>
      </c>
    </row>
    <row r="31" spans="4:46">
      <c r="D31" t="s">
        <v>4391</v>
      </c>
      <c r="E31" t="s">
        <v>4308</v>
      </c>
      <c r="F31" t="s">
        <v>4392</v>
      </c>
      <c r="H31" t="s">
        <v>4393</v>
      </c>
      <c r="I31" t="s">
        <v>4800</v>
      </c>
      <c r="J31" t="s">
        <v>4394</v>
      </c>
      <c r="K31">
        <v>11</v>
      </c>
      <c r="M31">
        <v>10</v>
      </c>
      <c r="O31">
        <v>69.028999999999996</v>
      </c>
      <c r="P31">
        <v>-167.934</v>
      </c>
      <c r="Q31">
        <v>7.59</v>
      </c>
      <c r="R31">
        <v>31.65</v>
      </c>
      <c r="S31">
        <v>281.64100000000002</v>
      </c>
      <c r="V31" t="s">
        <v>5288</v>
      </c>
      <c r="W31">
        <v>0.49299999999999999</v>
      </c>
      <c r="X31">
        <v>4</v>
      </c>
      <c r="Y31">
        <v>0.56399999999999995</v>
      </c>
      <c r="AA31">
        <v>0.67</v>
      </c>
      <c r="AB31">
        <v>8.9</v>
      </c>
      <c r="AE31">
        <v>1.0900000000000001</v>
      </c>
      <c r="AF31">
        <v>0.7</v>
      </c>
      <c r="AI31">
        <v>4</v>
      </c>
      <c r="AL31">
        <v>95.941500000000005</v>
      </c>
    </row>
    <row r="32" spans="4:46">
      <c r="D32" t="s">
        <v>4395</v>
      </c>
      <c r="E32" t="s">
        <v>4308</v>
      </c>
      <c r="F32" t="s">
        <v>4392</v>
      </c>
      <c r="H32" t="s">
        <v>4393</v>
      </c>
      <c r="I32" t="s">
        <v>4800</v>
      </c>
      <c r="J32" t="s">
        <v>4396</v>
      </c>
      <c r="K32">
        <v>42</v>
      </c>
      <c r="M32">
        <v>42</v>
      </c>
      <c r="O32">
        <v>69.028999999999996</v>
      </c>
      <c r="P32">
        <v>-167.934</v>
      </c>
      <c r="Q32">
        <v>6.62</v>
      </c>
      <c r="R32">
        <v>31.96</v>
      </c>
      <c r="S32">
        <v>289.32499999999999</v>
      </c>
      <c r="V32" t="s">
        <v>5288</v>
      </c>
      <c r="W32">
        <v>0.30399999999999999</v>
      </c>
      <c r="X32">
        <v>1</v>
      </c>
      <c r="Y32">
        <v>0.46400000000000002</v>
      </c>
      <c r="AA32">
        <v>0.79</v>
      </c>
      <c r="AB32">
        <v>8.5399999999999991</v>
      </c>
      <c r="AE32">
        <v>2.02</v>
      </c>
      <c r="AF32">
        <v>0.76</v>
      </c>
      <c r="AI32">
        <v>1</v>
      </c>
      <c r="AL32">
        <v>88.101900000000001</v>
      </c>
    </row>
    <row r="33" spans="4:46">
      <c r="D33" t="s">
        <v>4397</v>
      </c>
      <c r="E33" t="s">
        <v>4308</v>
      </c>
      <c r="F33" t="s">
        <v>4392</v>
      </c>
      <c r="H33" t="s">
        <v>4393</v>
      </c>
      <c r="I33" t="s">
        <v>4800</v>
      </c>
      <c r="J33" t="s">
        <v>4398</v>
      </c>
      <c r="K33">
        <v>5</v>
      </c>
      <c r="M33">
        <v>6</v>
      </c>
      <c r="O33">
        <v>69.028999999999996</v>
      </c>
      <c r="P33">
        <v>-167.934</v>
      </c>
      <c r="Q33">
        <v>8.66</v>
      </c>
      <c r="R33">
        <v>31.15</v>
      </c>
      <c r="S33">
        <v>279.589</v>
      </c>
      <c r="V33" t="s">
        <v>5288</v>
      </c>
      <c r="W33">
        <v>0.71699999999999997</v>
      </c>
      <c r="X33">
        <v>5</v>
      </c>
      <c r="Y33">
        <v>0.67200000000000004</v>
      </c>
      <c r="AA33">
        <v>0.54</v>
      </c>
      <c r="AB33">
        <v>8.01</v>
      </c>
      <c r="AE33">
        <v>0.4</v>
      </c>
      <c r="AF33">
        <v>0.16</v>
      </c>
      <c r="AI33">
        <v>5</v>
      </c>
      <c r="AL33">
        <v>95.071200000000005</v>
      </c>
      <c r="AQ33">
        <v>-2.0148862740000002</v>
      </c>
    </row>
    <row r="34" spans="4:46">
      <c r="D34" t="s">
        <v>4399</v>
      </c>
      <c r="E34" t="s">
        <v>4308</v>
      </c>
      <c r="F34" t="s">
        <v>4400</v>
      </c>
      <c r="H34" t="s">
        <v>4401</v>
      </c>
      <c r="I34" t="s">
        <v>4804</v>
      </c>
      <c r="J34" t="s">
        <v>4402</v>
      </c>
      <c r="K34">
        <v>20</v>
      </c>
      <c r="M34">
        <v>20</v>
      </c>
      <c r="O34">
        <v>69.03</v>
      </c>
      <c r="P34">
        <v>-168.411</v>
      </c>
      <c r="Q34">
        <v>7.58</v>
      </c>
      <c r="R34">
        <v>31.72</v>
      </c>
      <c r="S34">
        <v>279.27600000000001</v>
      </c>
      <c r="V34" t="s">
        <v>5288</v>
      </c>
      <c r="W34">
        <v>0.309</v>
      </c>
      <c r="X34">
        <v>3</v>
      </c>
      <c r="Y34">
        <v>0.5</v>
      </c>
      <c r="AA34">
        <v>0.72</v>
      </c>
      <c r="AB34">
        <v>8.9</v>
      </c>
      <c r="AE34">
        <v>1.5</v>
      </c>
      <c r="AF34">
        <v>0.33</v>
      </c>
      <c r="AI34">
        <v>3</v>
      </c>
      <c r="AL34">
        <v>88.796800000000005</v>
      </c>
    </row>
    <row r="35" spans="4:46">
      <c r="D35" t="s">
        <v>4403</v>
      </c>
      <c r="E35" t="s">
        <v>4308</v>
      </c>
      <c r="F35" t="s">
        <v>4400</v>
      </c>
      <c r="H35" t="s">
        <v>4401</v>
      </c>
      <c r="I35" t="s">
        <v>4804</v>
      </c>
      <c r="J35" t="s">
        <v>4404</v>
      </c>
      <c r="K35">
        <v>43</v>
      </c>
      <c r="M35">
        <v>43</v>
      </c>
      <c r="O35">
        <v>69.03</v>
      </c>
      <c r="P35">
        <v>-168.411</v>
      </c>
      <c r="Q35">
        <v>6.99</v>
      </c>
      <c r="R35">
        <v>31.82</v>
      </c>
      <c r="S35">
        <v>275.51100000000002</v>
      </c>
      <c r="V35" t="s">
        <v>5288</v>
      </c>
      <c r="W35">
        <v>0.35799999999999998</v>
      </c>
      <c r="X35">
        <v>1</v>
      </c>
      <c r="Y35">
        <v>0.50800000000000001</v>
      </c>
      <c r="AA35">
        <v>0.74</v>
      </c>
      <c r="AB35">
        <v>9.25</v>
      </c>
      <c r="AE35">
        <v>1.43</v>
      </c>
      <c r="AF35">
        <v>0.49</v>
      </c>
      <c r="AI35">
        <v>1</v>
      </c>
      <c r="AL35">
        <v>79.609700000000004</v>
      </c>
      <c r="AQ35">
        <v>-1.0276598669999999</v>
      </c>
    </row>
    <row r="36" spans="4:46">
      <c r="D36" t="s">
        <v>4405</v>
      </c>
      <c r="E36" t="s">
        <v>4308</v>
      </c>
      <c r="F36" t="s">
        <v>4400</v>
      </c>
      <c r="H36" t="s">
        <v>4401</v>
      </c>
      <c r="I36" t="s">
        <v>4804</v>
      </c>
      <c r="J36" t="s">
        <v>4406</v>
      </c>
      <c r="K36">
        <v>5</v>
      </c>
      <c r="M36">
        <v>5</v>
      </c>
      <c r="O36">
        <v>69.03</v>
      </c>
      <c r="P36">
        <v>-168.411</v>
      </c>
      <c r="Q36">
        <v>8.65</v>
      </c>
      <c r="R36">
        <v>31.2</v>
      </c>
      <c r="S36">
        <v>280.20600000000002</v>
      </c>
      <c r="V36" t="s">
        <v>5288</v>
      </c>
      <c r="W36">
        <v>0.61099999999999999</v>
      </c>
      <c r="X36">
        <v>5</v>
      </c>
      <c r="Y36">
        <v>0.52</v>
      </c>
      <c r="AA36">
        <v>0.55000000000000004</v>
      </c>
      <c r="AB36">
        <v>8.5399999999999991</v>
      </c>
      <c r="AE36">
        <v>0.28000000000000003</v>
      </c>
      <c r="AF36">
        <v>0.13</v>
      </c>
      <c r="AI36">
        <v>5</v>
      </c>
      <c r="AL36">
        <v>94.298199999999994</v>
      </c>
      <c r="AQ36">
        <v>-1.52505289</v>
      </c>
    </row>
    <row r="37" spans="4:46">
      <c r="D37" t="s">
        <v>4407</v>
      </c>
      <c r="E37" t="s">
        <v>4308</v>
      </c>
      <c r="F37" t="s">
        <v>4408</v>
      </c>
      <c r="H37" t="s">
        <v>4409</v>
      </c>
      <c r="I37" t="s">
        <v>4808</v>
      </c>
      <c r="J37" t="s">
        <v>4410</v>
      </c>
      <c r="K37">
        <v>21</v>
      </c>
      <c r="M37">
        <v>21</v>
      </c>
      <c r="O37">
        <v>69.034000000000006</v>
      </c>
      <c r="P37">
        <v>-168.893</v>
      </c>
      <c r="Q37">
        <v>5.77</v>
      </c>
      <c r="R37">
        <v>32.06</v>
      </c>
      <c r="S37">
        <v>289.29000000000002</v>
      </c>
      <c r="V37" t="s">
        <v>5288</v>
      </c>
      <c r="W37">
        <v>0.76300000000000001</v>
      </c>
      <c r="X37">
        <v>3</v>
      </c>
      <c r="Y37">
        <v>1.048</v>
      </c>
      <c r="AA37">
        <v>0.79</v>
      </c>
      <c r="AB37">
        <v>5.69</v>
      </c>
      <c r="AE37">
        <v>1.91</v>
      </c>
      <c r="AF37">
        <v>0.66</v>
      </c>
      <c r="AI37">
        <v>3</v>
      </c>
      <c r="AL37">
        <v>95.361900000000006</v>
      </c>
    </row>
    <row r="38" spans="4:46">
      <c r="D38" t="s">
        <v>4411</v>
      </c>
      <c r="E38" t="s">
        <v>4308</v>
      </c>
      <c r="F38" t="s">
        <v>4408</v>
      </c>
      <c r="H38" t="s">
        <v>4409</v>
      </c>
      <c r="I38" t="s">
        <v>4808</v>
      </c>
      <c r="J38" t="s">
        <v>4412</v>
      </c>
      <c r="K38">
        <v>42</v>
      </c>
      <c r="M38">
        <v>42</v>
      </c>
      <c r="O38">
        <v>69.034000000000006</v>
      </c>
      <c r="P38">
        <v>-168.893</v>
      </c>
      <c r="Q38">
        <v>4.7300000000000004</v>
      </c>
      <c r="R38">
        <v>32.14</v>
      </c>
      <c r="S38">
        <v>255.535</v>
      </c>
      <c r="V38" t="s">
        <v>5288</v>
      </c>
      <c r="W38">
        <v>0.46200000000000002</v>
      </c>
      <c r="X38">
        <v>1</v>
      </c>
      <c r="Y38">
        <v>0.70399999999999996</v>
      </c>
      <c r="AA38">
        <v>0.96</v>
      </c>
      <c r="AB38">
        <v>9.25</v>
      </c>
      <c r="AE38">
        <v>2.4300000000000002</v>
      </c>
      <c r="AF38">
        <v>1.46</v>
      </c>
      <c r="AI38">
        <v>1</v>
      </c>
      <c r="AL38">
        <v>68.442599999999999</v>
      </c>
      <c r="AQ38">
        <v>-1.0108226140000001</v>
      </c>
    </row>
    <row r="39" spans="4:46">
      <c r="D39" t="s">
        <v>4413</v>
      </c>
      <c r="E39" t="s">
        <v>4308</v>
      </c>
      <c r="F39" t="s">
        <v>4408</v>
      </c>
      <c r="H39" t="s">
        <v>4409</v>
      </c>
      <c r="I39" t="s">
        <v>4808</v>
      </c>
      <c r="J39" t="s">
        <v>4414</v>
      </c>
      <c r="K39">
        <v>5</v>
      </c>
      <c r="M39">
        <v>5</v>
      </c>
      <c r="O39">
        <v>69.034000000000006</v>
      </c>
      <c r="P39">
        <v>-168.893</v>
      </c>
      <c r="Q39">
        <v>7.9</v>
      </c>
      <c r="R39">
        <v>31.77</v>
      </c>
      <c r="S39">
        <v>291.05500000000001</v>
      </c>
      <c r="V39" t="s">
        <v>5288</v>
      </c>
      <c r="W39">
        <v>0.70099999999999996</v>
      </c>
      <c r="X39">
        <v>6</v>
      </c>
      <c r="Y39">
        <v>0.60799999999999998</v>
      </c>
      <c r="AA39">
        <v>0.46</v>
      </c>
      <c r="AB39">
        <v>6.41</v>
      </c>
      <c r="AE39">
        <v>0.28000000000000003</v>
      </c>
      <c r="AF39">
        <v>0.06</v>
      </c>
      <c r="AI39">
        <v>6</v>
      </c>
      <c r="AL39">
        <v>93.506600000000006</v>
      </c>
      <c r="AQ39">
        <v>-1.030506205</v>
      </c>
    </row>
    <row r="40" spans="4:46">
      <c r="D40" t="s">
        <v>4415</v>
      </c>
      <c r="E40" t="s">
        <v>4308</v>
      </c>
      <c r="F40" t="s">
        <v>4416</v>
      </c>
      <c r="H40" t="s">
        <v>4417</v>
      </c>
      <c r="I40" t="s">
        <v>5012</v>
      </c>
      <c r="J40" t="s">
        <v>4418</v>
      </c>
      <c r="K40">
        <v>30</v>
      </c>
      <c r="M40">
        <v>30</v>
      </c>
      <c r="O40">
        <v>70.087000000000003</v>
      </c>
      <c r="P40">
        <v>-163.96</v>
      </c>
      <c r="Q40">
        <v>5.88</v>
      </c>
      <c r="R40">
        <v>31.03</v>
      </c>
      <c r="S40">
        <v>234.62100000000001</v>
      </c>
      <c r="V40" t="s">
        <v>5288</v>
      </c>
      <c r="W40">
        <v>1.008</v>
      </c>
      <c r="X40">
        <v>1</v>
      </c>
      <c r="Y40">
        <v>1.0880000000000001</v>
      </c>
      <c r="AA40">
        <v>0.9</v>
      </c>
      <c r="AB40">
        <v>23.13</v>
      </c>
      <c r="AE40">
        <v>1.86</v>
      </c>
      <c r="AF40">
        <v>0.86</v>
      </c>
      <c r="AI40">
        <v>1</v>
      </c>
      <c r="AL40">
        <v>67.1036</v>
      </c>
      <c r="AQ40">
        <v>-2.989291572</v>
      </c>
    </row>
    <row r="41" spans="4:46">
      <c r="D41" t="s">
        <v>4419</v>
      </c>
      <c r="E41" t="s">
        <v>4308</v>
      </c>
      <c r="F41" t="s">
        <v>4420</v>
      </c>
      <c r="H41" t="s">
        <v>4421</v>
      </c>
      <c r="I41" t="s">
        <v>5024</v>
      </c>
      <c r="J41" t="s">
        <v>4422</v>
      </c>
      <c r="K41">
        <v>28</v>
      </c>
      <c r="M41">
        <v>28</v>
      </c>
      <c r="O41">
        <v>70.266999999999996</v>
      </c>
      <c r="P41">
        <v>-163.40799999999999</v>
      </c>
      <c r="Q41">
        <v>7.32</v>
      </c>
      <c r="R41">
        <v>30.91</v>
      </c>
      <c r="S41">
        <v>228.833</v>
      </c>
      <c r="V41" t="s">
        <v>5288</v>
      </c>
      <c r="W41">
        <v>0.88900000000000001</v>
      </c>
      <c r="X41">
        <v>1</v>
      </c>
      <c r="Y41">
        <v>0.96399999999999997</v>
      </c>
      <c r="AA41">
        <v>0.77</v>
      </c>
      <c r="AB41">
        <v>17.440000000000001</v>
      </c>
      <c r="AE41">
        <v>1.83</v>
      </c>
      <c r="AF41">
        <v>2.91</v>
      </c>
      <c r="AI41">
        <v>1</v>
      </c>
      <c r="AL41">
        <v>81.090900000000005</v>
      </c>
      <c r="AQ41">
        <v>-2.2480831920000002</v>
      </c>
    </row>
    <row r="42" spans="4:46">
      <c r="D42" t="s">
        <v>4423</v>
      </c>
      <c r="E42" t="s">
        <v>4308</v>
      </c>
      <c r="F42" t="s">
        <v>4420</v>
      </c>
      <c r="H42" t="s">
        <v>4421</v>
      </c>
      <c r="I42" t="s">
        <v>5024</v>
      </c>
      <c r="J42" t="s">
        <v>4424</v>
      </c>
      <c r="K42">
        <v>6</v>
      </c>
      <c r="M42">
        <v>6</v>
      </c>
      <c r="O42">
        <v>70.266999999999996</v>
      </c>
      <c r="P42">
        <v>-163.40799999999999</v>
      </c>
      <c r="Q42">
        <v>9.1999999999999993</v>
      </c>
      <c r="R42">
        <v>30.73</v>
      </c>
      <c r="S42">
        <v>275.27999999999997</v>
      </c>
      <c r="V42" t="s">
        <v>5288</v>
      </c>
      <c r="W42">
        <v>0.94499999999999995</v>
      </c>
      <c r="X42">
        <v>4</v>
      </c>
      <c r="Y42">
        <v>0.90400000000000003</v>
      </c>
      <c r="AA42">
        <v>0.48</v>
      </c>
      <c r="AB42">
        <v>7.83</v>
      </c>
      <c r="AE42">
        <v>0.46</v>
      </c>
      <c r="AF42">
        <v>0.22</v>
      </c>
      <c r="AI42">
        <v>4</v>
      </c>
      <c r="AL42">
        <v>90.638800000000003</v>
      </c>
      <c r="AQ42">
        <v>-2.1560766519999999</v>
      </c>
    </row>
    <row r="43" spans="4:46">
      <c r="D43" t="s">
        <v>4425</v>
      </c>
      <c r="E43" t="s">
        <v>4308</v>
      </c>
      <c r="F43" t="s">
        <v>4426</v>
      </c>
      <c r="H43" t="s">
        <v>4427</v>
      </c>
      <c r="I43" t="s">
        <v>5027</v>
      </c>
      <c r="J43" t="s">
        <v>4428</v>
      </c>
      <c r="K43">
        <v>32</v>
      </c>
      <c r="M43">
        <v>29</v>
      </c>
      <c r="O43">
        <v>70.388999999999996</v>
      </c>
      <c r="P43">
        <v>-163.02199999999999</v>
      </c>
      <c r="Q43">
        <v>7.82</v>
      </c>
      <c r="R43">
        <v>30.92</v>
      </c>
      <c r="S43">
        <v>246.482</v>
      </c>
      <c r="V43" t="s">
        <v>5288</v>
      </c>
      <c r="W43">
        <v>0.78800000000000003</v>
      </c>
      <c r="X43">
        <v>1</v>
      </c>
      <c r="Y43">
        <v>0.82</v>
      </c>
      <c r="AA43">
        <v>0.71</v>
      </c>
      <c r="AB43">
        <v>13.52</v>
      </c>
      <c r="AE43">
        <v>1.63</v>
      </c>
      <c r="AF43">
        <v>1.49</v>
      </c>
      <c r="AI43">
        <v>1</v>
      </c>
      <c r="AL43">
        <v>85.386899999999997</v>
      </c>
      <c r="AQ43">
        <v>-1.936935045</v>
      </c>
    </row>
    <row r="44" spans="4:46">
      <c r="D44" t="s">
        <v>4429</v>
      </c>
      <c r="E44" t="s">
        <v>4308</v>
      </c>
      <c r="F44" t="s">
        <v>4426</v>
      </c>
      <c r="H44" t="s">
        <v>4427</v>
      </c>
      <c r="I44" t="s">
        <v>5027</v>
      </c>
      <c r="J44" t="s">
        <v>4430</v>
      </c>
      <c r="K44">
        <v>5</v>
      </c>
      <c r="L44" t="s">
        <v>5288</v>
      </c>
      <c r="M44">
        <v>5</v>
      </c>
      <c r="O44">
        <v>70.388999999999996</v>
      </c>
      <c r="P44">
        <v>-163.02199999999999</v>
      </c>
      <c r="Q44">
        <v>9.07</v>
      </c>
      <c r="R44">
        <v>30.77</v>
      </c>
      <c r="S44">
        <v>273.65499999999997</v>
      </c>
      <c r="V44" t="s">
        <v>5288</v>
      </c>
      <c r="W44">
        <v>0.98</v>
      </c>
      <c r="X44">
        <v>4</v>
      </c>
      <c r="Y44">
        <v>0.84399999999999997</v>
      </c>
      <c r="AA44">
        <v>0.52</v>
      </c>
      <c r="AB44">
        <v>8.19</v>
      </c>
      <c r="AE44">
        <v>0.15</v>
      </c>
      <c r="AF44">
        <v>0.27</v>
      </c>
      <c r="AI44">
        <v>4</v>
      </c>
      <c r="AL44">
        <v>91.400300000000001</v>
      </c>
      <c r="AQ44">
        <v>-1.9135302460000001</v>
      </c>
      <c r="AT44" t="s">
        <v>5288</v>
      </c>
    </row>
    <row r="45" spans="4:46">
      <c r="D45" t="s">
        <v>4431</v>
      </c>
      <c r="E45" t="s">
        <v>4308</v>
      </c>
      <c r="F45" t="s">
        <v>4432</v>
      </c>
      <c r="H45" t="s">
        <v>4433</v>
      </c>
      <c r="I45" t="s">
        <v>5030</v>
      </c>
      <c r="J45" t="s">
        <v>4434</v>
      </c>
      <c r="K45">
        <v>32</v>
      </c>
      <c r="M45">
        <v>32</v>
      </c>
      <c r="O45">
        <v>70.626999999999995</v>
      </c>
      <c r="P45">
        <v>-162.249</v>
      </c>
      <c r="Q45">
        <v>5.47</v>
      </c>
      <c r="R45">
        <v>31.28</v>
      </c>
      <c r="S45">
        <v>244.833</v>
      </c>
      <c r="V45" t="s">
        <v>5288</v>
      </c>
      <c r="W45">
        <v>0.76</v>
      </c>
      <c r="X45">
        <v>1</v>
      </c>
      <c r="Y45">
        <v>0.876</v>
      </c>
      <c r="AA45">
        <v>1</v>
      </c>
      <c r="AB45">
        <v>18.510000000000002</v>
      </c>
      <c r="AE45">
        <v>2.72</v>
      </c>
      <c r="AF45">
        <v>1.71</v>
      </c>
      <c r="AI45">
        <v>1</v>
      </c>
      <c r="AL45">
        <v>78.290800000000004</v>
      </c>
      <c r="AQ45">
        <v>-1.512133266</v>
      </c>
    </row>
    <row r="46" spans="4:46">
      <c r="D46" t="s">
        <v>4435</v>
      </c>
      <c r="E46" t="s">
        <v>4308</v>
      </c>
      <c r="F46" t="s">
        <v>4432</v>
      </c>
      <c r="H46" t="s">
        <v>4433</v>
      </c>
      <c r="I46" t="s">
        <v>5030</v>
      </c>
      <c r="J46" t="s">
        <v>4436</v>
      </c>
      <c r="K46">
        <v>5</v>
      </c>
      <c r="M46">
        <v>4</v>
      </c>
      <c r="O46">
        <v>70.626999999999995</v>
      </c>
      <c r="P46">
        <v>-162.249</v>
      </c>
      <c r="Q46">
        <v>8.61</v>
      </c>
      <c r="R46">
        <v>31.02</v>
      </c>
      <c r="S46">
        <v>275.12200000000001</v>
      </c>
      <c r="V46" t="s">
        <v>5288</v>
      </c>
      <c r="W46">
        <v>0.88400000000000001</v>
      </c>
      <c r="X46">
        <v>4</v>
      </c>
      <c r="Y46">
        <v>0.66800000000000004</v>
      </c>
      <c r="AA46">
        <v>0.47</v>
      </c>
      <c r="AB46">
        <v>7.83</v>
      </c>
      <c r="AE46">
        <v>0.26</v>
      </c>
      <c r="AF46">
        <v>0.27</v>
      </c>
      <c r="AI46">
        <v>4</v>
      </c>
      <c r="AL46">
        <v>90.480400000000003</v>
      </c>
      <c r="AQ46">
        <v>-1.696410854</v>
      </c>
    </row>
    <row r="47" spans="4:46">
      <c r="D47" t="s">
        <v>4437</v>
      </c>
      <c r="E47" t="s">
        <v>4308</v>
      </c>
      <c r="F47" t="s">
        <v>4438</v>
      </c>
      <c r="H47" t="s">
        <v>4439</v>
      </c>
      <c r="I47" t="s">
        <v>5033</v>
      </c>
      <c r="J47" t="s">
        <v>4440</v>
      </c>
      <c r="K47">
        <v>23</v>
      </c>
      <c r="M47">
        <v>23</v>
      </c>
      <c r="O47">
        <v>70.725999999999999</v>
      </c>
      <c r="P47">
        <v>-161.94</v>
      </c>
      <c r="Q47">
        <v>5.17</v>
      </c>
      <c r="R47">
        <v>31.44</v>
      </c>
      <c r="S47">
        <v>253.929</v>
      </c>
      <c r="V47" t="s">
        <v>5288</v>
      </c>
      <c r="W47">
        <v>0.6</v>
      </c>
      <c r="X47">
        <v>3</v>
      </c>
      <c r="Y47">
        <v>0.68</v>
      </c>
      <c r="AA47">
        <v>1.08</v>
      </c>
      <c r="AB47">
        <v>17.440000000000001</v>
      </c>
      <c r="AE47">
        <v>2.92</v>
      </c>
      <c r="AF47">
        <v>2.63</v>
      </c>
      <c r="AI47">
        <v>3</v>
      </c>
      <c r="AL47">
        <v>71.541799999999995</v>
      </c>
    </row>
    <row r="48" spans="4:46">
      <c r="D48" t="s">
        <v>4441</v>
      </c>
      <c r="E48" t="s">
        <v>4308</v>
      </c>
      <c r="F48" t="s">
        <v>4438</v>
      </c>
      <c r="H48" t="s">
        <v>4439</v>
      </c>
      <c r="I48" t="s">
        <v>5033</v>
      </c>
      <c r="J48" t="s">
        <v>4442</v>
      </c>
      <c r="K48">
        <v>34</v>
      </c>
      <c r="M48">
        <v>35</v>
      </c>
      <c r="O48">
        <v>70.725999999999999</v>
      </c>
      <c r="P48">
        <v>-161.94</v>
      </c>
      <c r="Q48">
        <v>5.24</v>
      </c>
      <c r="R48">
        <v>31.45</v>
      </c>
      <c r="S48">
        <v>255.34800000000001</v>
      </c>
      <c r="V48" t="s">
        <v>5288</v>
      </c>
      <c r="W48">
        <v>0.57099999999999995</v>
      </c>
      <c r="X48">
        <v>1</v>
      </c>
      <c r="Y48">
        <v>0.70799999999999996</v>
      </c>
      <c r="AA48">
        <v>1.04</v>
      </c>
      <c r="AB48">
        <v>16.73</v>
      </c>
      <c r="AE48">
        <v>2.67</v>
      </c>
      <c r="AF48">
        <v>2.81</v>
      </c>
      <c r="AI48">
        <v>1</v>
      </c>
      <c r="AL48">
        <v>70.233900000000006</v>
      </c>
      <c r="AQ48">
        <v>-1.4264152189999999</v>
      </c>
    </row>
    <row r="49" spans="4:43">
      <c r="D49" t="s">
        <v>4443</v>
      </c>
      <c r="E49" t="s">
        <v>4308</v>
      </c>
      <c r="F49" t="s">
        <v>4438</v>
      </c>
      <c r="H49" t="s">
        <v>4439</v>
      </c>
      <c r="I49" t="s">
        <v>5033</v>
      </c>
      <c r="J49" t="s">
        <v>4444</v>
      </c>
      <c r="K49">
        <v>5</v>
      </c>
      <c r="M49">
        <v>5</v>
      </c>
      <c r="O49">
        <v>70.725999999999999</v>
      </c>
      <c r="P49">
        <v>-161.94</v>
      </c>
      <c r="Q49">
        <v>8.6199999999999992</v>
      </c>
      <c r="R49">
        <v>31.02</v>
      </c>
      <c r="S49">
        <v>278.63299999999998</v>
      </c>
      <c r="V49" t="s">
        <v>5288</v>
      </c>
      <c r="W49">
        <v>0.85</v>
      </c>
      <c r="X49">
        <v>5</v>
      </c>
      <c r="Y49">
        <v>0.88400000000000001</v>
      </c>
      <c r="AA49">
        <v>0.48</v>
      </c>
      <c r="AB49">
        <v>7.12</v>
      </c>
      <c r="AE49">
        <v>0.36</v>
      </c>
      <c r="AF49">
        <v>0.76</v>
      </c>
      <c r="AI49">
        <v>5</v>
      </c>
      <c r="AL49">
        <v>91.285600000000002</v>
      </c>
      <c r="AQ49">
        <v>-1.5045478249999999</v>
      </c>
    </row>
    <row r="50" spans="4:43">
      <c r="D50" t="s">
        <v>4445</v>
      </c>
      <c r="E50" t="s">
        <v>4308</v>
      </c>
      <c r="F50" t="s">
        <v>4446</v>
      </c>
      <c r="H50" t="s">
        <v>4447</v>
      </c>
      <c r="I50" t="s">
        <v>5037</v>
      </c>
      <c r="J50" t="s">
        <v>4448</v>
      </c>
      <c r="K50">
        <v>3</v>
      </c>
      <c r="M50">
        <v>3</v>
      </c>
      <c r="O50">
        <v>70.843999999999994</v>
      </c>
      <c r="P50">
        <v>-161.53800000000001</v>
      </c>
      <c r="Q50">
        <v>8.73</v>
      </c>
      <c r="R50">
        <v>30.74</v>
      </c>
      <c r="S50">
        <v>279.13499999999999</v>
      </c>
      <c r="V50" t="s">
        <v>5288</v>
      </c>
      <c r="W50">
        <v>0.81200000000000006</v>
      </c>
      <c r="X50">
        <v>5</v>
      </c>
      <c r="Y50">
        <v>0.78800000000000003</v>
      </c>
      <c r="AA50">
        <v>0.42</v>
      </c>
      <c r="AB50">
        <v>6.41</v>
      </c>
      <c r="AE50">
        <v>0.23</v>
      </c>
      <c r="AF50">
        <v>0.18</v>
      </c>
      <c r="AI50">
        <v>5</v>
      </c>
      <c r="AL50">
        <v>91.362799999999993</v>
      </c>
      <c r="AQ50">
        <v>-1.7781953930000001</v>
      </c>
    </row>
    <row r="51" spans="4:43">
      <c r="D51" t="s">
        <v>4449</v>
      </c>
      <c r="E51" t="s">
        <v>4308</v>
      </c>
      <c r="F51" t="s">
        <v>4446</v>
      </c>
      <c r="H51" t="s">
        <v>4447</v>
      </c>
      <c r="I51" t="s">
        <v>5037</v>
      </c>
      <c r="J51" t="s">
        <v>4450</v>
      </c>
      <c r="K51">
        <v>22</v>
      </c>
      <c r="M51">
        <v>22</v>
      </c>
      <c r="O51">
        <v>70.843999999999994</v>
      </c>
      <c r="P51">
        <v>-161.53800000000001</v>
      </c>
      <c r="Q51">
        <v>5.01</v>
      </c>
      <c r="R51">
        <v>31.62</v>
      </c>
      <c r="S51">
        <v>271.303</v>
      </c>
      <c r="V51" t="s">
        <v>5288</v>
      </c>
      <c r="W51">
        <v>0.78500000000000003</v>
      </c>
      <c r="X51">
        <v>3</v>
      </c>
      <c r="Y51">
        <v>1.3759999999999999</v>
      </c>
      <c r="AA51">
        <v>0.56000000000000005</v>
      </c>
      <c r="AB51">
        <v>7.83</v>
      </c>
      <c r="AE51">
        <v>1.36</v>
      </c>
      <c r="AF51">
        <v>0.33</v>
      </c>
      <c r="AI51">
        <v>3</v>
      </c>
      <c r="AL51">
        <v>74.850700000000003</v>
      </c>
    </row>
    <row r="52" spans="4:43">
      <c r="D52" t="s">
        <v>4451</v>
      </c>
      <c r="E52" t="s">
        <v>4308</v>
      </c>
      <c r="F52" t="s">
        <v>4446</v>
      </c>
      <c r="H52" t="s">
        <v>4447</v>
      </c>
      <c r="I52" t="s">
        <v>5037</v>
      </c>
      <c r="J52" t="s">
        <v>4452</v>
      </c>
      <c r="K52">
        <v>40</v>
      </c>
      <c r="M52">
        <v>40</v>
      </c>
      <c r="O52">
        <v>70.843999999999994</v>
      </c>
      <c r="P52">
        <v>-161.53800000000001</v>
      </c>
      <c r="Q52">
        <v>4.93</v>
      </c>
      <c r="R52">
        <v>31.67</v>
      </c>
      <c r="S52">
        <v>273.32900000000001</v>
      </c>
      <c r="V52" t="s">
        <v>5288</v>
      </c>
      <c r="W52">
        <v>0.80900000000000005</v>
      </c>
      <c r="X52">
        <v>1</v>
      </c>
      <c r="Y52">
        <v>0.76800000000000002</v>
      </c>
      <c r="AA52">
        <v>0.95</v>
      </c>
      <c r="AB52">
        <v>13.52</v>
      </c>
      <c r="AE52">
        <v>1.58</v>
      </c>
      <c r="AF52">
        <v>1.5</v>
      </c>
      <c r="AI52">
        <v>1</v>
      </c>
      <c r="AL52">
        <v>73.044600000000003</v>
      </c>
      <c r="AQ52">
        <v>-1.7386555340000001</v>
      </c>
    </row>
    <row r="53" spans="4:43">
      <c r="D53" t="s">
        <v>4453</v>
      </c>
      <c r="E53" t="s">
        <v>4308</v>
      </c>
      <c r="F53" t="s">
        <v>4454</v>
      </c>
      <c r="H53" t="s">
        <v>4455</v>
      </c>
      <c r="I53" t="s">
        <v>5041</v>
      </c>
      <c r="J53" t="s">
        <v>4456</v>
      </c>
      <c r="K53">
        <v>21</v>
      </c>
      <c r="M53">
        <v>21</v>
      </c>
      <c r="O53">
        <v>70.959999999999994</v>
      </c>
      <c r="P53">
        <v>-161.13800000000001</v>
      </c>
      <c r="Q53">
        <v>4.6399999999999997</v>
      </c>
      <c r="R53">
        <v>31.28</v>
      </c>
      <c r="S53">
        <v>326.30700000000002</v>
      </c>
      <c r="V53" t="s">
        <v>5288</v>
      </c>
      <c r="W53">
        <v>1.694</v>
      </c>
      <c r="X53">
        <v>3</v>
      </c>
      <c r="Y53">
        <v>1.6879999999999999</v>
      </c>
      <c r="AA53">
        <v>0.51</v>
      </c>
      <c r="AB53">
        <v>6.41</v>
      </c>
      <c r="AE53">
        <v>1.79</v>
      </c>
      <c r="AF53">
        <v>0.12</v>
      </c>
      <c r="AI53">
        <v>3</v>
      </c>
      <c r="AL53">
        <v>91.212199999999996</v>
      </c>
    </row>
    <row r="54" spans="4:43">
      <c r="D54" t="s">
        <v>4457</v>
      </c>
      <c r="E54" t="s">
        <v>4308</v>
      </c>
      <c r="F54" t="s">
        <v>4454</v>
      </c>
      <c r="H54" t="s">
        <v>4455</v>
      </c>
      <c r="I54" t="s">
        <v>5041</v>
      </c>
      <c r="J54" t="s">
        <v>4458</v>
      </c>
      <c r="K54">
        <v>36</v>
      </c>
      <c r="M54">
        <v>36</v>
      </c>
      <c r="O54">
        <v>70.959999999999994</v>
      </c>
      <c r="P54">
        <v>-161.13800000000001</v>
      </c>
      <c r="Q54">
        <v>2.72</v>
      </c>
      <c r="R54">
        <v>31.57</v>
      </c>
      <c r="S54">
        <v>300.65199999999999</v>
      </c>
      <c r="V54" t="s">
        <v>5288</v>
      </c>
      <c r="W54">
        <v>0.84399999999999997</v>
      </c>
      <c r="X54">
        <v>1</v>
      </c>
      <c r="Y54">
        <v>0.92800000000000005</v>
      </c>
      <c r="AA54">
        <v>0.95</v>
      </c>
      <c r="AB54">
        <v>14.23</v>
      </c>
      <c r="AE54">
        <v>3.23</v>
      </c>
      <c r="AF54">
        <v>1.27</v>
      </c>
      <c r="AI54">
        <v>1</v>
      </c>
      <c r="AL54">
        <v>72.447000000000003</v>
      </c>
      <c r="AQ54">
        <v>-1.28003924</v>
      </c>
    </row>
    <row r="55" spans="4:43">
      <c r="D55" t="s">
        <v>4459</v>
      </c>
      <c r="E55" t="s">
        <v>4308</v>
      </c>
      <c r="F55" t="s">
        <v>4454</v>
      </c>
      <c r="H55" t="s">
        <v>4455</v>
      </c>
      <c r="I55" t="s">
        <v>5041</v>
      </c>
      <c r="J55" t="s">
        <v>4460</v>
      </c>
      <c r="K55">
        <v>4</v>
      </c>
      <c r="M55">
        <v>5</v>
      </c>
      <c r="O55">
        <v>70.959999999999994</v>
      </c>
      <c r="P55">
        <v>-161.13800000000001</v>
      </c>
      <c r="Q55">
        <v>8.66</v>
      </c>
      <c r="R55">
        <v>30.41</v>
      </c>
      <c r="S55">
        <v>280.12700000000001</v>
      </c>
      <c r="V55" t="s">
        <v>5288</v>
      </c>
      <c r="W55">
        <v>0.74199999999999999</v>
      </c>
      <c r="X55">
        <v>5</v>
      </c>
      <c r="Y55">
        <v>0.77200000000000002</v>
      </c>
      <c r="AA55">
        <v>0.45</v>
      </c>
      <c r="AB55">
        <v>6.23</v>
      </c>
      <c r="AE55">
        <v>0.24</v>
      </c>
      <c r="AF55">
        <v>0.11</v>
      </c>
      <c r="AI55">
        <v>5</v>
      </c>
      <c r="AL55">
        <v>91.834199999999996</v>
      </c>
      <c r="AQ55">
        <v>-1.9013542910000001</v>
      </c>
    </row>
    <row r="56" spans="4:43">
      <c r="D56" t="s">
        <v>4461</v>
      </c>
      <c r="E56" t="s">
        <v>4308</v>
      </c>
      <c r="F56" t="s">
        <v>4462</v>
      </c>
      <c r="H56" t="s">
        <v>4463</v>
      </c>
      <c r="I56" t="s">
        <v>5045</v>
      </c>
      <c r="J56" t="s">
        <v>4464</v>
      </c>
      <c r="K56">
        <v>22</v>
      </c>
      <c r="M56">
        <v>22</v>
      </c>
      <c r="O56">
        <v>71.075000000000003</v>
      </c>
      <c r="P56">
        <v>-160.73500000000001</v>
      </c>
      <c r="Q56">
        <v>1.37</v>
      </c>
      <c r="R56">
        <v>32.14</v>
      </c>
      <c r="S56">
        <v>320.13799999999998</v>
      </c>
      <c r="V56" t="s">
        <v>5288</v>
      </c>
      <c r="W56">
        <v>0.93400000000000005</v>
      </c>
      <c r="X56">
        <v>4</v>
      </c>
      <c r="Y56">
        <v>1.292</v>
      </c>
      <c r="AA56">
        <v>0.65</v>
      </c>
      <c r="AB56">
        <v>8.5399999999999991</v>
      </c>
      <c r="AE56">
        <v>0.72</v>
      </c>
      <c r="AF56">
        <v>0.39</v>
      </c>
      <c r="AI56">
        <v>4</v>
      </c>
      <c r="AL56">
        <v>86.6678</v>
      </c>
    </row>
    <row r="57" spans="4:43">
      <c r="D57" t="s">
        <v>4465</v>
      </c>
      <c r="E57" t="s">
        <v>4308</v>
      </c>
      <c r="F57" t="s">
        <v>4462</v>
      </c>
      <c r="H57" t="s">
        <v>4463</v>
      </c>
      <c r="I57" t="s">
        <v>5045</v>
      </c>
      <c r="J57" t="s">
        <v>4466</v>
      </c>
      <c r="K57">
        <v>47</v>
      </c>
      <c r="M57">
        <v>47</v>
      </c>
      <c r="O57">
        <v>71.075000000000003</v>
      </c>
      <c r="P57">
        <v>-160.73500000000001</v>
      </c>
      <c r="Q57">
        <v>1.26</v>
      </c>
      <c r="R57">
        <v>32.15</v>
      </c>
      <c r="S57">
        <v>313.608</v>
      </c>
      <c r="V57" t="s">
        <v>5288</v>
      </c>
      <c r="W57">
        <v>0.54400000000000004</v>
      </c>
      <c r="X57">
        <v>1</v>
      </c>
      <c r="Y57">
        <v>0.70399999999999996</v>
      </c>
      <c r="AA57">
        <v>0.98</v>
      </c>
      <c r="AB57">
        <v>11.03</v>
      </c>
      <c r="AE57">
        <v>1.83</v>
      </c>
      <c r="AF57">
        <v>1.44</v>
      </c>
      <c r="AI57">
        <v>1</v>
      </c>
      <c r="AL57">
        <v>82.498599999999996</v>
      </c>
      <c r="AQ57">
        <v>-0.85916243599999997</v>
      </c>
    </row>
    <row r="58" spans="4:43">
      <c r="D58" t="s">
        <v>4467</v>
      </c>
      <c r="E58" t="s">
        <v>4308</v>
      </c>
      <c r="F58" t="s">
        <v>4462</v>
      </c>
      <c r="H58" t="s">
        <v>4463</v>
      </c>
      <c r="I58" t="s">
        <v>5045</v>
      </c>
      <c r="J58" t="s">
        <v>4468</v>
      </c>
      <c r="K58">
        <v>7</v>
      </c>
      <c r="M58">
        <v>6</v>
      </c>
      <c r="O58">
        <v>71.075000000000003</v>
      </c>
      <c r="P58">
        <v>-160.73500000000001</v>
      </c>
      <c r="Q58">
        <v>8.07</v>
      </c>
      <c r="R58">
        <v>30.5</v>
      </c>
      <c r="S58">
        <v>283.59300000000002</v>
      </c>
      <c r="V58" t="s">
        <v>5288</v>
      </c>
      <c r="W58">
        <v>0.48499999999999999</v>
      </c>
      <c r="X58">
        <v>6</v>
      </c>
      <c r="Y58">
        <v>0.52800000000000002</v>
      </c>
      <c r="AA58">
        <v>0.46</v>
      </c>
      <c r="AB58">
        <v>5.69</v>
      </c>
      <c r="AE58">
        <v>0.3</v>
      </c>
      <c r="AF58">
        <v>0.21</v>
      </c>
      <c r="AI58">
        <v>6</v>
      </c>
      <c r="AL58">
        <v>93.090199999999996</v>
      </c>
      <c r="AQ58">
        <v>-1.8651250619999999</v>
      </c>
    </row>
    <row r="59" spans="4:43">
      <c r="D59" t="s">
        <v>4469</v>
      </c>
      <c r="E59" t="s">
        <v>4308</v>
      </c>
      <c r="F59" t="s">
        <v>4470</v>
      </c>
      <c r="H59" t="s">
        <v>4471</v>
      </c>
      <c r="I59" t="s">
        <v>4933</v>
      </c>
      <c r="J59" t="s">
        <v>4472</v>
      </c>
      <c r="K59">
        <v>23</v>
      </c>
      <c r="M59">
        <v>23</v>
      </c>
      <c r="O59">
        <v>70.891999999999996</v>
      </c>
      <c r="P59">
        <v>-159.393</v>
      </c>
      <c r="Q59">
        <v>3.93</v>
      </c>
      <c r="R59">
        <v>31.41</v>
      </c>
      <c r="S59">
        <v>288.67700000000002</v>
      </c>
      <c r="V59" t="s">
        <v>5288</v>
      </c>
      <c r="W59">
        <v>0.495</v>
      </c>
      <c r="X59">
        <v>1</v>
      </c>
      <c r="Y59">
        <v>0.748</v>
      </c>
      <c r="AA59">
        <v>0.91</v>
      </c>
      <c r="AB59">
        <v>13.52</v>
      </c>
      <c r="AE59">
        <v>1.85</v>
      </c>
      <c r="AF59">
        <v>0.84</v>
      </c>
      <c r="AI59">
        <v>1</v>
      </c>
      <c r="AL59">
        <v>80.232699999999994</v>
      </c>
      <c r="AQ59">
        <v>-1.571298002</v>
      </c>
    </row>
    <row r="60" spans="4:43">
      <c r="D60" t="s">
        <v>4473</v>
      </c>
      <c r="E60" t="s">
        <v>4308</v>
      </c>
      <c r="F60" t="s">
        <v>4470</v>
      </c>
      <c r="H60" t="s">
        <v>4471</v>
      </c>
      <c r="I60" t="s">
        <v>4933</v>
      </c>
      <c r="J60" t="s">
        <v>4474</v>
      </c>
      <c r="K60">
        <v>4</v>
      </c>
      <c r="M60">
        <v>4</v>
      </c>
      <c r="O60">
        <v>70.891999999999996</v>
      </c>
      <c r="P60">
        <v>-159.393</v>
      </c>
      <c r="Q60">
        <v>7.59</v>
      </c>
      <c r="R60">
        <v>30.89</v>
      </c>
      <c r="S60">
        <v>280.27</v>
      </c>
      <c r="V60" t="s">
        <v>5288</v>
      </c>
      <c r="W60">
        <v>0.93</v>
      </c>
      <c r="X60">
        <v>4</v>
      </c>
      <c r="Y60">
        <v>1.464</v>
      </c>
      <c r="AA60">
        <v>0.55000000000000004</v>
      </c>
      <c r="AB60">
        <v>8.19</v>
      </c>
      <c r="AE60">
        <v>0.28999999999999998</v>
      </c>
      <c r="AF60">
        <v>0.21</v>
      </c>
      <c r="AI60">
        <v>4</v>
      </c>
      <c r="AL60">
        <v>70.398799999999994</v>
      </c>
    </row>
    <row r="61" spans="4:43">
      <c r="D61" t="s">
        <v>4475</v>
      </c>
      <c r="E61" t="s">
        <v>4308</v>
      </c>
      <c r="F61" t="s">
        <v>4476</v>
      </c>
      <c r="H61" t="s">
        <v>4477</v>
      </c>
      <c r="I61" t="s">
        <v>4957</v>
      </c>
      <c r="J61" t="s">
        <v>4478</v>
      </c>
      <c r="K61">
        <v>30</v>
      </c>
      <c r="M61">
        <v>30</v>
      </c>
      <c r="O61">
        <v>70.932000000000002</v>
      </c>
      <c r="P61">
        <v>-159.50399999999999</v>
      </c>
      <c r="Q61">
        <v>4.0199999999999996</v>
      </c>
      <c r="R61">
        <v>31.38</v>
      </c>
      <c r="S61">
        <v>281.03699999999998</v>
      </c>
      <c r="V61" t="s">
        <v>5288</v>
      </c>
      <c r="W61">
        <v>0.48599999999999999</v>
      </c>
      <c r="X61">
        <v>2</v>
      </c>
      <c r="Y61">
        <v>0.61199999999999999</v>
      </c>
      <c r="AA61">
        <v>0.95</v>
      </c>
      <c r="AB61">
        <v>14.95</v>
      </c>
      <c r="AE61">
        <v>1.9</v>
      </c>
      <c r="AF61">
        <v>0.86</v>
      </c>
      <c r="AI61">
        <v>2</v>
      </c>
      <c r="AL61">
        <v>85.7029</v>
      </c>
    </row>
    <row r="62" spans="4:43">
      <c r="D62" t="s">
        <v>4479</v>
      </c>
      <c r="E62" t="s">
        <v>4308</v>
      </c>
      <c r="F62" t="s">
        <v>4476</v>
      </c>
      <c r="H62" t="s">
        <v>4477</v>
      </c>
      <c r="I62" t="s">
        <v>4957</v>
      </c>
      <c r="J62" t="s">
        <v>4480</v>
      </c>
      <c r="K62">
        <v>41</v>
      </c>
      <c r="M62">
        <v>41</v>
      </c>
      <c r="O62">
        <v>70.932000000000002</v>
      </c>
      <c r="P62">
        <v>-159.50399999999999</v>
      </c>
      <c r="Q62">
        <v>0.75</v>
      </c>
      <c r="R62">
        <v>32.08</v>
      </c>
      <c r="S62">
        <v>343.036</v>
      </c>
      <c r="V62" t="s">
        <v>5288</v>
      </c>
      <c r="W62">
        <v>0.34799999999999998</v>
      </c>
      <c r="X62">
        <v>1</v>
      </c>
      <c r="Y62">
        <v>0.52400000000000002</v>
      </c>
      <c r="AA62">
        <v>0.88</v>
      </c>
      <c r="AB62">
        <v>9.9600000000000009</v>
      </c>
      <c r="AE62">
        <v>1.42</v>
      </c>
      <c r="AF62">
        <v>1.38</v>
      </c>
      <c r="AI62">
        <v>1</v>
      </c>
      <c r="AL62">
        <v>87.927000000000007</v>
      </c>
      <c r="AQ62">
        <v>-1.054156914</v>
      </c>
    </row>
    <row r="63" spans="4:43">
      <c r="D63" t="s">
        <v>4481</v>
      </c>
      <c r="E63" t="s">
        <v>4308</v>
      </c>
      <c r="F63" t="s">
        <v>4476</v>
      </c>
      <c r="H63" t="s">
        <v>4477</v>
      </c>
      <c r="I63" t="s">
        <v>4957</v>
      </c>
      <c r="J63" t="s">
        <v>4482</v>
      </c>
      <c r="K63">
        <v>6</v>
      </c>
      <c r="M63">
        <v>6</v>
      </c>
      <c r="O63">
        <v>70.932000000000002</v>
      </c>
      <c r="P63">
        <v>-159.50399999999999</v>
      </c>
      <c r="Q63">
        <v>8.16</v>
      </c>
      <c r="R63">
        <v>30.58</v>
      </c>
      <c r="S63">
        <v>279.06700000000001</v>
      </c>
      <c r="V63" t="s">
        <v>5288</v>
      </c>
      <c r="W63">
        <v>1.0289999999999999</v>
      </c>
      <c r="X63">
        <v>5</v>
      </c>
      <c r="Y63">
        <v>1.3919999999999999</v>
      </c>
      <c r="AA63">
        <v>0.49</v>
      </c>
      <c r="AB63">
        <v>7.83</v>
      </c>
      <c r="AE63">
        <v>0.4</v>
      </c>
      <c r="AF63">
        <v>0.53</v>
      </c>
      <c r="AI63">
        <v>5</v>
      </c>
      <c r="AL63">
        <v>79.252499999999998</v>
      </c>
      <c r="AQ63">
        <v>-2.0192400689999999</v>
      </c>
    </row>
    <row r="64" spans="4:43">
      <c r="D64" t="s">
        <v>4483</v>
      </c>
      <c r="E64" t="s">
        <v>4308</v>
      </c>
      <c r="F64" t="s">
        <v>4484</v>
      </c>
      <c r="H64" t="s">
        <v>4485</v>
      </c>
      <c r="I64" t="s">
        <v>4961</v>
      </c>
      <c r="J64" t="s">
        <v>4486</v>
      </c>
      <c r="K64">
        <v>29</v>
      </c>
      <c r="M64">
        <v>28</v>
      </c>
      <c r="O64">
        <v>71.063000000000002</v>
      </c>
      <c r="P64">
        <v>-159.88200000000001</v>
      </c>
      <c r="Q64">
        <v>-1.57</v>
      </c>
      <c r="R64">
        <v>32.39</v>
      </c>
      <c r="S64">
        <v>257.34199999999998</v>
      </c>
      <c r="V64" t="s">
        <v>5288</v>
      </c>
      <c r="W64">
        <v>4.62</v>
      </c>
      <c r="X64">
        <v>4</v>
      </c>
      <c r="Y64">
        <v>9.32</v>
      </c>
      <c r="AA64">
        <v>1.95</v>
      </c>
      <c r="AB64">
        <v>37.72</v>
      </c>
      <c r="AE64">
        <v>3.55</v>
      </c>
      <c r="AF64">
        <v>13.79</v>
      </c>
      <c r="AI64">
        <v>4</v>
      </c>
      <c r="AL64">
        <v>77.357100000000003</v>
      </c>
    </row>
    <row r="65" spans="4:43">
      <c r="D65" t="s">
        <v>4487</v>
      </c>
      <c r="E65" t="s">
        <v>4308</v>
      </c>
      <c r="F65" t="s">
        <v>4484</v>
      </c>
      <c r="H65" t="s">
        <v>4485</v>
      </c>
      <c r="I65" t="s">
        <v>4961</v>
      </c>
      <c r="J65" t="s">
        <v>4488</v>
      </c>
      <c r="K65">
        <v>5</v>
      </c>
      <c r="M65">
        <v>5</v>
      </c>
      <c r="O65">
        <v>71.063000000000002</v>
      </c>
      <c r="P65">
        <v>-159.88200000000001</v>
      </c>
      <c r="Q65">
        <v>6.98</v>
      </c>
      <c r="R65">
        <v>30.67</v>
      </c>
      <c r="S65">
        <v>292.59500000000003</v>
      </c>
      <c r="V65" t="s">
        <v>5288</v>
      </c>
      <c r="W65">
        <v>0.46800000000000003</v>
      </c>
      <c r="X65">
        <v>7</v>
      </c>
      <c r="Y65">
        <v>0.44</v>
      </c>
      <c r="AA65">
        <v>0.41</v>
      </c>
      <c r="AB65">
        <v>4.9800000000000004</v>
      </c>
      <c r="AE65">
        <v>0.4</v>
      </c>
      <c r="AF65">
        <v>0.19</v>
      </c>
      <c r="AI65">
        <v>7</v>
      </c>
      <c r="AL65">
        <v>93.874899999999997</v>
      </c>
      <c r="AQ65">
        <v>-1.868759931</v>
      </c>
    </row>
    <row r="66" spans="4:43">
      <c r="D66" t="s">
        <v>4489</v>
      </c>
      <c r="E66" t="s">
        <v>4308</v>
      </c>
      <c r="F66" t="s">
        <v>4484</v>
      </c>
      <c r="H66" t="s">
        <v>4485</v>
      </c>
      <c r="I66" t="s">
        <v>4961</v>
      </c>
      <c r="J66" t="s">
        <v>4490</v>
      </c>
      <c r="K66">
        <v>51</v>
      </c>
      <c r="M66">
        <v>51</v>
      </c>
      <c r="O66">
        <v>71.063000000000002</v>
      </c>
      <c r="P66">
        <v>-159.88200000000001</v>
      </c>
      <c r="Q66">
        <v>-1.63</v>
      </c>
      <c r="R66">
        <v>32.47</v>
      </c>
      <c r="S66">
        <v>226.333</v>
      </c>
      <c r="V66" t="s">
        <v>5288</v>
      </c>
      <c r="W66">
        <v>0.88300000000000001</v>
      </c>
      <c r="X66">
        <v>1</v>
      </c>
      <c r="Y66">
        <v>1.948</v>
      </c>
      <c r="AA66">
        <v>2.2000000000000002</v>
      </c>
      <c r="AB66">
        <v>42.17</v>
      </c>
      <c r="AE66">
        <v>2.98</v>
      </c>
      <c r="AF66">
        <v>14.79</v>
      </c>
      <c r="AI66">
        <v>1</v>
      </c>
      <c r="AL66">
        <v>80.771100000000004</v>
      </c>
      <c r="AQ66">
        <v>-1.1354209660000001</v>
      </c>
    </row>
    <row r="67" spans="4:43">
      <c r="D67" t="s">
        <v>4491</v>
      </c>
      <c r="E67" t="s">
        <v>4308</v>
      </c>
      <c r="F67" t="s">
        <v>4492</v>
      </c>
      <c r="H67" t="s">
        <v>4493</v>
      </c>
      <c r="I67" t="s">
        <v>5014</v>
      </c>
      <c r="J67" t="s">
        <v>4494</v>
      </c>
      <c r="K67">
        <v>30</v>
      </c>
      <c r="M67">
        <v>30</v>
      </c>
      <c r="O67">
        <v>71.192999999999998</v>
      </c>
      <c r="P67">
        <v>-160.27000000000001</v>
      </c>
      <c r="Q67">
        <v>-1.6</v>
      </c>
      <c r="R67">
        <v>32.270000000000003</v>
      </c>
      <c r="S67">
        <v>295.80099999999999</v>
      </c>
      <c r="V67" t="s">
        <v>5288</v>
      </c>
      <c r="W67">
        <v>4.4249999999999998</v>
      </c>
      <c r="X67">
        <v>3</v>
      </c>
      <c r="Y67">
        <v>7.08</v>
      </c>
      <c r="AA67">
        <v>1.62</v>
      </c>
      <c r="AB67">
        <v>20.28</v>
      </c>
      <c r="AE67">
        <v>0.96</v>
      </c>
      <c r="AF67">
        <v>6.44</v>
      </c>
      <c r="AI67">
        <v>3</v>
      </c>
      <c r="AL67">
        <v>85.639499999999998</v>
      </c>
      <c r="AQ67">
        <v>-3.561833333</v>
      </c>
    </row>
    <row r="68" spans="4:43">
      <c r="D68" t="s">
        <v>4495</v>
      </c>
      <c r="E68" t="s">
        <v>4308</v>
      </c>
      <c r="F68" t="s">
        <v>4492</v>
      </c>
      <c r="H68" t="s">
        <v>4493</v>
      </c>
      <c r="I68" t="s">
        <v>5014</v>
      </c>
      <c r="J68" t="s">
        <v>4496</v>
      </c>
      <c r="K68">
        <v>6</v>
      </c>
      <c r="M68">
        <v>6</v>
      </c>
      <c r="O68">
        <v>71.192999999999998</v>
      </c>
      <c r="P68">
        <v>-160.27000000000001</v>
      </c>
      <c r="Q68">
        <v>4.3</v>
      </c>
      <c r="R68">
        <v>29.46</v>
      </c>
      <c r="S68">
        <v>340.38499999999999</v>
      </c>
      <c r="V68" t="s">
        <v>5288</v>
      </c>
      <c r="W68">
        <v>0.33300000000000002</v>
      </c>
      <c r="X68">
        <v>6</v>
      </c>
      <c r="Y68">
        <v>0.28699999999999998</v>
      </c>
      <c r="AA68">
        <v>0.23</v>
      </c>
      <c r="AB68">
        <v>4.9800000000000004</v>
      </c>
      <c r="AE68">
        <v>0.31</v>
      </c>
      <c r="AF68">
        <v>0.3</v>
      </c>
      <c r="AI68">
        <v>6</v>
      </c>
      <c r="AL68">
        <v>95.437899999999999</v>
      </c>
      <c r="AQ68">
        <v>-3.0118333329999998</v>
      </c>
    </row>
    <row r="69" spans="4:43">
      <c r="D69" t="s">
        <v>4497</v>
      </c>
      <c r="E69" t="s">
        <v>4308</v>
      </c>
      <c r="F69" t="s">
        <v>4492</v>
      </c>
      <c r="H69" t="s">
        <v>4493</v>
      </c>
      <c r="I69" t="s">
        <v>5014</v>
      </c>
      <c r="J69" t="s">
        <v>4498</v>
      </c>
      <c r="K69">
        <v>50</v>
      </c>
      <c r="M69">
        <v>50</v>
      </c>
      <c r="O69">
        <v>71.192999999999998</v>
      </c>
      <c r="P69">
        <v>-160.27000000000001</v>
      </c>
      <c r="Q69">
        <v>-1.65</v>
      </c>
      <c r="R69">
        <v>32.47</v>
      </c>
      <c r="S69">
        <v>230.821</v>
      </c>
      <c r="V69" t="s">
        <v>5288</v>
      </c>
      <c r="W69">
        <v>0.99199999999999999</v>
      </c>
      <c r="X69">
        <v>1</v>
      </c>
      <c r="Y69">
        <v>2.1</v>
      </c>
      <c r="AA69">
        <v>2.27</v>
      </c>
      <c r="AB69">
        <v>45.55</v>
      </c>
      <c r="AE69">
        <v>5.24</v>
      </c>
      <c r="AF69">
        <v>14.86</v>
      </c>
      <c r="AI69">
        <v>1</v>
      </c>
      <c r="AL69">
        <v>78.465100000000007</v>
      </c>
      <c r="AQ69">
        <v>-0.820714744</v>
      </c>
    </row>
    <row r="70" spans="4:43">
      <c r="D70" t="s">
        <v>4499</v>
      </c>
      <c r="E70" t="s">
        <v>4308</v>
      </c>
      <c r="F70" t="s">
        <v>4500</v>
      </c>
      <c r="H70" t="s">
        <v>4501</v>
      </c>
      <c r="I70" t="s">
        <v>5018</v>
      </c>
      <c r="J70" t="s">
        <v>4503</v>
      </c>
      <c r="K70">
        <v>10</v>
      </c>
      <c r="M70">
        <v>10</v>
      </c>
      <c r="O70">
        <v>71.361000000000004</v>
      </c>
      <c r="P70">
        <v>-159.69300000000001</v>
      </c>
      <c r="Q70">
        <v>4.88</v>
      </c>
      <c r="R70">
        <v>28.11</v>
      </c>
      <c r="S70">
        <v>319.94</v>
      </c>
      <c r="V70" t="s">
        <v>5288</v>
      </c>
      <c r="W70">
        <v>0.36699999999999999</v>
      </c>
      <c r="X70">
        <v>11</v>
      </c>
      <c r="Y70">
        <v>0.27700000000000002</v>
      </c>
      <c r="AA70">
        <v>0.23</v>
      </c>
      <c r="AB70">
        <v>3.56</v>
      </c>
      <c r="AE70">
        <v>0.43</v>
      </c>
      <c r="AF70">
        <v>1.1200000000000001</v>
      </c>
      <c r="AI70">
        <v>11</v>
      </c>
      <c r="AL70">
        <v>93.903999999999996</v>
      </c>
    </row>
    <row r="71" spans="4:43">
      <c r="D71" t="s">
        <v>4504</v>
      </c>
      <c r="E71" t="s">
        <v>4308</v>
      </c>
      <c r="F71" t="s">
        <v>4500</v>
      </c>
      <c r="H71" t="s">
        <v>4501</v>
      </c>
      <c r="I71" t="s">
        <v>5018</v>
      </c>
      <c r="J71" t="s">
        <v>4506</v>
      </c>
      <c r="K71">
        <v>20</v>
      </c>
      <c r="M71">
        <v>20</v>
      </c>
      <c r="O71">
        <v>71.361000000000004</v>
      </c>
      <c r="P71">
        <v>-159.69300000000001</v>
      </c>
      <c r="Q71">
        <v>-0.78</v>
      </c>
      <c r="R71">
        <v>31.77</v>
      </c>
      <c r="S71">
        <v>454.27300000000002</v>
      </c>
      <c r="V71" t="s">
        <v>5288</v>
      </c>
      <c r="W71">
        <v>0.52500000000000002</v>
      </c>
      <c r="X71">
        <v>10</v>
      </c>
      <c r="Y71">
        <v>0.36099999999999999</v>
      </c>
      <c r="AA71">
        <v>0.62</v>
      </c>
      <c r="AB71">
        <v>20.64</v>
      </c>
      <c r="AE71">
        <v>1</v>
      </c>
      <c r="AF71">
        <v>1.76</v>
      </c>
      <c r="AI71">
        <v>10</v>
      </c>
      <c r="AL71">
        <v>94.023899999999998</v>
      </c>
    </row>
    <row r="72" spans="4:43">
      <c r="D72" t="s">
        <v>4507</v>
      </c>
      <c r="E72" t="s">
        <v>4308</v>
      </c>
      <c r="F72" t="s">
        <v>4500</v>
      </c>
      <c r="H72" t="s">
        <v>4501</v>
      </c>
      <c r="I72" t="s">
        <v>5018</v>
      </c>
      <c r="J72" t="s">
        <v>4509</v>
      </c>
      <c r="K72">
        <v>31</v>
      </c>
      <c r="M72">
        <v>31</v>
      </c>
      <c r="O72">
        <v>71.361000000000004</v>
      </c>
      <c r="P72">
        <v>-159.69300000000001</v>
      </c>
      <c r="Q72">
        <v>-1.41</v>
      </c>
      <c r="R72">
        <v>32.21</v>
      </c>
      <c r="S72">
        <v>415.87400000000002</v>
      </c>
      <c r="V72" t="s">
        <v>5288</v>
      </c>
      <c r="W72">
        <v>4.0670000000000002</v>
      </c>
      <c r="X72">
        <v>9</v>
      </c>
      <c r="Y72">
        <v>5.96</v>
      </c>
      <c r="AA72">
        <v>1.8</v>
      </c>
      <c r="AB72">
        <v>12.1</v>
      </c>
      <c r="AE72">
        <v>1.1000000000000001</v>
      </c>
      <c r="AF72">
        <v>1.96</v>
      </c>
      <c r="AI72">
        <v>9</v>
      </c>
      <c r="AL72">
        <v>86.2303</v>
      </c>
      <c r="AQ72">
        <v>-1.1028948670000001</v>
      </c>
    </row>
    <row r="73" spans="4:43">
      <c r="D73" t="s">
        <v>4510</v>
      </c>
      <c r="E73" t="s">
        <v>4308</v>
      </c>
      <c r="F73" t="s">
        <v>4500</v>
      </c>
      <c r="H73" t="s">
        <v>4501</v>
      </c>
      <c r="I73" t="s">
        <v>5018</v>
      </c>
      <c r="J73" t="s">
        <v>4511</v>
      </c>
      <c r="K73">
        <v>46</v>
      </c>
      <c r="M73">
        <v>46</v>
      </c>
      <c r="O73">
        <v>71.361000000000004</v>
      </c>
      <c r="P73">
        <v>-159.69300000000001</v>
      </c>
      <c r="Q73">
        <v>-1.66</v>
      </c>
      <c r="R73">
        <v>32.47</v>
      </c>
      <c r="S73">
        <v>230.339</v>
      </c>
      <c r="V73" t="s">
        <v>5288</v>
      </c>
      <c r="W73">
        <v>0.44500000000000001</v>
      </c>
      <c r="X73">
        <v>8</v>
      </c>
      <c r="Y73">
        <v>0.73599999999999999</v>
      </c>
      <c r="AA73">
        <v>2.2000000000000002</v>
      </c>
      <c r="AB73">
        <v>48.75</v>
      </c>
      <c r="AE73">
        <v>3</v>
      </c>
      <c r="AF73">
        <v>16.86</v>
      </c>
      <c r="AI73">
        <v>8</v>
      </c>
      <c r="AL73">
        <v>72.700599999999994</v>
      </c>
    </row>
    <row r="74" spans="4:43">
      <c r="D74" t="s">
        <v>4512</v>
      </c>
      <c r="E74" t="s">
        <v>4308</v>
      </c>
      <c r="F74" t="s">
        <v>4500</v>
      </c>
      <c r="H74" t="s">
        <v>4501</v>
      </c>
      <c r="I74" t="s">
        <v>5018</v>
      </c>
      <c r="J74" t="s">
        <v>4513</v>
      </c>
      <c r="K74">
        <v>5</v>
      </c>
      <c r="M74">
        <v>5</v>
      </c>
      <c r="O74">
        <v>71.361000000000004</v>
      </c>
      <c r="P74">
        <v>-159.69300000000001</v>
      </c>
      <c r="Q74">
        <v>4.8499999999999996</v>
      </c>
      <c r="R74">
        <v>28.08</v>
      </c>
      <c r="S74">
        <v>319.35000000000002</v>
      </c>
      <c r="V74" t="s">
        <v>5288</v>
      </c>
      <c r="W74">
        <v>0.38400000000000001</v>
      </c>
      <c r="X74">
        <v>12</v>
      </c>
      <c r="Y74">
        <v>0.309</v>
      </c>
      <c r="AA74">
        <v>0.23</v>
      </c>
      <c r="AB74">
        <v>3.56</v>
      </c>
      <c r="AE74">
        <v>0.38</v>
      </c>
      <c r="AF74">
        <v>0.63</v>
      </c>
      <c r="AI74">
        <v>12</v>
      </c>
      <c r="AL74">
        <v>93.874899999999997</v>
      </c>
      <c r="AQ74">
        <v>-1.4538047199999999</v>
      </c>
    </row>
    <row r="75" spans="4:43">
      <c r="D75" t="s">
        <v>4514</v>
      </c>
      <c r="E75" t="s">
        <v>4308</v>
      </c>
      <c r="F75" t="s">
        <v>4515</v>
      </c>
      <c r="H75" t="s">
        <v>4516</v>
      </c>
      <c r="I75" t="s">
        <v>4965</v>
      </c>
      <c r="J75" t="s">
        <v>4517</v>
      </c>
      <c r="K75">
        <v>30</v>
      </c>
      <c r="M75">
        <v>31</v>
      </c>
      <c r="O75">
        <v>71.323999999999998</v>
      </c>
      <c r="P75">
        <v>-160.65600000000001</v>
      </c>
      <c r="Q75">
        <v>-1.61</v>
      </c>
      <c r="R75">
        <v>32.409999999999997</v>
      </c>
      <c r="S75">
        <v>258.87900000000002</v>
      </c>
      <c r="V75" t="s">
        <v>5288</v>
      </c>
      <c r="W75">
        <v>4.4580000000000002</v>
      </c>
      <c r="X75">
        <v>2</v>
      </c>
      <c r="Y75">
        <v>2.1640000000000001</v>
      </c>
      <c r="AA75">
        <v>1.74</v>
      </c>
      <c r="AB75">
        <v>27.4</v>
      </c>
      <c r="AE75">
        <v>0.83</v>
      </c>
      <c r="AF75">
        <v>12.07</v>
      </c>
      <c r="AI75">
        <v>2</v>
      </c>
      <c r="AL75">
        <v>81.864500000000007</v>
      </c>
    </row>
    <row r="76" spans="4:43">
      <c r="D76" t="s">
        <v>4518</v>
      </c>
      <c r="E76" t="s">
        <v>4308</v>
      </c>
      <c r="F76" t="s">
        <v>4515</v>
      </c>
      <c r="H76" t="s">
        <v>4516</v>
      </c>
      <c r="I76" t="s">
        <v>4965</v>
      </c>
      <c r="J76" t="s">
        <v>4519</v>
      </c>
      <c r="K76">
        <v>5</v>
      </c>
      <c r="M76">
        <v>5</v>
      </c>
      <c r="O76">
        <v>71.323999999999998</v>
      </c>
      <c r="P76">
        <v>-160.65600000000001</v>
      </c>
      <c r="Q76">
        <v>4.62</v>
      </c>
      <c r="R76">
        <v>28.26</v>
      </c>
      <c r="S76">
        <v>330.46100000000001</v>
      </c>
      <c r="V76" t="s">
        <v>5288</v>
      </c>
      <c r="W76">
        <v>0.27400000000000002</v>
      </c>
      <c r="X76">
        <v>5</v>
      </c>
      <c r="Y76">
        <v>0.255</v>
      </c>
      <c r="AA76">
        <v>1.1200000000000001</v>
      </c>
      <c r="AB76">
        <v>3.91</v>
      </c>
      <c r="AE76">
        <v>0.34</v>
      </c>
      <c r="AF76">
        <v>0.06</v>
      </c>
      <c r="AI76">
        <v>5</v>
      </c>
      <c r="AL76">
        <v>95.463899999999995</v>
      </c>
      <c r="AQ76">
        <v>-1.366892116</v>
      </c>
    </row>
    <row r="77" spans="4:43">
      <c r="D77" t="s">
        <v>4520</v>
      </c>
      <c r="E77" t="s">
        <v>4308</v>
      </c>
      <c r="F77" t="s">
        <v>4515</v>
      </c>
      <c r="H77" t="s">
        <v>4516</v>
      </c>
      <c r="I77" t="s">
        <v>4965</v>
      </c>
      <c r="J77" t="s">
        <v>4521</v>
      </c>
      <c r="K77">
        <v>45</v>
      </c>
      <c r="M77">
        <v>45</v>
      </c>
      <c r="O77">
        <v>71.323999999999998</v>
      </c>
      <c r="P77">
        <v>-160.65600000000001</v>
      </c>
      <c r="Q77">
        <v>-1.64</v>
      </c>
      <c r="R77">
        <v>32.46</v>
      </c>
      <c r="S77">
        <v>213.00899999999999</v>
      </c>
      <c r="V77" t="s">
        <v>5288</v>
      </c>
      <c r="W77">
        <v>0.44</v>
      </c>
      <c r="X77">
        <v>1</v>
      </c>
      <c r="Y77">
        <v>0.67600000000000005</v>
      </c>
      <c r="AA77">
        <v>2.29</v>
      </c>
      <c r="AB77">
        <v>45.55</v>
      </c>
      <c r="AE77">
        <v>3.41</v>
      </c>
      <c r="AF77">
        <v>15.79</v>
      </c>
      <c r="AI77">
        <v>1</v>
      </c>
      <c r="AL77">
        <v>75.369699999999995</v>
      </c>
      <c r="AQ77">
        <v>-1.1008641189999999</v>
      </c>
    </row>
    <row r="78" spans="4:43">
      <c r="D78" t="s">
        <v>4522</v>
      </c>
      <c r="E78" t="s">
        <v>4308</v>
      </c>
      <c r="F78" t="s">
        <v>4523</v>
      </c>
      <c r="H78" t="s">
        <v>4524</v>
      </c>
      <c r="I78" t="s">
        <v>4969</v>
      </c>
      <c r="J78" t="s">
        <v>4525</v>
      </c>
      <c r="K78">
        <v>28</v>
      </c>
      <c r="M78">
        <v>28</v>
      </c>
      <c r="O78">
        <v>71.454999999999998</v>
      </c>
      <c r="P78">
        <v>-161.03800000000001</v>
      </c>
      <c r="Q78">
        <v>-1.43</v>
      </c>
      <c r="R78">
        <v>32.270000000000003</v>
      </c>
      <c r="S78">
        <v>408.61200000000002</v>
      </c>
      <c r="V78" t="s">
        <v>5288</v>
      </c>
      <c r="W78">
        <v>2.569</v>
      </c>
      <c r="X78">
        <v>3</v>
      </c>
      <c r="Y78">
        <v>7.08</v>
      </c>
      <c r="AA78">
        <v>1.91</v>
      </c>
      <c r="AB78">
        <v>35.229999999999997</v>
      </c>
      <c r="AE78">
        <v>3.25</v>
      </c>
      <c r="AF78">
        <v>12.5</v>
      </c>
      <c r="AI78">
        <v>3</v>
      </c>
      <c r="AL78">
        <v>90.559100000000001</v>
      </c>
    </row>
    <row r="79" spans="4:43">
      <c r="D79" t="s">
        <v>4526</v>
      </c>
      <c r="E79" t="s">
        <v>4308</v>
      </c>
      <c r="F79" t="s">
        <v>4523</v>
      </c>
      <c r="H79" t="s">
        <v>4524</v>
      </c>
      <c r="I79" t="s">
        <v>4969</v>
      </c>
      <c r="J79" t="s">
        <v>4527</v>
      </c>
      <c r="K79">
        <v>43</v>
      </c>
      <c r="M79">
        <v>43</v>
      </c>
      <c r="O79">
        <v>71.454999999999998</v>
      </c>
      <c r="P79">
        <v>-161.03800000000001</v>
      </c>
      <c r="Q79">
        <v>-1.63</v>
      </c>
      <c r="R79">
        <v>32.450000000000003</v>
      </c>
      <c r="S79">
        <v>192.52600000000001</v>
      </c>
      <c r="V79" t="s">
        <v>5288</v>
      </c>
      <c r="W79">
        <v>0.54600000000000004</v>
      </c>
      <c r="X79">
        <v>1</v>
      </c>
      <c r="Y79">
        <v>1.1040000000000001</v>
      </c>
      <c r="AA79">
        <v>2.06</v>
      </c>
      <c r="AB79">
        <v>45.91</v>
      </c>
      <c r="AE79">
        <v>6.16</v>
      </c>
      <c r="AF79">
        <v>15.36</v>
      </c>
      <c r="AI79">
        <v>1</v>
      </c>
      <c r="AL79">
        <v>67.467100000000002</v>
      </c>
      <c r="AQ79">
        <v>-1.081546415</v>
      </c>
    </row>
    <row r="80" spans="4:43">
      <c r="D80" t="s">
        <v>4528</v>
      </c>
      <c r="E80" t="s">
        <v>4308</v>
      </c>
      <c r="F80" t="s">
        <v>4523</v>
      </c>
      <c r="H80" t="s">
        <v>4524</v>
      </c>
      <c r="I80" t="s">
        <v>4969</v>
      </c>
      <c r="J80" t="s">
        <v>4529</v>
      </c>
      <c r="K80">
        <v>5</v>
      </c>
      <c r="M80">
        <v>5</v>
      </c>
      <c r="O80">
        <v>71.454999999999998</v>
      </c>
      <c r="P80">
        <v>-161.03800000000001</v>
      </c>
      <c r="Q80">
        <v>4.55</v>
      </c>
      <c r="R80">
        <v>28.88</v>
      </c>
      <c r="S80">
        <v>328.17700000000002</v>
      </c>
      <c r="V80" t="s">
        <v>5288</v>
      </c>
      <c r="W80">
        <v>0.311</v>
      </c>
      <c r="X80">
        <v>6</v>
      </c>
      <c r="Y80">
        <v>0.25</v>
      </c>
      <c r="AA80">
        <v>0.19</v>
      </c>
      <c r="AB80">
        <v>4.45</v>
      </c>
      <c r="AE80">
        <v>0.26</v>
      </c>
      <c r="AF80">
        <v>0.25</v>
      </c>
      <c r="AI80">
        <v>6</v>
      </c>
      <c r="AL80">
        <v>95.284199999999998</v>
      </c>
      <c r="AQ80">
        <v>-1.425391313</v>
      </c>
    </row>
    <row r="81" spans="4:43">
      <c r="D81" t="s">
        <v>4530</v>
      </c>
      <c r="E81" t="s">
        <v>4308</v>
      </c>
      <c r="F81" t="s">
        <v>4531</v>
      </c>
      <c r="H81" t="s">
        <v>4532</v>
      </c>
      <c r="I81" t="s">
        <v>4973</v>
      </c>
      <c r="J81" t="s">
        <v>4533</v>
      </c>
      <c r="K81">
        <v>31</v>
      </c>
      <c r="M81">
        <v>31</v>
      </c>
      <c r="O81">
        <v>71.587999999999994</v>
      </c>
      <c r="P81">
        <v>-161.40100000000001</v>
      </c>
      <c r="Q81">
        <v>-1.43</v>
      </c>
      <c r="R81">
        <v>32.19</v>
      </c>
      <c r="S81">
        <v>360.10199999999998</v>
      </c>
      <c r="V81" t="s">
        <v>5288</v>
      </c>
      <c r="W81">
        <v>38.301000000000002</v>
      </c>
      <c r="X81">
        <v>2</v>
      </c>
      <c r="Y81">
        <v>37.840000000000003</v>
      </c>
      <c r="AA81">
        <v>0.63</v>
      </c>
      <c r="AB81">
        <v>11.39</v>
      </c>
      <c r="AE81">
        <v>0.26</v>
      </c>
      <c r="AF81">
        <v>0.42</v>
      </c>
      <c r="AI81">
        <v>2</v>
      </c>
      <c r="AL81">
        <v>38.770299999999999</v>
      </c>
    </row>
    <row r="82" spans="4:43">
      <c r="D82" t="s">
        <v>4534</v>
      </c>
      <c r="E82" t="s">
        <v>4308</v>
      </c>
      <c r="F82" t="s">
        <v>4531</v>
      </c>
      <c r="H82" t="s">
        <v>4532</v>
      </c>
      <c r="I82" t="s">
        <v>4973</v>
      </c>
      <c r="J82" t="s">
        <v>4535</v>
      </c>
      <c r="K82">
        <v>43</v>
      </c>
      <c r="M82">
        <v>43</v>
      </c>
      <c r="O82">
        <v>71.587999999999994</v>
      </c>
      <c r="P82">
        <v>-161.40100000000001</v>
      </c>
      <c r="Q82">
        <v>-1.57</v>
      </c>
      <c r="R82">
        <v>32.33</v>
      </c>
      <c r="S82">
        <v>240.90299999999999</v>
      </c>
      <c r="V82" t="s">
        <v>5288</v>
      </c>
      <c r="W82">
        <v>0.745</v>
      </c>
      <c r="X82">
        <v>1</v>
      </c>
      <c r="Y82">
        <v>1.552</v>
      </c>
      <c r="AA82">
        <v>1.92</v>
      </c>
      <c r="AB82">
        <v>39.5</v>
      </c>
      <c r="AE82">
        <v>4.43</v>
      </c>
      <c r="AF82">
        <v>12.14</v>
      </c>
      <c r="AI82">
        <v>1</v>
      </c>
      <c r="AL82">
        <v>57.009799999999998</v>
      </c>
      <c r="AQ82">
        <v>-1.01987268</v>
      </c>
    </row>
    <row r="83" spans="4:43">
      <c r="D83" t="s">
        <v>4536</v>
      </c>
      <c r="E83" t="s">
        <v>4308</v>
      </c>
      <c r="F83" t="s">
        <v>4531</v>
      </c>
      <c r="H83" t="s">
        <v>4532</v>
      </c>
      <c r="I83" t="s">
        <v>4973</v>
      </c>
      <c r="J83" t="s">
        <v>4537</v>
      </c>
      <c r="K83">
        <v>5</v>
      </c>
      <c r="M83">
        <v>5</v>
      </c>
      <c r="O83">
        <v>71.587999999999994</v>
      </c>
      <c r="P83">
        <v>-161.40100000000001</v>
      </c>
      <c r="Q83">
        <v>4.63</v>
      </c>
      <c r="R83">
        <v>27.9</v>
      </c>
      <c r="S83">
        <v>325.38900000000001</v>
      </c>
      <c r="V83" t="s">
        <v>5288</v>
      </c>
      <c r="W83">
        <v>0.33100000000000002</v>
      </c>
      <c r="X83">
        <v>5</v>
      </c>
      <c r="Y83">
        <v>0.34799999999999998</v>
      </c>
      <c r="AA83">
        <v>0.18</v>
      </c>
      <c r="AB83">
        <v>3.56</v>
      </c>
      <c r="AE83">
        <v>0.78</v>
      </c>
      <c r="AF83">
        <v>0.64</v>
      </c>
      <c r="AI83">
        <v>5</v>
      </c>
      <c r="AL83">
        <v>94.701899999999995</v>
      </c>
      <c r="AQ83">
        <v>-1.34259686</v>
      </c>
    </row>
    <row r="84" spans="4:43">
      <c r="D84" t="s">
        <v>4538</v>
      </c>
      <c r="E84" t="s">
        <v>4308</v>
      </c>
      <c r="F84" t="s">
        <v>4539</v>
      </c>
      <c r="H84" t="s">
        <v>4540</v>
      </c>
      <c r="I84" t="s">
        <v>4936</v>
      </c>
      <c r="J84" t="s">
        <v>4541</v>
      </c>
      <c r="K84">
        <v>28</v>
      </c>
      <c r="M84">
        <v>28</v>
      </c>
      <c r="O84">
        <v>71.98</v>
      </c>
      <c r="P84">
        <v>-162.541</v>
      </c>
      <c r="Q84">
        <v>-1.21</v>
      </c>
      <c r="R84">
        <v>32.06</v>
      </c>
      <c r="S84">
        <v>358.36200000000002</v>
      </c>
      <c r="V84" t="s">
        <v>5288</v>
      </c>
      <c r="W84">
        <v>9.5399999999999991</v>
      </c>
      <c r="X84">
        <v>1</v>
      </c>
      <c r="Y84">
        <v>14.64</v>
      </c>
      <c r="AA84">
        <v>0.93</v>
      </c>
      <c r="AB84">
        <v>18.510000000000002</v>
      </c>
      <c r="AE84">
        <v>4.6900000000000004</v>
      </c>
      <c r="AF84">
        <v>3.41</v>
      </c>
      <c r="AI84">
        <v>1</v>
      </c>
      <c r="AL84">
        <v>58.321199999999997</v>
      </c>
      <c r="AQ84">
        <v>-1.5235371550000001</v>
      </c>
    </row>
    <row r="85" spans="4:43">
      <c r="D85" t="s">
        <v>4542</v>
      </c>
      <c r="E85" t="s">
        <v>4308</v>
      </c>
      <c r="F85" t="s">
        <v>4539</v>
      </c>
      <c r="H85" t="s">
        <v>4540</v>
      </c>
      <c r="I85" t="s">
        <v>4936</v>
      </c>
      <c r="J85" t="s">
        <v>4543</v>
      </c>
      <c r="K85">
        <v>6</v>
      </c>
      <c r="M85">
        <v>5</v>
      </c>
      <c r="O85">
        <v>71.98</v>
      </c>
      <c r="P85">
        <v>-162.541</v>
      </c>
      <c r="Q85">
        <v>4.37</v>
      </c>
      <c r="R85">
        <v>27.29</v>
      </c>
      <c r="S85">
        <v>325.73899999999998</v>
      </c>
      <c r="V85" t="s">
        <v>5288</v>
      </c>
      <c r="W85">
        <v>0.57799999999999996</v>
      </c>
      <c r="X85">
        <v>4</v>
      </c>
      <c r="Y85">
        <v>0.28199999999999997</v>
      </c>
      <c r="AA85">
        <v>0.13</v>
      </c>
      <c r="AB85">
        <v>1.78</v>
      </c>
      <c r="AE85">
        <v>0.3</v>
      </c>
      <c r="AF85">
        <v>0.2</v>
      </c>
      <c r="AI85">
        <v>4</v>
      </c>
      <c r="AL85">
        <v>92.598200000000006</v>
      </c>
      <c r="AQ85">
        <v>-1.66</v>
      </c>
    </row>
    <row r="86" spans="4:43">
      <c r="D86" t="s">
        <v>4544</v>
      </c>
      <c r="E86" t="s">
        <v>4308</v>
      </c>
      <c r="F86" t="s">
        <v>4545</v>
      </c>
      <c r="H86" t="s">
        <v>4546</v>
      </c>
      <c r="I86" t="s">
        <v>4939</v>
      </c>
      <c r="J86" t="s">
        <v>4548</v>
      </c>
      <c r="K86">
        <v>15</v>
      </c>
      <c r="M86">
        <v>15</v>
      </c>
      <c r="O86">
        <v>72.108999999999995</v>
      </c>
      <c r="P86">
        <v>-162.92400000000001</v>
      </c>
      <c r="Q86">
        <v>5.77</v>
      </c>
      <c r="R86">
        <v>31.34</v>
      </c>
      <c r="S86">
        <v>305.51799999999997</v>
      </c>
      <c r="V86" t="s">
        <v>5288</v>
      </c>
      <c r="W86">
        <v>0.36499999999999999</v>
      </c>
      <c r="X86">
        <v>4</v>
      </c>
      <c r="Y86">
        <v>0.29099999999999998</v>
      </c>
      <c r="AA86">
        <v>0.4</v>
      </c>
      <c r="AB86">
        <v>3.91</v>
      </c>
      <c r="AE86">
        <v>0.28000000000000003</v>
      </c>
      <c r="AF86">
        <v>0.19</v>
      </c>
      <c r="AI86">
        <v>4</v>
      </c>
      <c r="AL86">
        <v>94.316100000000006</v>
      </c>
    </row>
    <row r="87" spans="4:43">
      <c r="D87" t="s">
        <v>4549</v>
      </c>
      <c r="E87" t="s">
        <v>4308</v>
      </c>
      <c r="F87" t="s">
        <v>4545</v>
      </c>
      <c r="H87" t="s">
        <v>4546</v>
      </c>
      <c r="I87" t="s">
        <v>4939</v>
      </c>
      <c r="J87" t="s">
        <v>4550</v>
      </c>
      <c r="K87">
        <v>35</v>
      </c>
      <c r="M87">
        <v>35</v>
      </c>
      <c r="O87">
        <v>72.108999999999995</v>
      </c>
      <c r="P87">
        <v>-162.92400000000001</v>
      </c>
      <c r="Q87">
        <v>0.23</v>
      </c>
      <c r="R87">
        <v>32.21</v>
      </c>
      <c r="S87">
        <v>316.07</v>
      </c>
      <c r="V87" t="s">
        <v>5288</v>
      </c>
      <c r="W87">
        <v>0.68600000000000005</v>
      </c>
      <c r="X87">
        <v>1</v>
      </c>
      <c r="Y87">
        <v>0.84799999999999998</v>
      </c>
      <c r="AA87">
        <v>1.1299999999999999</v>
      </c>
      <c r="AB87">
        <v>13.52</v>
      </c>
      <c r="AE87">
        <v>3.04</v>
      </c>
      <c r="AF87">
        <v>1.56</v>
      </c>
      <c r="AI87">
        <v>1</v>
      </c>
      <c r="AL87">
        <v>83.912599999999998</v>
      </c>
      <c r="AQ87">
        <v>-0.79382207999999999</v>
      </c>
    </row>
    <row r="88" spans="4:43">
      <c r="D88" t="s">
        <v>4551</v>
      </c>
      <c r="E88" t="s">
        <v>4308</v>
      </c>
      <c r="F88" t="s">
        <v>4545</v>
      </c>
      <c r="H88" t="s">
        <v>4546</v>
      </c>
      <c r="I88" t="s">
        <v>4939</v>
      </c>
      <c r="J88" t="s">
        <v>4552</v>
      </c>
      <c r="K88">
        <v>4</v>
      </c>
      <c r="M88">
        <v>4</v>
      </c>
      <c r="O88">
        <v>72.108999999999995</v>
      </c>
      <c r="P88">
        <v>-162.92400000000001</v>
      </c>
      <c r="Q88">
        <v>4.2300000000000004</v>
      </c>
      <c r="R88">
        <v>26.93</v>
      </c>
      <c r="S88">
        <v>326.93700000000001</v>
      </c>
      <c r="V88" t="s">
        <v>5288</v>
      </c>
      <c r="W88">
        <v>0.47599999999999998</v>
      </c>
      <c r="X88">
        <v>6</v>
      </c>
      <c r="Y88">
        <v>0.32200000000000001</v>
      </c>
      <c r="AA88">
        <v>0.19</v>
      </c>
      <c r="AB88">
        <v>2.4900000000000002</v>
      </c>
      <c r="AE88">
        <v>0.56000000000000005</v>
      </c>
      <c r="AF88">
        <v>0.21</v>
      </c>
      <c r="AI88">
        <v>6</v>
      </c>
      <c r="AL88">
        <v>94.162400000000005</v>
      </c>
      <c r="AQ88">
        <v>-0.94221524199999995</v>
      </c>
    </row>
    <row r="89" spans="4:43">
      <c r="D89" t="s">
        <v>4553</v>
      </c>
      <c r="E89" t="s">
        <v>4308</v>
      </c>
      <c r="F89" t="s">
        <v>4554</v>
      </c>
      <c r="H89" t="s">
        <v>4555</v>
      </c>
      <c r="I89" t="s">
        <v>4944</v>
      </c>
      <c r="J89" t="s">
        <v>4556</v>
      </c>
      <c r="K89">
        <v>15</v>
      </c>
      <c r="M89">
        <v>15</v>
      </c>
      <c r="O89">
        <v>72.168999999999997</v>
      </c>
      <c r="P89">
        <v>-163.108</v>
      </c>
      <c r="Q89">
        <v>6.03</v>
      </c>
      <c r="R89">
        <v>31.45</v>
      </c>
      <c r="S89">
        <v>295.31700000000001</v>
      </c>
      <c r="V89" t="s">
        <v>5288</v>
      </c>
      <c r="W89">
        <v>0.48599999999999999</v>
      </c>
      <c r="X89">
        <v>1</v>
      </c>
      <c r="AI89">
        <v>1</v>
      </c>
      <c r="AL89">
        <v>94.705100000000002</v>
      </c>
    </row>
    <row r="90" spans="4:43">
      <c r="D90" t="s">
        <v>4557</v>
      </c>
      <c r="E90" t="s">
        <v>4308</v>
      </c>
      <c r="F90" t="s">
        <v>4558</v>
      </c>
      <c r="H90" t="s">
        <v>4559</v>
      </c>
      <c r="I90" t="s">
        <v>4977</v>
      </c>
      <c r="J90" t="s">
        <v>4560</v>
      </c>
      <c r="K90">
        <v>30</v>
      </c>
      <c r="M90">
        <v>30</v>
      </c>
      <c r="O90">
        <v>71.718999999999994</v>
      </c>
      <c r="P90">
        <v>-161.773</v>
      </c>
      <c r="Q90">
        <v>-1.41</v>
      </c>
      <c r="R90">
        <v>32.090000000000003</v>
      </c>
      <c r="S90">
        <v>340.423</v>
      </c>
      <c r="V90" t="s">
        <v>5288</v>
      </c>
      <c r="W90">
        <v>6.7910000000000004</v>
      </c>
      <c r="X90">
        <v>2</v>
      </c>
      <c r="Y90">
        <v>9.36</v>
      </c>
      <c r="AA90">
        <v>1.1100000000000001</v>
      </c>
      <c r="AB90">
        <v>21.71</v>
      </c>
      <c r="AE90">
        <v>1.03</v>
      </c>
      <c r="AF90">
        <v>5.93</v>
      </c>
      <c r="AI90">
        <v>2</v>
      </c>
      <c r="AL90">
        <v>66.046199999999999</v>
      </c>
    </row>
    <row r="91" spans="4:43">
      <c r="D91" t="s">
        <v>4561</v>
      </c>
      <c r="E91" t="s">
        <v>4308</v>
      </c>
      <c r="F91" t="s">
        <v>4558</v>
      </c>
      <c r="H91" t="s">
        <v>4559</v>
      </c>
      <c r="I91" t="s">
        <v>4977</v>
      </c>
      <c r="J91" t="s">
        <v>4562</v>
      </c>
      <c r="K91">
        <v>38</v>
      </c>
      <c r="M91">
        <v>38</v>
      </c>
      <c r="O91">
        <v>71.718999999999994</v>
      </c>
      <c r="P91">
        <v>-161.773</v>
      </c>
      <c r="Q91">
        <v>-1.44</v>
      </c>
      <c r="R91">
        <v>32.11</v>
      </c>
      <c r="S91">
        <v>320.18200000000002</v>
      </c>
      <c r="V91" t="s">
        <v>5288</v>
      </c>
      <c r="W91">
        <v>3.2639999999999998</v>
      </c>
      <c r="X91">
        <v>1</v>
      </c>
      <c r="Y91">
        <v>5.12</v>
      </c>
      <c r="AA91">
        <v>1.34</v>
      </c>
      <c r="AB91">
        <v>24.91</v>
      </c>
      <c r="AE91">
        <v>1.98</v>
      </c>
      <c r="AF91">
        <v>6.47</v>
      </c>
      <c r="AI91">
        <v>1</v>
      </c>
      <c r="AL91">
        <v>59.860500000000002</v>
      </c>
      <c r="AQ91">
        <v>-0.92003739900000003</v>
      </c>
    </row>
    <row r="92" spans="4:43">
      <c r="D92" t="s">
        <v>4563</v>
      </c>
      <c r="E92" t="s">
        <v>4308</v>
      </c>
      <c r="F92" t="s">
        <v>4558</v>
      </c>
      <c r="H92" t="s">
        <v>4559</v>
      </c>
      <c r="I92" t="s">
        <v>4977</v>
      </c>
      <c r="J92" t="s">
        <v>4564</v>
      </c>
      <c r="K92">
        <v>5</v>
      </c>
      <c r="M92">
        <v>5</v>
      </c>
      <c r="O92">
        <v>71.718999999999994</v>
      </c>
      <c r="P92">
        <v>-161.773</v>
      </c>
      <c r="Q92">
        <v>4.5</v>
      </c>
      <c r="R92">
        <v>26.94</v>
      </c>
      <c r="S92">
        <v>325.39</v>
      </c>
      <c r="V92" t="s">
        <v>5288</v>
      </c>
      <c r="W92">
        <v>0.316</v>
      </c>
      <c r="X92">
        <v>5</v>
      </c>
      <c r="Y92">
        <v>0.128</v>
      </c>
      <c r="AA92">
        <v>0.17</v>
      </c>
      <c r="AB92">
        <v>2.14</v>
      </c>
      <c r="AE92">
        <v>0.3</v>
      </c>
      <c r="AF92">
        <v>0.16</v>
      </c>
      <c r="AI92">
        <v>5</v>
      </c>
      <c r="AL92">
        <v>94.241100000000003</v>
      </c>
      <c r="AQ92">
        <v>-0.98351403699999995</v>
      </c>
    </row>
    <row r="93" spans="4:43">
      <c r="D93" t="s">
        <v>4565</v>
      </c>
      <c r="E93" t="s">
        <v>4308</v>
      </c>
      <c r="F93" t="s">
        <v>4566</v>
      </c>
      <c r="H93" t="s">
        <v>4567</v>
      </c>
      <c r="I93" t="s">
        <v>4981</v>
      </c>
      <c r="J93" t="s">
        <v>4568</v>
      </c>
      <c r="K93">
        <v>25</v>
      </c>
      <c r="M93">
        <v>24</v>
      </c>
      <c r="O93">
        <v>71.850999999999999</v>
      </c>
      <c r="P93">
        <v>-162.15799999999999</v>
      </c>
      <c r="Q93">
        <v>-1.3</v>
      </c>
      <c r="R93">
        <v>32.04</v>
      </c>
      <c r="S93">
        <v>359.77100000000002</v>
      </c>
      <c r="V93" t="s">
        <v>5288</v>
      </c>
      <c r="W93">
        <v>5.0519999999999996</v>
      </c>
      <c r="X93">
        <v>3</v>
      </c>
      <c r="Y93">
        <v>0.94</v>
      </c>
      <c r="AA93">
        <v>1.36</v>
      </c>
      <c r="AB93">
        <v>22.42</v>
      </c>
      <c r="AE93">
        <v>1.55</v>
      </c>
      <c r="AF93">
        <v>7.14</v>
      </c>
      <c r="AI93">
        <v>3</v>
      </c>
      <c r="AL93">
        <v>74.060199999999995</v>
      </c>
    </row>
    <row r="94" spans="4:43">
      <c r="D94" t="s">
        <v>4569</v>
      </c>
      <c r="E94" t="s">
        <v>4308</v>
      </c>
      <c r="F94" t="s">
        <v>4566</v>
      </c>
      <c r="H94" t="s">
        <v>4567</v>
      </c>
      <c r="I94" t="s">
        <v>4981</v>
      </c>
      <c r="J94" t="s">
        <v>4570</v>
      </c>
      <c r="K94">
        <v>36</v>
      </c>
      <c r="M94">
        <v>36</v>
      </c>
      <c r="O94">
        <v>71.850999999999999</v>
      </c>
      <c r="P94">
        <v>-162.15799999999999</v>
      </c>
      <c r="Q94">
        <v>-1.44</v>
      </c>
      <c r="R94">
        <v>32.14</v>
      </c>
      <c r="S94">
        <v>311.839</v>
      </c>
      <c r="V94" t="s">
        <v>5288</v>
      </c>
      <c r="W94">
        <v>3.19</v>
      </c>
      <c r="X94">
        <v>1</v>
      </c>
      <c r="Y94">
        <v>5.52</v>
      </c>
      <c r="AA94">
        <v>1.1299999999999999</v>
      </c>
      <c r="AB94">
        <v>21.35</v>
      </c>
      <c r="AE94">
        <v>1.72</v>
      </c>
      <c r="AF94">
        <v>7.5</v>
      </c>
      <c r="AI94">
        <v>1</v>
      </c>
      <c r="AL94">
        <v>61.009300000000003</v>
      </c>
      <c r="AQ94">
        <v>-1.0462623390000001</v>
      </c>
    </row>
    <row r="95" spans="4:43">
      <c r="D95" t="s">
        <v>4571</v>
      </c>
      <c r="E95" t="s">
        <v>4308</v>
      </c>
      <c r="F95" t="s">
        <v>4566</v>
      </c>
      <c r="H95" t="s">
        <v>4567</v>
      </c>
      <c r="I95" t="s">
        <v>4981</v>
      </c>
      <c r="J95" t="s">
        <v>4572</v>
      </c>
      <c r="K95">
        <v>5</v>
      </c>
      <c r="M95">
        <v>5</v>
      </c>
      <c r="O95">
        <v>71.850999999999999</v>
      </c>
      <c r="P95">
        <v>-162.15799999999999</v>
      </c>
      <c r="Q95">
        <v>4.12</v>
      </c>
      <c r="R95">
        <v>26.82</v>
      </c>
      <c r="S95">
        <v>327.52100000000002</v>
      </c>
      <c r="V95" t="s">
        <v>5288</v>
      </c>
      <c r="W95">
        <v>0.39</v>
      </c>
      <c r="X95">
        <v>6</v>
      </c>
      <c r="Y95">
        <v>0.30299999999999999</v>
      </c>
      <c r="AA95">
        <v>0.18</v>
      </c>
      <c r="AB95">
        <v>2.14</v>
      </c>
      <c r="AE95">
        <v>0.4</v>
      </c>
      <c r="AF95">
        <v>0.12</v>
      </c>
      <c r="AI95">
        <v>6</v>
      </c>
      <c r="AL95">
        <v>94.899500000000003</v>
      </c>
      <c r="AQ95">
        <v>-0.58245649700000002</v>
      </c>
    </row>
    <row r="96" spans="4:43">
      <c r="D96" t="s">
        <v>4573</v>
      </c>
      <c r="E96" t="s">
        <v>4308</v>
      </c>
      <c r="F96" t="s">
        <v>4574</v>
      </c>
      <c r="H96" t="s">
        <v>4575</v>
      </c>
      <c r="I96" t="s">
        <v>4946</v>
      </c>
      <c r="J96" t="s">
        <v>4576</v>
      </c>
      <c r="K96">
        <v>25</v>
      </c>
      <c r="M96">
        <v>25</v>
      </c>
      <c r="O96">
        <v>72.239000000000004</v>
      </c>
      <c r="P96">
        <v>-163.31700000000001</v>
      </c>
      <c r="Q96">
        <v>0.66</v>
      </c>
      <c r="R96">
        <v>31.88</v>
      </c>
      <c r="S96">
        <v>386.73</v>
      </c>
      <c r="V96" t="s">
        <v>5288</v>
      </c>
      <c r="W96">
        <v>0.35799999999999998</v>
      </c>
      <c r="X96">
        <v>3</v>
      </c>
      <c r="Y96">
        <v>0.96399999999999997</v>
      </c>
      <c r="AA96">
        <v>0.93</v>
      </c>
      <c r="AB96">
        <v>15.66</v>
      </c>
      <c r="AE96">
        <v>3.15</v>
      </c>
      <c r="AF96">
        <v>1.76</v>
      </c>
      <c r="AI96">
        <v>3</v>
      </c>
      <c r="AL96">
        <v>96.247500000000002</v>
      </c>
    </row>
    <row r="97" spans="4:43">
      <c r="D97" t="s">
        <v>4577</v>
      </c>
      <c r="E97" t="s">
        <v>4308</v>
      </c>
      <c r="F97" t="s">
        <v>4574</v>
      </c>
      <c r="H97" t="s">
        <v>4575</v>
      </c>
      <c r="I97" t="s">
        <v>4946</v>
      </c>
      <c r="J97" t="s">
        <v>4578</v>
      </c>
      <c r="K97">
        <v>35</v>
      </c>
      <c r="M97">
        <v>35</v>
      </c>
      <c r="O97">
        <v>72.239000000000004</v>
      </c>
      <c r="P97">
        <v>-163.31700000000001</v>
      </c>
      <c r="Q97">
        <v>0.34</v>
      </c>
      <c r="R97">
        <v>32.159999999999997</v>
      </c>
      <c r="S97">
        <v>321.58199999999999</v>
      </c>
      <c r="V97" t="s">
        <v>5288</v>
      </c>
      <c r="W97">
        <v>0.42899999999999999</v>
      </c>
      <c r="X97">
        <v>1</v>
      </c>
      <c r="Y97">
        <v>0.76</v>
      </c>
      <c r="AA97">
        <v>1.18</v>
      </c>
      <c r="AB97">
        <v>16.73</v>
      </c>
      <c r="AE97">
        <v>2.96</v>
      </c>
      <c r="AF97">
        <v>2.17</v>
      </c>
      <c r="AI97">
        <v>1</v>
      </c>
      <c r="AL97">
        <v>73.347899999999996</v>
      </c>
      <c r="AQ97">
        <v>-1.583729178</v>
      </c>
    </row>
    <row r="98" spans="4:43">
      <c r="D98" t="s">
        <v>4579</v>
      </c>
      <c r="E98" t="s">
        <v>4308</v>
      </c>
      <c r="F98" t="s">
        <v>4574</v>
      </c>
      <c r="H98" t="s">
        <v>4575</v>
      </c>
      <c r="I98" t="s">
        <v>4946</v>
      </c>
      <c r="J98" t="s">
        <v>4580</v>
      </c>
      <c r="K98">
        <v>5</v>
      </c>
      <c r="M98">
        <v>5</v>
      </c>
      <c r="O98">
        <v>72.239000000000004</v>
      </c>
      <c r="P98">
        <v>-163.31700000000001</v>
      </c>
      <c r="Q98">
        <v>6.85</v>
      </c>
      <c r="R98">
        <v>31.28</v>
      </c>
      <c r="S98">
        <v>291.005</v>
      </c>
      <c r="V98" t="s">
        <v>5288</v>
      </c>
      <c r="W98">
        <v>0.30399999999999999</v>
      </c>
      <c r="X98">
        <v>6</v>
      </c>
      <c r="Y98">
        <v>0.27100000000000002</v>
      </c>
      <c r="AA98">
        <v>0.44</v>
      </c>
      <c r="AB98">
        <v>5.69</v>
      </c>
      <c r="AE98">
        <v>0.48</v>
      </c>
      <c r="AF98">
        <v>0.16</v>
      </c>
      <c r="AI98">
        <v>6</v>
      </c>
      <c r="AL98">
        <v>94.936499999999995</v>
      </c>
      <c r="AQ98">
        <v>-1.6341945010000001</v>
      </c>
    </row>
    <row r="99" spans="4:43">
      <c r="D99" t="s">
        <v>4581</v>
      </c>
      <c r="E99" t="s">
        <v>4308</v>
      </c>
      <c r="F99" t="s">
        <v>4582</v>
      </c>
      <c r="H99" t="s">
        <v>4583</v>
      </c>
      <c r="I99" t="s">
        <v>4950</v>
      </c>
      <c r="J99" t="s">
        <v>4584</v>
      </c>
      <c r="K99">
        <v>39</v>
      </c>
      <c r="M99">
        <v>40</v>
      </c>
      <c r="O99">
        <v>72.364999999999995</v>
      </c>
      <c r="P99">
        <v>-163.72200000000001</v>
      </c>
      <c r="Q99">
        <v>-0.1</v>
      </c>
      <c r="R99">
        <v>32.33</v>
      </c>
      <c r="S99">
        <v>331.029</v>
      </c>
      <c r="V99" t="s">
        <v>5288</v>
      </c>
      <c r="W99">
        <v>0.26800000000000002</v>
      </c>
      <c r="X99">
        <v>1</v>
      </c>
      <c r="Y99">
        <v>0.42</v>
      </c>
      <c r="AA99">
        <v>1.01</v>
      </c>
      <c r="AB99">
        <v>12.1</v>
      </c>
      <c r="AE99">
        <v>2.57</v>
      </c>
      <c r="AF99">
        <v>3.95</v>
      </c>
      <c r="AI99">
        <v>1</v>
      </c>
      <c r="AL99">
        <v>70.518799999999999</v>
      </c>
      <c r="AQ99">
        <v>-0.95376780900000002</v>
      </c>
    </row>
    <row r="100" spans="4:43">
      <c r="D100" t="s">
        <v>4585</v>
      </c>
      <c r="E100" t="s">
        <v>4308</v>
      </c>
      <c r="F100" t="s">
        <v>4582</v>
      </c>
      <c r="H100" t="s">
        <v>4583</v>
      </c>
      <c r="I100" t="s">
        <v>4950</v>
      </c>
      <c r="J100" t="s">
        <v>4586</v>
      </c>
      <c r="K100">
        <v>5</v>
      </c>
      <c r="M100">
        <v>5</v>
      </c>
      <c r="O100">
        <v>72.364999999999995</v>
      </c>
      <c r="P100">
        <v>-163.72200000000001</v>
      </c>
      <c r="Q100">
        <v>7.17</v>
      </c>
      <c r="R100">
        <v>31.35</v>
      </c>
      <c r="S100">
        <v>286.96800000000002</v>
      </c>
      <c r="V100" t="s">
        <v>5288</v>
      </c>
      <c r="W100">
        <v>0.35199999999999998</v>
      </c>
      <c r="X100">
        <v>5</v>
      </c>
      <c r="Y100">
        <v>0.33400000000000002</v>
      </c>
      <c r="AA100">
        <v>0.52</v>
      </c>
      <c r="AB100">
        <v>4.63</v>
      </c>
      <c r="AE100">
        <v>0.44</v>
      </c>
      <c r="AF100">
        <v>0.23</v>
      </c>
      <c r="AI100">
        <v>5</v>
      </c>
      <c r="AL100">
        <v>94.784300000000002</v>
      </c>
      <c r="AQ100">
        <v>-1.5253313639999999</v>
      </c>
    </row>
    <row r="101" spans="4:43">
      <c r="D101" t="s">
        <v>4587</v>
      </c>
      <c r="E101" t="s">
        <v>4308</v>
      </c>
      <c r="F101" t="s">
        <v>4588</v>
      </c>
      <c r="H101" t="s">
        <v>4589</v>
      </c>
      <c r="I101" t="s">
        <v>4953</v>
      </c>
      <c r="J101" t="s">
        <v>4590</v>
      </c>
      <c r="K101">
        <v>30</v>
      </c>
      <c r="M101">
        <v>30</v>
      </c>
      <c r="O101">
        <v>72.497</v>
      </c>
      <c r="P101">
        <v>-164.10300000000001</v>
      </c>
      <c r="Q101">
        <v>-1.04</v>
      </c>
      <c r="R101">
        <v>32.47</v>
      </c>
      <c r="S101">
        <v>283.70699999999999</v>
      </c>
      <c r="V101" t="s">
        <v>5288</v>
      </c>
      <c r="W101">
        <v>1.3819999999999999</v>
      </c>
      <c r="X101">
        <v>3</v>
      </c>
      <c r="Y101">
        <v>4.68</v>
      </c>
      <c r="AA101">
        <v>1.52</v>
      </c>
      <c r="AB101">
        <v>12.46</v>
      </c>
      <c r="AE101">
        <v>2.58</v>
      </c>
      <c r="AF101">
        <v>8.93</v>
      </c>
      <c r="AI101">
        <v>3</v>
      </c>
      <c r="AL101">
        <v>85.068200000000004</v>
      </c>
    </row>
    <row r="102" spans="4:43">
      <c r="D102" t="s">
        <v>4591</v>
      </c>
      <c r="E102" t="s">
        <v>4308</v>
      </c>
      <c r="F102" t="s">
        <v>4588</v>
      </c>
      <c r="H102" t="s">
        <v>4589</v>
      </c>
      <c r="I102" t="s">
        <v>4953</v>
      </c>
      <c r="J102" t="s">
        <v>4592</v>
      </c>
      <c r="K102">
        <v>44</v>
      </c>
      <c r="M102">
        <v>44</v>
      </c>
      <c r="O102">
        <v>72.497</v>
      </c>
      <c r="P102">
        <v>-164.10300000000001</v>
      </c>
      <c r="Q102">
        <v>-1.1499999999999999</v>
      </c>
      <c r="R102">
        <v>32.479999999999997</v>
      </c>
      <c r="S102">
        <v>269.50299999999999</v>
      </c>
      <c r="V102" t="s">
        <v>5288</v>
      </c>
      <c r="W102">
        <v>0.60199999999999998</v>
      </c>
      <c r="X102">
        <v>1</v>
      </c>
      <c r="Y102">
        <v>1.004</v>
      </c>
      <c r="AA102">
        <v>1.74</v>
      </c>
      <c r="AB102">
        <v>21.35</v>
      </c>
      <c r="AE102">
        <v>5.5</v>
      </c>
      <c r="AF102">
        <v>11</v>
      </c>
      <c r="AI102">
        <v>1</v>
      </c>
      <c r="AL102">
        <v>75.281999999999996</v>
      </c>
      <c r="AQ102">
        <v>-0.87018326400000001</v>
      </c>
    </row>
    <row r="103" spans="4:43">
      <c r="D103" t="s">
        <v>4593</v>
      </c>
      <c r="E103" t="s">
        <v>4308</v>
      </c>
      <c r="F103" t="s">
        <v>4588</v>
      </c>
      <c r="H103" t="s">
        <v>4589</v>
      </c>
      <c r="I103" t="s">
        <v>4953</v>
      </c>
      <c r="J103" t="s">
        <v>4594</v>
      </c>
      <c r="K103">
        <v>10</v>
      </c>
      <c r="M103">
        <v>10</v>
      </c>
      <c r="O103">
        <v>72.497</v>
      </c>
      <c r="P103">
        <v>-164.10300000000001</v>
      </c>
      <c r="Q103">
        <v>5.46</v>
      </c>
      <c r="R103">
        <v>30.99</v>
      </c>
      <c r="S103">
        <v>307.49299999999999</v>
      </c>
      <c r="V103" t="s">
        <v>5288</v>
      </c>
      <c r="W103">
        <v>0.38100000000000001</v>
      </c>
      <c r="X103">
        <v>6</v>
      </c>
      <c r="Y103">
        <v>0.248</v>
      </c>
      <c r="AA103">
        <v>0.38</v>
      </c>
      <c r="AB103">
        <v>4.63</v>
      </c>
      <c r="AE103">
        <v>0.56999999999999995</v>
      </c>
      <c r="AF103">
        <v>0.28999999999999998</v>
      </c>
      <c r="AI103">
        <v>6</v>
      </c>
      <c r="AL103">
        <v>94.496300000000005</v>
      </c>
    </row>
    <row r="104" spans="4:43">
      <c r="D104" t="s">
        <v>4595</v>
      </c>
      <c r="E104" t="s">
        <v>4308</v>
      </c>
      <c r="F104" t="s">
        <v>4596</v>
      </c>
      <c r="H104" t="s">
        <v>4597</v>
      </c>
      <c r="I104" t="s">
        <v>4891</v>
      </c>
      <c r="J104" t="s">
        <v>4598</v>
      </c>
      <c r="K104">
        <v>21</v>
      </c>
      <c r="M104">
        <v>20</v>
      </c>
      <c r="O104">
        <v>71.745000000000005</v>
      </c>
      <c r="P104">
        <v>-164.166</v>
      </c>
      <c r="Q104">
        <v>2.27</v>
      </c>
      <c r="R104">
        <v>32.1</v>
      </c>
      <c r="S104">
        <v>354.12</v>
      </c>
      <c r="V104" t="s">
        <v>5288</v>
      </c>
      <c r="W104">
        <v>1.736</v>
      </c>
      <c r="X104">
        <v>2</v>
      </c>
      <c r="Y104">
        <v>1.548</v>
      </c>
      <c r="AA104">
        <v>0.68</v>
      </c>
      <c r="AB104">
        <v>9.25</v>
      </c>
      <c r="AE104">
        <v>0.49</v>
      </c>
      <c r="AF104">
        <v>1.1399999999999999</v>
      </c>
      <c r="AI104">
        <v>2</v>
      </c>
      <c r="AL104">
        <v>90.549000000000007</v>
      </c>
    </row>
    <row r="105" spans="4:43">
      <c r="D105" t="s">
        <v>4599</v>
      </c>
      <c r="E105" t="s">
        <v>4308</v>
      </c>
      <c r="F105" t="s">
        <v>4596</v>
      </c>
      <c r="H105" t="s">
        <v>4597</v>
      </c>
      <c r="I105" t="s">
        <v>4891</v>
      </c>
      <c r="J105" t="s">
        <v>4600</v>
      </c>
      <c r="K105">
        <v>33</v>
      </c>
      <c r="M105">
        <v>33</v>
      </c>
      <c r="O105">
        <v>71.745000000000005</v>
      </c>
      <c r="P105">
        <v>-164.166</v>
      </c>
      <c r="Q105">
        <v>1.49</v>
      </c>
      <c r="R105">
        <v>32.18</v>
      </c>
      <c r="S105">
        <v>298.01600000000002</v>
      </c>
      <c r="V105" t="s">
        <v>5288</v>
      </c>
      <c r="W105">
        <v>1.0680000000000001</v>
      </c>
      <c r="X105">
        <v>1</v>
      </c>
      <c r="Y105">
        <v>1.3560000000000001</v>
      </c>
      <c r="AA105">
        <v>1.04</v>
      </c>
      <c r="AB105">
        <v>17.079999999999998</v>
      </c>
      <c r="AE105">
        <v>3.22</v>
      </c>
      <c r="AF105">
        <v>1.06</v>
      </c>
      <c r="AI105">
        <v>1</v>
      </c>
      <c r="AL105">
        <v>80.847300000000004</v>
      </c>
      <c r="AQ105">
        <v>-1.0159209549999999</v>
      </c>
    </row>
    <row r="106" spans="4:43">
      <c r="D106" t="s">
        <v>4601</v>
      </c>
      <c r="E106" t="s">
        <v>4308</v>
      </c>
      <c r="F106" t="s">
        <v>4596</v>
      </c>
      <c r="H106" t="s">
        <v>4597</v>
      </c>
      <c r="I106" t="s">
        <v>4891</v>
      </c>
      <c r="J106" t="s">
        <v>4602</v>
      </c>
      <c r="K106">
        <v>5</v>
      </c>
      <c r="M106">
        <v>5</v>
      </c>
      <c r="O106">
        <v>71.745000000000005</v>
      </c>
      <c r="P106">
        <v>-164.166</v>
      </c>
      <c r="Q106">
        <v>5.82</v>
      </c>
      <c r="R106">
        <v>30.77</v>
      </c>
      <c r="S106">
        <v>300.17899999999997</v>
      </c>
      <c r="V106" t="s">
        <v>5288</v>
      </c>
      <c r="W106">
        <v>0.34899999999999998</v>
      </c>
      <c r="X106">
        <v>4</v>
      </c>
      <c r="Y106">
        <v>0.23200000000000001</v>
      </c>
      <c r="AA106">
        <v>0.36</v>
      </c>
      <c r="AB106">
        <v>3.91</v>
      </c>
      <c r="AE106">
        <v>0.27</v>
      </c>
      <c r="AF106">
        <v>0.14000000000000001</v>
      </c>
      <c r="AI106">
        <v>4</v>
      </c>
      <c r="AL106">
        <v>94.438199999999995</v>
      </c>
      <c r="AQ106">
        <v>-1.1344726949999999</v>
      </c>
    </row>
    <row r="107" spans="4:43">
      <c r="D107" t="s">
        <v>4603</v>
      </c>
      <c r="E107" t="s">
        <v>4308</v>
      </c>
      <c r="F107" t="s">
        <v>4604</v>
      </c>
      <c r="H107" t="s">
        <v>4605</v>
      </c>
      <c r="I107" t="s">
        <v>4895</v>
      </c>
      <c r="J107" t="s">
        <v>4606</v>
      </c>
      <c r="K107">
        <v>20</v>
      </c>
      <c r="M107">
        <v>20</v>
      </c>
      <c r="O107">
        <v>71.870999999999995</v>
      </c>
      <c r="P107">
        <v>-164.55600000000001</v>
      </c>
      <c r="Q107">
        <v>6.21</v>
      </c>
      <c r="R107">
        <v>31.44</v>
      </c>
      <c r="S107">
        <v>316.44499999999999</v>
      </c>
      <c r="V107" t="s">
        <v>5288</v>
      </c>
      <c r="W107">
        <v>0.63600000000000001</v>
      </c>
      <c r="X107">
        <v>2</v>
      </c>
      <c r="Y107">
        <v>0.42399999999999999</v>
      </c>
      <c r="AA107">
        <v>0.5</v>
      </c>
      <c r="AB107">
        <v>6.41</v>
      </c>
      <c r="AE107">
        <v>0.37</v>
      </c>
      <c r="AF107">
        <v>0.51</v>
      </c>
      <c r="AI107">
        <v>2</v>
      </c>
      <c r="AL107">
        <v>94.5</v>
      </c>
    </row>
    <row r="108" spans="4:43">
      <c r="D108" t="s">
        <v>4607</v>
      </c>
      <c r="E108" t="s">
        <v>4308</v>
      </c>
      <c r="F108" t="s">
        <v>4604</v>
      </c>
      <c r="H108" t="s">
        <v>4605</v>
      </c>
      <c r="I108" t="s">
        <v>4895</v>
      </c>
      <c r="J108" t="s">
        <v>4608</v>
      </c>
      <c r="K108">
        <v>34</v>
      </c>
      <c r="M108">
        <v>34</v>
      </c>
      <c r="O108">
        <v>71.870999999999995</v>
      </c>
      <c r="P108">
        <v>-164.55600000000001</v>
      </c>
      <c r="Q108">
        <v>1.1299999999999999</v>
      </c>
      <c r="R108">
        <v>32.11</v>
      </c>
      <c r="S108">
        <v>302.875</v>
      </c>
      <c r="V108" t="s">
        <v>5288</v>
      </c>
      <c r="W108">
        <v>0.626</v>
      </c>
      <c r="X108">
        <v>1</v>
      </c>
      <c r="Y108">
        <v>0.57599999999999996</v>
      </c>
      <c r="AA108">
        <v>0.84</v>
      </c>
      <c r="AB108">
        <v>12.1</v>
      </c>
      <c r="AE108">
        <v>2.84</v>
      </c>
      <c r="AF108">
        <v>0.89</v>
      </c>
      <c r="AI108">
        <v>1</v>
      </c>
      <c r="AL108">
        <v>75.737399999999994</v>
      </c>
      <c r="AQ108">
        <v>-1.2701485749999999</v>
      </c>
    </row>
    <row r="109" spans="4:43">
      <c r="D109" t="s">
        <v>4609</v>
      </c>
      <c r="E109" t="s">
        <v>4308</v>
      </c>
      <c r="F109" t="s">
        <v>4604</v>
      </c>
      <c r="H109" t="s">
        <v>4605</v>
      </c>
      <c r="I109" t="s">
        <v>4895</v>
      </c>
      <c r="J109" t="s">
        <v>4610</v>
      </c>
      <c r="K109">
        <v>5</v>
      </c>
      <c r="M109">
        <v>5</v>
      </c>
      <c r="O109">
        <v>71.870999999999995</v>
      </c>
      <c r="P109">
        <v>-164.55600000000001</v>
      </c>
      <c r="Q109">
        <v>6.68</v>
      </c>
      <c r="R109">
        <v>31.38</v>
      </c>
      <c r="S109">
        <v>293.39400000000001</v>
      </c>
      <c r="V109" t="s">
        <v>5288</v>
      </c>
      <c r="W109">
        <v>0.442</v>
      </c>
      <c r="X109">
        <v>4</v>
      </c>
      <c r="Y109">
        <v>0.378</v>
      </c>
      <c r="AA109">
        <v>0.46</v>
      </c>
      <c r="AB109">
        <v>5.69</v>
      </c>
      <c r="AE109">
        <v>0.34</v>
      </c>
      <c r="AF109">
        <v>0.16</v>
      </c>
      <c r="AI109">
        <v>4</v>
      </c>
      <c r="AL109">
        <v>93.9542</v>
      </c>
      <c r="AQ109">
        <v>-1.3505003090000001</v>
      </c>
    </row>
    <row r="110" spans="4:43">
      <c r="D110" t="s">
        <v>4611</v>
      </c>
      <c r="E110" t="s">
        <v>4308</v>
      </c>
      <c r="F110" t="s">
        <v>4612</v>
      </c>
      <c r="H110" t="s">
        <v>4613</v>
      </c>
      <c r="I110" t="s">
        <v>4900</v>
      </c>
      <c r="J110" t="s">
        <v>4614</v>
      </c>
      <c r="K110">
        <v>36</v>
      </c>
      <c r="M110">
        <v>36</v>
      </c>
      <c r="O110">
        <v>71.994</v>
      </c>
      <c r="P110">
        <v>-164.95400000000001</v>
      </c>
      <c r="Q110">
        <v>1.41</v>
      </c>
      <c r="R110">
        <v>32.08</v>
      </c>
      <c r="S110">
        <v>300.166</v>
      </c>
      <c r="V110" t="s">
        <v>5288</v>
      </c>
      <c r="W110">
        <v>0.51800000000000002</v>
      </c>
      <c r="X110">
        <v>1</v>
      </c>
      <c r="Y110">
        <v>0.65600000000000003</v>
      </c>
      <c r="AA110">
        <v>1.01</v>
      </c>
      <c r="AB110">
        <v>15.66</v>
      </c>
      <c r="AE110">
        <v>2.65</v>
      </c>
      <c r="AF110">
        <v>3.87</v>
      </c>
      <c r="AI110">
        <v>1</v>
      </c>
      <c r="AL110">
        <v>78.046599999999998</v>
      </c>
      <c r="AQ110">
        <v>-0.68800038900000005</v>
      </c>
    </row>
    <row r="111" spans="4:43">
      <c r="D111" t="s">
        <v>4615</v>
      </c>
      <c r="E111" t="s">
        <v>4308</v>
      </c>
      <c r="F111" t="s">
        <v>4612</v>
      </c>
      <c r="H111" t="s">
        <v>4613</v>
      </c>
      <c r="I111" t="s">
        <v>4900</v>
      </c>
      <c r="J111" t="s">
        <v>4616</v>
      </c>
      <c r="K111">
        <v>5</v>
      </c>
      <c r="M111">
        <v>5</v>
      </c>
      <c r="O111">
        <v>71.994</v>
      </c>
      <c r="P111">
        <v>-164.95400000000001</v>
      </c>
      <c r="Q111">
        <v>7.29</v>
      </c>
      <c r="R111">
        <v>31.11</v>
      </c>
      <c r="S111">
        <v>286.71199999999999</v>
      </c>
      <c r="V111" t="s">
        <v>5288</v>
      </c>
      <c r="W111">
        <v>0.41199999999999998</v>
      </c>
      <c r="X111">
        <v>5</v>
      </c>
      <c r="Y111">
        <v>0.16500000000000001</v>
      </c>
      <c r="AA111">
        <v>0.51</v>
      </c>
      <c r="AB111">
        <v>5.69</v>
      </c>
      <c r="AE111">
        <v>0.24</v>
      </c>
      <c r="AF111">
        <v>0.2</v>
      </c>
      <c r="AI111">
        <v>5</v>
      </c>
      <c r="AL111">
        <v>93.736999999999995</v>
      </c>
      <c r="AQ111">
        <v>-1.2163410429999999</v>
      </c>
    </row>
    <row r="112" spans="4:43">
      <c r="D112" t="s">
        <v>4617</v>
      </c>
      <c r="E112" t="s">
        <v>4308</v>
      </c>
      <c r="F112" t="s">
        <v>5289</v>
      </c>
      <c r="H112" t="s">
        <v>4618</v>
      </c>
      <c r="I112" t="s">
        <v>4929</v>
      </c>
      <c r="J112" t="s">
        <v>4619</v>
      </c>
      <c r="K112">
        <v>26</v>
      </c>
      <c r="M112">
        <v>26</v>
      </c>
      <c r="O112">
        <v>71.488</v>
      </c>
      <c r="P112">
        <v>-163.393</v>
      </c>
      <c r="Q112">
        <v>1.06</v>
      </c>
      <c r="R112">
        <v>32.21</v>
      </c>
      <c r="S112">
        <v>347.983</v>
      </c>
      <c r="V112" t="s">
        <v>5288</v>
      </c>
      <c r="W112">
        <v>3.0979999999999999</v>
      </c>
      <c r="X112">
        <v>4</v>
      </c>
      <c r="Y112">
        <v>3.0880000000000001</v>
      </c>
      <c r="AA112">
        <v>1.05</v>
      </c>
      <c r="AB112">
        <v>12.81</v>
      </c>
      <c r="AE112">
        <v>2.41</v>
      </c>
      <c r="AF112">
        <v>2.34</v>
      </c>
      <c r="AI112">
        <v>4</v>
      </c>
      <c r="AL112">
        <v>84.000900000000001</v>
      </c>
    </row>
    <row r="113" spans="4:43">
      <c r="D113" t="s">
        <v>4620</v>
      </c>
      <c r="E113" t="s">
        <v>4308</v>
      </c>
      <c r="F113" t="s">
        <v>5289</v>
      </c>
      <c r="H113" t="s">
        <v>4618</v>
      </c>
      <c r="I113" t="s">
        <v>4929</v>
      </c>
      <c r="J113" t="s">
        <v>4621</v>
      </c>
      <c r="K113">
        <v>38</v>
      </c>
      <c r="M113">
        <v>38</v>
      </c>
      <c r="O113">
        <v>71.488</v>
      </c>
      <c r="P113">
        <v>-163.393</v>
      </c>
      <c r="Q113">
        <v>0.71</v>
      </c>
      <c r="R113">
        <v>32.229999999999997</v>
      </c>
      <c r="S113">
        <v>299.68099999999998</v>
      </c>
      <c r="V113" t="s">
        <v>5288</v>
      </c>
      <c r="W113">
        <v>1.3540000000000001</v>
      </c>
      <c r="X113">
        <v>1</v>
      </c>
      <c r="Y113">
        <v>2.1160000000000001</v>
      </c>
      <c r="AA113">
        <v>1.5</v>
      </c>
      <c r="AB113">
        <v>14.23</v>
      </c>
      <c r="AE113">
        <v>3.68</v>
      </c>
      <c r="AF113">
        <v>2.66</v>
      </c>
      <c r="AI113">
        <v>1</v>
      </c>
      <c r="AL113">
        <v>80.980900000000005</v>
      </c>
      <c r="AQ113">
        <v>-1.0594476779999999</v>
      </c>
    </row>
    <row r="114" spans="4:43">
      <c r="D114" t="s">
        <v>4622</v>
      </c>
      <c r="E114" t="s">
        <v>4308</v>
      </c>
      <c r="F114" t="s">
        <v>5289</v>
      </c>
      <c r="H114" t="s">
        <v>4618</v>
      </c>
      <c r="I114" t="s">
        <v>4929</v>
      </c>
      <c r="J114" t="s">
        <v>4623</v>
      </c>
      <c r="K114">
        <v>5</v>
      </c>
      <c r="M114">
        <v>5</v>
      </c>
      <c r="O114">
        <v>71.488</v>
      </c>
      <c r="P114">
        <v>-163.393</v>
      </c>
      <c r="Q114">
        <v>5.82</v>
      </c>
      <c r="R114">
        <v>30.67</v>
      </c>
      <c r="S114">
        <v>299.57299999999998</v>
      </c>
      <c r="V114" t="s">
        <v>5288</v>
      </c>
      <c r="W114">
        <v>0.33500000000000002</v>
      </c>
      <c r="X114">
        <v>7</v>
      </c>
      <c r="Y114">
        <v>0.22600000000000001</v>
      </c>
      <c r="AA114">
        <v>0.28999999999999998</v>
      </c>
      <c r="AB114">
        <v>3.56</v>
      </c>
      <c r="AE114">
        <v>0.61</v>
      </c>
      <c r="AF114">
        <v>0.59</v>
      </c>
      <c r="AI114">
        <v>7</v>
      </c>
      <c r="AL114">
        <v>94.464100000000002</v>
      </c>
      <c r="AQ114">
        <v>-1.269667192</v>
      </c>
    </row>
    <row r="115" spans="4:43">
      <c r="D115" t="s">
        <v>4624</v>
      </c>
      <c r="E115" t="s">
        <v>4308</v>
      </c>
      <c r="F115" t="s">
        <v>5290</v>
      </c>
      <c r="H115" t="s">
        <v>4625</v>
      </c>
      <c r="I115" t="s">
        <v>4913</v>
      </c>
      <c r="J115" t="s">
        <v>4626</v>
      </c>
      <c r="K115">
        <v>41</v>
      </c>
      <c r="M115">
        <v>41</v>
      </c>
      <c r="O115">
        <v>70.972999999999999</v>
      </c>
      <c r="P115">
        <v>-161.90100000000001</v>
      </c>
      <c r="Q115">
        <v>-0.89</v>
      </c>
      <c r="R115">
        <v>32.229999999999997</v>
      </c>
      <c r="S115">
        <v>356.00700000000001</v>
      </c>
      <c r="V115" t="s">
        <v>5288</v>
      </c>
      <c r="W115">
        <v>1.1759999999999999</v>
      </c>
      <c r="X115">
        <v>1</v>
      </c>
      <c r="Y115">
        <v>1.92</v>
      </c>
      <c r="AA115">
        <v>1.01</v>
      </c>
      <c r="AB115">
        <v>6.76</v>
      </c>
      <c r="AE115">
        <v>1.87</v>
      </c>
      <c r="AF115">
        <v>5.24</v>
      </c>
      <c r="AI115">
        <v>1</v>
      </c>
      <c r="AL115">
        <v>86.488100000000003</v>
      </c>
      <c r="AQ115">
        <v>-0.73070381600000001</v>
      </c>
    </row>
    <row r="116" spans="4:43">
      <c r="D116" t="s">
        <v>4627</v>
      </c>
      <c r="E116" t="s">
        <v>4308</v>
      </c>
      <c r="F116" t="s">
        <v>5290</v>
      </c>
      <c r="H116" t="s">
        <v>4625</v>
      </c>
      <c r="I116" t="s">
        <v>4913</v>
      </c>
      <c r="J116" t="s">
        <v>4628</v>
      </c>
      <c r="K116">
        <v>5</v>
      </c>
      <c r="M116">
        <v>5</v>
      </c>
      <c r="O116">
        <v>70.972999999999999</v>
      </c>
      <c r="P116">
        <v>-161.90100000000001</v>
      </c>
      <c r="Q116">
        <v>7.21</v>
      </c>
      <c r="R116">
        <v>30.88</v>
      </c>
      <c r="S116">
        <v>291.13200000000001</v>
      </c>
      <c r="V116" t="s">
        <v>5288</v>
      </c>
      <c r="W116">
        <v>0.46300000000000002</v>
      </c>
      <c r="X116">
        <v>5</v>
      </c>
      <c r="Y116">
        <v>0.44800000000000001</v>
      </c>
      <c r="AA116">
        <v>0.48</v>
      </c>
      <c r="AB116">
        <v>5.69</v>
      </c>
      <c r="AE116">
        <v>0.34</v>
      </c>
      <c r="AF116">
        <v>0.61</v>
      </c>
      <c r="AI116">
        <v>5</v>
      </c>
      <c r="AL116">
        <v>94.300299999999993</v>
      </c>
      <c r="AQ116">
        <v>-1.272209291</v>
      </c>
    </row>
    <row r="117" spans="4:43">
      <c r="D117" t="s">
        <v>4629</v>
      </c>
      <c r="E117" t="s">
        <v>4308</v>
      </c>
      <c r="F117" t="s">
        <v>5291</v>
      </c>
      <c r="H117" t="s">
        <v>4630</v>
      </c>
      <c r="I117" t="s">
        <v>4917</v>
      </c>
      <c r="J117" t="s">
        <v>4631</v>
      </c>
      <c r="K117">
        <v>5</v>
      </c>
      <c r="M117">
        <v>5</v>
      </c>
      <c r="O117">
        <v>71.103999999999999</v>
      </c>
      <c r="P117">
        <v>-162.255</v>
      </c>
      <c r="Q117">
        <v>7.53</v>
      </c>
      <c r="R117">
        <v>30.77</v>
      </c>
      <c r="S117">
        <v>288.35000000000002</v>
      </c>
      <c r="V117" t="s">
        <v>5288</v>
      </c>
      <c r="W117">
        <v>0.47899999999999998</v>
      </c>
      <c r="X117">
        <v>5</v>
      </c>
      <c r="Y117">
        <v>0.45600000000000002</v>
      </c>
      <c r="AA117">
        <v>0.51</v>
      </c>
      <c r="AB117">
        <v>5.69</v>
      </c>
      <c r="AE117">
        <v>0.61</v>
      </c>
      <c r="AF117">
        <v>0.34</v>
      </c>
      <c r="AI117">
        <v>5</v>
      </c>
      <c r="AL117">
        <v>93.6614</v>
      </c>
      <c r="AQ117">
        <v>-1.5867014340000001</v>
      </c>
    </row>
    <row r="118" spans="4:43">
      <c r="D118" t="s">
        <v>4632</v>
      </c>
      <c r="E118" t="s">
        <v>4308</v>
      </c>
      <c r="F118" t="s">
        <v>5291</v>
      </c>
      <c r="H118" t="s">
        <v>4630</v>
      </c>
      <c r="I118" t="s">
        <v>4917</v>
      </c>
      <c r="J118" t="s">
        <v>4633</v>
      </c>
      <c r="K118">
        <v>43</v>
      </c>
      <c r="M118">
        <v>42</v>
      </c>
      <c r="O118">
        <v>71.103999999999999</v>
      </c>
      <c r="P118">
        <v>-162.255</v>
      </c>
      <c r="Q118">
        <v>-1.19</v>
      </c>
      <c r="R118">
        <v>32.270000000000003</v>
      </c>
      <c r="S118">
        <v>335.14499999999998</v>
      </c>
      <c r="V118" t="s">
        <v>5288</v>
      </c>
      <c r="W118">
        <v>1.4510000000000001</v>
      </c>
      <c r="X118">
        <v>1</v>
      </c>
      <c r="Y118">
        <v>2.6560000000000001</v>
      </c>
      <c r="AA118">
        <v>1.27</v>
      </c>
      <c r="AB118">
        <v>6.41</v>
      </c>
      <c r="AE118">
        <v>6.73</v>
      </c>
      <c r="AF118">
        <v>3.73</v>
      </c>
      <c r="AI118">
        <v>1</v>
      </c>
      <c r="AL118">
        <v>84.430499999999995</v>
      </c>
      <c r="AQ118">
        <v>-0.81631784600000001</v>
      </c>
    </row>
    <row r="119" spans="4:43">
      <c r="D119" t="s">
        <v>4634</v>
      </c>
      <c r="E119" t="s">
        <v>4308</v>
      </c>
      <c r="F119" t="s">
        <v>5292</v>
      </c>
      <c r="H119" t="s">
        <v>4635</v>
      </c>
      <c r="I119" t="s">
        <v>4921</v>
      </c>
      <c r="J119" t="s">
        <v>4636</v>
      </c>
      <c r="K119">
        <v>41</v>
      </c>
      <c r="M119">
        <v>41</v>
      </c>
      <c r="O119">
        <v>71.233000000000004</v>
      </c>
      <c r="P119">
        <v>-162.636</v>
      </c>
      <c r="Q119">
        <v>-1.3</v>
      </c>
      <c r="R119">
        <v>32.26</v>
      </c>
      <c r="S119">
        <v>308.61900000000003</v>
      </c>
      <c r="V119" t="s">
        <v>5288</v>
      </c>
      <c r="W119">
        <v>5.1529999999999996</v>
      </c>
      <c r="X119">
        <v>1</v>
      </c>
      <c r="Y119">
        <v>11.36</v>
      </c>
      <c r="AA119">
        <v>1.42</v>
      </c>
      <c r="AB119">
        <v>18.510000000000002</v>
      </c>
      <c r="AE119">
        <v>3.66</v>
      </c>
      <c r="AF119">
        <v>10.210000000000001</v>
      </c>
      <c r="AI119">
        <v>1</v>
      </c>
      <c r="AL119">
        <v>78.595100000000002</v>
      </c>
      <c r="AQ119">
        <v>-0.335358239</v>
      </c>
    </row>
    <row r="120" spans="4:43">
      <c r="D120" t="s">
        <v>4637</v>
      </c>
      <c r="E120" t="s">
        <v>4308</v>
      </c>
      <c r="F120" t="s">
        <v>5292</v>
      </c>
      <c r="H120" t="s">
        <v>4635</v>
      </c>
      <c r="I120" t="s">
        <v>4921</v>
      </c>
      <c r="J120" t="s">
        <v>4638</v>
      </c>
      <c r="K120">
        <v>5</v>
      </c>
      <c r="M120">
        <v>5</v>
      </c>
      <c r="O120">
        <v>71.233000000000004</v>
      </c>
      <c r="P120">
        <v>-162.636</v>
      </c>
      <c r="Q120">
        <v>5.73</v>
      </c>
      <c r="R120">
        <v>30.25</v>
      </c>
      <c r="S120">
        <v>308.76299999999998</v>
      </c>
      <c r="V120" t="s">
        <v>5288</v>
      </c>
      <c r="W120">
        <v>0.193</v>
      </c>
      <c r="X120">
        <v>5</v>
      </c>
      <c r="Y120">
        <v>0.185</v>
      </c>
      <c r="AA120">
        <v>0.27</v>
      </c>
      <c r="AB120">
        <v>4.2699999999999996</v>
      </c>
      <c r="AE120">
        <v>0.35</v>
      </c>
      <c r="AF120">
        <v>0.28999999999999998</v>
      </c>
      <c r="AI120">
        <v>5</v>
      </c>
      <c r="AL120">
        <v>95.874399999999994</v>
      </c>
      <c r="AQ120">
        <v>-0.90762247299999999</v>
      </c>
    </row>
    <row r="121" spans="4:43">
      <c r="D121" t="s">
        <v>4639</v>
      </c>
      <c r="E121" t="s">
        <v>4308</v>
      </c>
      <c r="F121" t="s">
        <v>5293</v>
      </c>
      <c r="H121" t="s">
        <v>4640</v>
      </c>
      <c r="I121" t="s">
        <v>4925</v>
      </c>
      <c r="J121" t="s">
        <v>4641</v>
      </c>
      <c r="K121">
        <v>40</v>
      </c>
      <c r="M121">
        <v>40</v>
      </c>
      <c r="O121">
        <v>71.361999999999995</v>
      </c>
      <c r="P121">
        <v>-163.00299999999999</v>
      </c>
      <c r="Q121">
        <v>-0.28000000000000003</v>
      </c>
      <c r="R121">
        <v>32.200000000000003</v>
      </c>
      <c r="S121">
        <v>340.06299999999999</v>
      </c>
      <c r="V121" t="s">
        <v>5288</v>
      </c>
      <c r="W121">
        <v>2.585</v>
      </c>
      <c r="X121">
        <v>4</v>
      </c>
      <c r="Y121">
        <v>4.2</v>
      </c>
      <c r="AA121">
        <v>1.05</v>
      </c>
      <c r="AB121">
        <v>9.25</v>
      </c>
      <c r="AE121">
        <v>2.65</v>
      </c>
      <c r="AF121">
        <v>6.99</v>
      </c>
      <c r="AI121">
        <v>4</v>
      </c>
      <c r="AL121">
        <v>82.043099999999995</v>
      </c>
      <c r="AQ121">
        <v>-0.59959249000000003</v>
      </c>
    </row>
    <row r="122" spans="4:43">
      <c r="D122" t="s">
        <v>4642</v>
      </c>
      <c r="E122" t="s">
        <v>4308</v>
      </c>
      <c r="F122" t="s">
        <v>5293</v>
      </c>
      <c r="H122" t="s">
        <v>4640</v>
      </c>
      <c r="I122" t="s">
        <v>4925</v>
      </c>
      <c r="J122" t="s">
        <v>4643</v>
      </c>
      <c r="K122">
        <v>5</v>
      </c>
      <c r="M122">
        <v>5</v>
      </c>
      <c r="O122">
        <v>71.361999999999995</v>
      </c>
      <c r="P122">
        <v>-163.00299999999999</v>
      </c>
      <c r="Q122">
        <v>5.5</v>
      </c>
      <c r="R122">
        <v>29.51</v>
      </c>
      <c r="S122">
        <v>313.90800000000002</v>
      </c>
      <c r="V122" t="s">
        <v>5288</v>
      </c>
      <c r="W122">
        <v>0.16600000000000001</v>
      </c>
      <c r="X122">
        <v>8</v>
      </c>
      <c r="Y122">
        <v>0.17499999999999999</v>
      </c>
      <c r="AA122">
        <v>0.21</v>
      </c>
      <c r="AB122">
        <v>3.91</v>
      </c>
      <c r="AE122">
        <v>0.28999999999999998</v>
      </c>
      <c r="AF122">
        <v>0.27</v>
      </c>
      <c r="AI122">
        <v>8</v>
      </c>
      <c r="AL122">
        <v>95.699600000000004</v>
      </c>
      <c r="AQ122">
        <v>-1.1879151590000001</v>
      </c>
    </row>
    <row r="123" spans="4:43">
      <c r="D123" t="s">
        <v>4644</v>
      </c>
      <c r="E123" t="s">
        <v>4308</v>
      </c>
      <c r="F123" t="s">
        <v>4645</v>
      </c>
      <c r="H123" t="s">
        <v>4646</v>
      </c>
      <c r="I123" t="s">
        <v>4888</v>
      </c>
      <c r="J123" t="s">
        <v>4647</v>
      </c>
      <c r="K123">
        <v>13</v>
      </c>
      <c r="M123">
        <v>13</v>
      </c>
      <c r="O123">
        <v>70.495999999999995</v>
      </c>
      <c r="P123">
        <v>-160.62200000000001</v>
      </c>
      <c r="Q123">
        <v>2.21</v>
      </c>
      <c r="R123">
        <v>31.79</v>
      </c>
      <c r="S123">
        <v>306.68200000000002</v>
      </c>
      <c r="V123" t="s">
        <v>5288</v>
      </c>
      <c r="W123">
        <v>1.097</v>
      </c>
      <c r="X123">
        <v>1</v>
      </c>
      <c r="Y123">
        <v>2.6040000000000001</v>
      </c>
      <c r="AA123">
        <v>0.65</v>
      </c>
      <c r="AB123">
        <v>13.52</v>
      </c>
      <c r="AE123">
        <v>1.6</v>
      </c>
      <c r="AF123">
        <v>1.86</v>
      </c>
      <c r="AI123">
        <v>1</v>
      </c>
      <c r="AL123">
        <v>79.222899999999996</v>
      </c>
      <c r="AQ123">
        <v>-1.631711911</v>
      </c>
    </row>
    <row r="124" spans="4:43">
      <c r="D124" t="s">
        <v>4648</v>
      </c>
      <c r="E124" t="s">
        <v>4308</v>
      </c>
      <c r="F124" t="s">
        <v>4645</v>
      </c>
      <c r="H124" t="s">
        <v>4646</v>
      </c>
      <c r="I124" t="s">
        <v>4888</v>
      </c>
      <c r="J124" t="s">
        <v>4649</v>
      </c>
      <c r="K124">
        <v>5</v>
      </c>
      <c r="M124">
        <v>5</v>
      </c>
      <c r="O124">
        <v>70.495999999999995</v>
      </c>
      <c r="P124">
        <v>-160.62200000000001</v>
      </c>
      <c r="Q124">
        <v>4.41</v>
      </c>
      <c r="R124">
        <v>31.49</v>
      </c>
      <c r="S124">
        <v>311.61500000000001</v>
      </c>
      <c r="V124" t="s">
        <v>5288</v>
      </c>
      <c r="W124">
        <v>2.7810000000000001</v>
      </c>
      <c r="X124">
        <v>2</v>
      </c>
      <c r="Y124">
        <v>4.28</v>
      </c>
      <c r="AA124">
        <v>0.68</v>
      </c>
      <c r="AB124">
        <v>12.81</v>
      </c>
      <c r="AE124">
        <v>0.77</v>
      </c>
      <c r="AF124">
        <v>0.71</v>
      </c>
      <c r="AI124">
        <v>2</v>
      </c>
      <c r="AL124">
        <v>79.695899999999995</v>
      </c>
      <c r="AQ124">
        <v>-1.3047037779999999</v>
      </c>
    </row>
    <row r="125" spans="4:43">
      <c r="D125" t="s">
        <v>4650</v>
      </c>
      <c r="E125" t="s">
        <v>4308</v>
      </c>
      <c r="F125" t="s">
        <v>4651</v>
      </c>
      <c r="H125" t="s">
        <v>4652</v>
      </c>
      <c r="I125" t="s">
        <v>4904</v>
      </c>
      <c r="J125" t="s">
        <v>4653</v>
      </c>
      <c r="K125">
        <v>22</v>
      </c>
      <c r="M125">
        <v>22</v>
      </c>
      <c r="O125">
        <v>70.578000000000003</v>
      </c>
      <c r="P125">
        <v>-160.83600000000001</v>
      </c>
      <c r="Q125">
        <v>1.61</v>
      </c>
      <c r="R125">
        <v>32.01</v>
      </c>
      <c r="S125">
        <v>303.40100000000001</v>
      </c>
      <c r="V125" t="s">
        <v>5288</v>
      </c>
      <c r="W125">
        <v>0.55000000000000004</v>
      </c>
      <c r="X125">
        <v>1</v>
      </c>
      <c r="Y125">
        <v>0.98399999999999999</v>
      </c>
      <c r="AA125">
        <v>1.0900000000000001</v>
      </c>
      <c r="AB125">
        <v>14.23</v>
      </c>
      <c r="AE125">
        <v>3.77</v>
      </c>
      <c r="AF125">
        <v>4.63</v>
      </c>
      <c r="AI125">
        <v>1</v>
      </c>
      <c r="AL125">
        <v>82.976299999999995</v>
      </c>
      <c r="AQ125">
        <v>-1.351419226</v>
      </c>
    </row>
    <row r="126" spans="4:43">
      <c r="D126" t="s">
        <v>4654</v>
      </c>
      <c r="E126" t="s">
        <v>4308</v>
      </c>
      <c r="F126" t="s">
        <v>4651</v>
      </c>
      <c r="H126" t="s">
        <v>4652</v>
      </c>
      <c r="I126" t="s">
        <v>4904</v>
      </c>
      <c r="J126" t="s">
        <v>4655</v>
      </c>
      <c r="K126">
        <v>5</v>
      </c>
      <c r="M126">
        <v>5</v>
      </c>
      <c r="O126">
        <v>70.578000000000003</v>
      </c>
      <c r="P126">
        <v>-160.83600000000001</v>
      </c>
      <c r="Q126">
        <v>7.85</v>
      </c>
      <c r="R126">
        <v>30.81</v>
      </c>
      <c r="S126">
        <v>285.43299999999999</v>
      </c>
      <c r="V126" t="s">
        <v>5288</v>
      </c>
      <c r="W126">
        <v>0.72699999999999998</v>
      </c>
      <c r="X126">
        <v>3</v>
      </c>
      <c r="Y126">
        <v>0.92</v>
      </c>
      <c r="AA126">
        <v>0.37</v>
      </c>
      <c r="AB126">
        <v>7.12</v>
      </c>
      <c r="AE126">
        <v>0.6</v>
      </c>
      <c r="AF126">
        <v>0.71</v>
      </c>
      <c r="AI126">
        <v>3</v>
      </c>
      <c r="AL126">
        <v>91.580500000000001</v>
      </c>
      <c r="AQ126">
        <v>-2.5776997260000001</v>
      </c>
    </row>
    <row r="127" spans="4:43">
      <c r="D127" t="s">
        <v>4656</v>
      </c>
      <c r="E127" t="s">
        <v>4308</v>
      </c>
      <c r="F127" t="s">
        <v>4657</v>
      </c>
      <c r="H127" t="s">
        <v>4658</v>
      </c>
      <c r="I127" t="s">
        <v>4909</v>
      </c>
      <c r="J127" t="s">
        <v>4659</v>
      </c>
      <c r="K127">
        <v>35</v>
      </c>
      <c r="M127">
        <v>35</v>
      </c>
      <c r="O127">
        <v>70.715000000000003</v>
      </c>
      <c r="P127">
        <v>-161.179</v>
      </c>
      <c r="Q127">
        <v>1.1100000000000001</v>
      </c>
      <c r="R127">
        <v>32.020000000000003</v>
      </c>
      <c r="S127">
        <v>309.64400000000001</v>
      </c>
      <c r="V127" t="s">
        <v>5288</v>
      </c>
      <c r="W127">
        <v>0.53800000000000003</v>
      </c>
      <c r="X127">
        <v>1</v>
      </c>
      <c r="Y127">
        <v>0.64800000000000002</v>
      </c>
      <c r="AA127">
        <v>1.07</v>
      </c>
      <c r="AB127">
        <v>14.23</v>
      </c>
      <c r="AE127">
        <v>2.84</v>
      </c>
      <c r="AF127">
        <v>1.56</v>
      </c>
      <c r="AI127">
        <v>1</v>
      </c>
      <c r="AL127">
        <v>80.483699999999999</v>
      </c>
      <c r="AQ127">
        <v>-1.2346306060000001</v>
      </c>
    </row>
    <row r="128" spans="4:43">
      <c r="D128" t="s">
        <v>4660</v>
      </c>
      <c r="E128" t="s">
        <v>4308</v>
      </c>
      <c r="F128" t="s">
        <v>4657</v>
      </c>
      <c r="H128" t="s">
        <v>4658</v>
      </c>
      <c r="I128" t="s">
        <v>4909</v>
      </c>
      <c r="J128" t="s">
        <v>4661</v>
      </c>
      <c r="K128">
        <v>5</v>
      </c>
      <c r="M128">
        <v>5</v>
      </c>
      <c r="O128">
        <v>70.715000000000003</v>
      </c>
      <c r="P128">
        <v>-161.179</v>
      </c>
      <c r="Q128">
        <v>7.65</v>
      </c>
      <c r="R128">
        <v>30.8</v>
      </c>
      <c r="S128">
        <v>289.54000000000002</v>
      </c>
      <c r="V128" t="s">
        <v>5288</v>
      </c>
      <c r="W128">
        <v>0.81399999999999995</v>
      </c>
      <c r="X128">
        <v>5</v>
      </c>
      <c r="Y128">
        <v>0.88400000000000001</v>
      </c>
      <c r="AA128">
        <v>0.46</v>
      </c>
      <c r="AB128">
        <v>5.69</v>
      </c>
      <c r="AE128">
        <v>0.22</v>
      </c>
      <c r="AF128">
        <v>0.35</v>
      </c>
      <c r="AI128">
        <v>5</v>
      </c>
      <c r="AL128">
        <v>90.973299999999995</v>
      </c>
      <c r="AQ128">
        <v>-1.9309827479999999</v>
      </c>
    </row>
    <row r="129" spans="4:46">
      <c r="D129" t="s">
        <v>4662</v>
      </c>
      <c r="E129" t="s">
        <v>4308</v>
      </c>
      <c r="F129" t="s">
        <v>4663</v>
      </c>
      <c r="H129" t="s">
        <v>4664</v>
      </c>
      <c r="I129" t="s">
        <v>4989</v>
      </c>
      <c r="J129" t="s">
        <v>4665</v>
      </c>
      <c r="K129">
        <v>35</v>
      </c>
      <c r="M129">
        <v>35</v>
      </c>
      <c r="O129">
        <v>71.602999999999994</v>
      </c>
      <c r="P129">
        <v>-162.202</v>
      </c>
      <c r="Q129">
        <v>-0.31</v>
      </c>
      <c r="R129">
        <v>32.19</v>
      </c>
      <c r="S129">
        <v>305.63299999999998</v>
      </c>
      <c r="V129" t="s">
        <v>5288</v>
      </c>
      <c r="W129">
        <v>2.1070000000000002</v>
      </c>
      <c r="X129">
        <v>1</v>
      </c>
      <c r="Y129">
        <v>5.16</v>
      </c>
      <c r="AA129">
        <v>1.51</v>
      </c>
      <c r="AB129">
        <v>20.28</v>
      </c>
      <c r="AE129">
        <v>2.66</v>
      </c>
      <c r="AF129">
        <v>3.97</v>
      </c>
      <c r="AI129">
        <v>1</v>
      </c>
      <c r="AL129">
        <v>4.9874000000000001</v>
      </c>
      <c r="AQ129">
        <v>-0.86382674100000001</v>
      </c>
    </row>
    <row r="130" spans="4:46">
      <c r="D130" t="s">
        <v>4666</v>
      </c>
      <c r="E130" t="s">
        <v>4308</v>
      </c>
      <c r="F130" t="s">
        <v>4663</v>
      </c>
      <c r="H130" t="s">
        <v>4664</v>
      </c>
      <c r="I130" t="s">
        <v>4989</v>
      </c>
      <c r="J130" t="s">
        <v>4667</v>
      </c>
      <c r="K130">
        <v>6</v>
      </c>
      <c r="M130">
        <v>6</v>
      </c>
      <c r="O130">
        <v>71.602999999999994</v>
      </c>
      <c r="P130">
        <v>-162.202</v>
      </c>
      <c r="Q130">
        <v>2.31</v>
      </c>
      <c r="R130">
        <v>30.78</v>
      </c>
      <c r="S130">
        <v>331.30399999999997</v>
      </c>
      <c r="V130" t="s">
        <v>5288</v>
      </c>
      <c r="W130">
        <v>1.9419999999999999</v>
      </c>
      <c r="X130">
        <v>5</v>
      </c>
      <c r="Y130">
        <v>3.528</v>
      </c>
      <c r="AA130">
        <v>0.45</v>
      </c>
      <c r="AB130">
        <v>9.25</v>
      </c>
      <c r="AE130">
        <v>0.52</v>
      </c>
      <c r="AF130">
        <v>0.84</v>
      </c>
      <c r="AI130">
        <v>5</v>
      </c>
      <c r="AL130">
        <v>78.084699999999998</v>
      </c>
      <c r="AQ130">
        <v>-1.104703268</v>
      </c>
    </row>
    <row r="131" spans="4:46">
      <c r="D131" t="s">
        <v>4668</v>
      </c>
      <c r="E131" t="s">
        <v>4308</v>
      </c>
      <c r="F131" t="s">
        <v>4669</v>
      </c>
      <c r="H131" t="s">
        <v>4670</v>
      </c>
      <c r="I131" t="s">
        <v>5005</v>
      </c>
      <c r="J131" t="s">
        <v>4671</v>
      </c>
      <c r="K131">
        <v>37</v>
      </c>
      <c r="M131">
        <v>36</v>
      </c>
      <c r="O131">
        <v>71.241</v>
      </c>
      <c r="P131">
        <v>-163.404</v>
      </c>
      <c r="Q131">
        <v>2.87</v>
      </c>
      <c r="R131">
        <v>32.08</v>
      </c>
      <c r="S131">
        <v>277.34500000000003</v>
      </c>
      <c r="V131" t="s">
        <v>5288</v>
      </c>
      <c r="W131">
        <v>0.99099999999999999</v>
      </c>
      <c r="X131">
        <v>1</v>
      </c>
      <c r="Y131">
        <v>0.67200000000000004</v>
      </c>
      <c r="AA131">
        <v>1.19</v>
      </c>
      <c r="AB131">
        <v>19.93</v>
      </c>
      <c r="AE131">
        <v>3.01</v>
      </c>
      <c r="AF131">
        <v>2.95</v>
      </c>
      <c r="AI131">
        <v>1</v>
      </c>
      <c r="AL131">
        <v>3.5823</v>
      </c>
      <c r="AQ131">
        <v>-1.10162045</v>
      </c>
    </row>
    <row r="132" spans="4:46">
      <c r="D132" t="s">
        <v>4672</v>
      </c>
      <c r="E132" t="s">
        <v>4308</v>
      </c>
      <c r="F132" t="s">
        <v>4669</v>
      </c>
      <c r="H132" t="s">
        <v>4670</v>
      </c>
      <c r="I132" t="s">
        <v>5005</v>
      </c>
      <c r="J132" t="s">
        <v>4673</v>
      </c>
      <c r="K132">
        <v>6</v>
      </c>
      <c r="M132">
        <v>5</v>
      </c>
      <c r="O132">
        <v>71.241</v>
      </c>
      <c r="P132">
        <v>-163.404</v>
      </c>
      <c r="Q132">
        <v>4.42</v>
      </c>
      <c r="R132">
        <v>31.65</v>
      </c>
      <c r="S132">
        <v>295.24700000000001</v>
      </c>
      <c r="V132" t="s">
        <v>5288</v>
      </c>
      <c r="W132">
        <v>0.90500000000000003</v>
      </c>
      <c r="X132">
        <v>5</v>
      </c>
      <c r="Y132">
        <v>0.128</v>
      </c>
      <c r="AA132">
        <v>0.71</v>
      </c>
      <c r="AB132">
        <v>9.9600000000000009</v>
      </c>
      <c r="AE132">
        <v>1.27</v>
      </c>
      <c r="AF132">
        <v>0.92</v>
      </c>
      <c r="AI132">
        <v>5</v>
      </c>
      <c r="AL132">
        <v>76.458799999999997</v>
      </c>
      <c r="AQ132">
        <v>-2.4462454139999998</v>
      </c>
    </row>
    <row r="133" spans="4:46">
      <c r="D133" t="s">
        <v>4674</v>
      </c>
      <c r="E133" t="s">
        <v>4308</v>
      </c>
      <c r="F133" t="s">
        <v>4675</v>
      </c>
      <c r="H133" t="s">
        <v>4676</v>
      </c>
      <c r="I133" t="s">
        <v>5009</v>
      </c>
      <c r="J133" t="s">
        <v>4677</v>
      </c>
      <c r="K133">
        <v>35</v>
      </c>
      <c r="M133">
        <v>35</v>
      </c>
      <c r="O133">
        <v>71.483000000000004</v>
      </c>
      <c r="P133">
        <v>-162.60400000000001</v>
      </c>
      <c r="Q133">
        <v>1.43</v>
      </c>
      <c r="R133">
        <v>32.159999999999997</v>
      </c>
      <c r="S133">
        <v>282.63</v>
      </c>
      <c r="V133" t="s">
        <v>5288</v>
      </c>
      <c r="W133">
        <v>0.92300000000000004</v>
      </c>
      <c r="X133">
        <v>1</v>
      </c>
      <c r="Y133">
        <v>2.1680000000000001</v>
      </c>
      <c r="AA133">
        <v>1.24</v>
      </c>
      <c r="AB133">
        <v>22.42</v>
      </c>
      <c r="AE133">
        <v>2.76</v>
      </c>
      <c r="AF133">
        <v>3.39</v>
      </c>
      <c r="AI133">
        <v>1</v>
      </c>
      <c r="AL133">
        <v>7.6733000000000002</v>
      </c>
      <c r="AQ133">
        <v>-0.23608791300000001</v>
      </c>
    </row>
    <row r="134" spans="4:46">
      <c r="D134" t="s">
        <v>4678</v>
      </c>
      <c r="E134" t="s">
        <v>4308</v>
      </c>
      <c r="F134" t="s">
        <v>4675</v>
      </c>
      <c r="H134" t="s">
        <v>4676</v>
      </c>
      <c r="I134" t="s">
        <v>5009</v>
      </c>
      <c r="J134" t="s">
        <v>4679</v>
      </c>
      <c r="K134">
        <v>6</v>
      </c>
      <c r="M134">
        <v>6</v>
      </c>
      <c r="O134">
        <v>71.483000000000004</v>
      </c>
      <c r="P134">
        <v>-162.60400000000001</v>
      </c>
      <c r="Q134">
        <v>4.3899999999999997</v>
      </c>
      <c r="R134">
        <v>31.11</v>
      </c>
      <c r="S134">
        <v>302.25700000000001</v>
      </c>
      <c r="V134" t="s">
        <v>5288</v>
      </c>
      <c r="W134">
        <v>0.96199999999999997</v>
      </c>
      <c r="X134">
        <v>5</v>
      </c>
      <c r="Y134">
        <v>1.464</v>
      </c>
      <c r="AA134">
        <v>0.68</v>
      </c>
      <c r="AB134">
        <v>8.5399999999999991</v>
      </c>
      <c r="AE134">
        <v>0.91</v>
      </c>
      <c r="AF134">
        <v>0.41</v>
      </c>
      <c r="AI134">
        <v>5</v>
      </c>
      <c r="AL134">
        <v>88.576400000000007</v>
      </c>
      <c r="AQ134">
        <v>-0.430248992</v>
      </c>
    </row>
    <row r="135" spans="4:46">
      <c r="D135" t="s">
        <v>4680</v>
      </c>
      <c r="E135" t="s">
        <v>4308</v>
      </c>
      <c r="F135" t="s">
        <v>4681</v>
      </c>
      <c r="H135" t="s">
        <v>4682</v>
      </c>
      <c r="I135" t="s">
        <v>4985</v>
      </c>
      <c r="J135" t="s">
        <v>4683</v>
      </c>
      <c r="K135">
        <v>37</v>
      </c>
      <c r="M135">
        <v>37</v>
      </c>
      <c r="O135">
        <v>70.647999999999996</v>
      </c>
      <c r="P135">
        <v>-165.99600000000001</v>
      </c>
      <c r="Q135">
        <v>5.47</v>
      </c>
      <c r="R135">
        <v>31.77</v>
      </c>
      <c r="S135">
        <v>281.37799999999999</v>
      </c>
      <c r="V135" t="s">
        <v>5288</v>
      </c>
      <c r="W135">
        <v>1.21</v>
      </c>
      <c r="X135">
        <v>1</v>
      </c>
      <c r="Y135">
        <v>1.78</v>
      </c>
      <c r="AA135">
        <v>0.77</v>
      </c>
      <c r="AB135">
        <v>14.23</v>
      </c>
      <c r="AE135">
        <v>1.41</v>
      </c>
      <c r="AF135">
        <v>2.56</v>
      </c>
      <c r="AI135">
        <v>1</v>
      </c>
      <c r="AL135">
        <v>46.196100000000001</v>
      </c>
      <c r="AQ135">
        <v>-1.6089095040000001</v>
      </c>
    </row>
    <row r="136" spans="4:46">
      <c r="D136" t="s">
        <v>4684</v>
      </c>
      <c r="E136" t="s">
        <v>4308</v>
      </c>
      <c r="F136" t="s">
        <v>4681</v>
      </c>
      <c r="H136" t="s">
        <v>4682</v>
      </c>
      <c r="I136" t="s">
        <v>4985</v>
      </c>
      <c r="J136" t="s">
        <v>4685</v>
      </c>
      <c r="K136">
        <v>4</v>
      </c>
      <c r="M136">
        <v>5</v>
      </c>
      <c r="O136">
        <v>70.647999999999996</v>
      </c>
      <c r="P136">
        <v>-165.99600000000001</v>
      </c>
      <c r="Q136">
        <v>5.52</v>
      </c>
      <c r="R136">
        <v>31.78</v>
      </c>
      <c r="S136">
        <v>283.76</v>
      </c>
      <c r="V136" t="s">
        <v>5288</v>
      </c>
      <c r="W136">
        <v>1.4770000000000001</v>
      </c>
      <c r="X136">
        <v>6</v>
      </c>
      <c r="Y136">
        <v>1.532</v>
      </c>
      <c r="AA136">
        <v>0.7</v>
      </c>
      <c r="AB136">
        <v>14.95</v>
      </c>
      <c r="AE136">
        <v>1.2</v>
      </c>
      <c r="AF136">
        <v>1.27</v>
      </c>
      <c r="AI136">
        <v>6</v>
      </c>
      <c r="AL136">
        <v>55.133800000000001</v>
      </c>
      <c r="AQ136">
        <v>-1.346618766</v>
      </c>
    </row>
    <row r="137" spans="4:46">
      <c r="D137" t="s">
        <v>4686</v>
      </c>
      <c r="E137" t="s">
        <v>4308</v>
      </c>
      <c r="F137" t="s">
        <v>4687</v>
      </c>
      <c r="H137" t="s">
        <v>4688</v>
      </c>
      <c r="I137" t="s">
        <v>4993</v>
      </c>
      <c r="J137" t="s">
        <v>4689</v>
      </c>
      <c r="K137">
        <v>35</v>
      </c>
      <c r="M137">
        <v>35</v>
      </c>
      <c r="O137">
        <v>70.772000000000006</v>
      </c>
      <c r="P137">
        <v>-165.62799999999999</v>
      </c>
      <c r="Q137">
        <v>5.01</v>
      </c>
      <c r="R137">
        <v>31.87</v>
      </c>
      <c r="S137">
        <v>286.59300000000002</v>
      </c>
      <c r="V137" t="s">
        <v>5288</v>
      </c>
      <c r="W137">
        <v>1.548</v>
      </c>
      <c r="X137">
        <v>1</v>
      </c>
      <c r="Y137">
        <v>2.1760000000000002</v>
      </c>
      <c r="AA137">
        <v>0.63</v>
      </c>
      <c r="AB137">
        <v>10.32</v>
      </c>
      <c r="AE137">
        <v>1.49</v>
      </c>
      <c r="AF137">
        <v>1.61</v>
      </c>
      <c r="AI137">
        <v>1</v>
      </c>
      <c r="AL137">
        <v>72.919399999999996</v>
      </c>
      <c r="AQ137">
        <v>-1.317027865</v>
      </c>
    </row>
    <row r="138" spans="4:46">
      <c r="D138" t="s">
        <v>4690</v>
      </c>
      <c r="E138" t="s">
        <v>4308</v>
      </c>
      <c r="F138" t="s">
        <v>4687</v>
      </c>
      <c r="H138" t="s">
        <v>4688</v>
      </c>
      <c r="I138" t="s">
        <v>4993</v>
      </c>
      <c r="J138" t="s">
        <v>4691</v>
      </c>
      <c r="K138">
        <v>5</v>
      </c>
      <c r="M138">
        <v>5</v>
      </c>
      <c r="O138">
        <v>70.772000000000006</v>
      </c>
      <c r="P138">
        <v>-165.62799999999999</v>
      </c>
      <c r="Q138">
        <v>5.0199999999999996</v>
      </c>
      <c r="R138">
        <v>31.87</v>
      </c>
      <c r="S138">
        <v>287.57299999999998</v>
      </c>
      <c r="V138" t="s">
        <v>5288</v>
      </c>
      <c r="W138">
        <v>1.95</v>
      </c>
      <c r="X138">
        <v>4</v>
      </c>
      <c r="Y138">
        <v>2.3919999999999999</v>
      </c>
      <c r="AA138">
        <v>0.63</v>
      </c>
      <c r="AB138">
        <v>10.68</v>
      </c>
      <c r="AE138">
        <v>1.31</v>
      </c>
      <c r="AF138">
        <v>1.89</v>
      </c>
      <c r="AI138">
        <v>4</v>
      </c>
      <c r="AL138">
        <v>72.939499999999995</v>
      </c>
      <c r="AQ138">
        <v>-1.286003496</v>
      </c>
    </row>
    <row r="139" spans="4:46">
      <c r="D139" t="s">
        <v>4692</v>
      </c>
      <c r="E139" t="s">
        <v>4308</v>
      </c>
      <c r="F139" t="s">
        <v>4693</v>
      </c>
      <c r="H139" t="s">
        <v>4694</v>
      </c>
      <c r="I139" t="s">
        <v>4996</v>
      </c>
      <c r="J139" t="s">
        <v>4695</v>
      </c>
      <c r="K139">
        <v>28</v>
      </c>
      <c r="L139" t="s">
        <v>5288</v>
      </c>
      <c r="M139">
        <v>27</v>
      </c>
      <c r="O139">
        <v>71.022999999999996</v>
      </c>
      <c r="P139">
        <v>-164.87700000000001</v>
      </c>
      <c r="Q139">
        <v>4.26</v>
      </c>
      <c r="R139">
        <v>31.95</v>
      </c>
      <c r="S139">
        <v>289.08499999999998</v>
      </c>
      <c r="V139" t="s">
        <v>5288</v>
      </c>
      <c r="W139">
        <v>1.4019999999999999</v>
      </c>
      <c r="X139">
        <v>1</v>
      </c>
      <c r="Y139">
        <v>2.6040000000000001</v>
      </c>
      <c r="AA139">
        <v>0.76</v>
      </c>
      <c r="AB139">
        <v>12.46</v>
      </c>
      <c r="AE139">
        <v>1.61</v>
      </c>
      <c r="AF139">
        <v>2.12</v>
      </c>
      <c r="AI139">
        <v>1</v>
      </c>
      <c r="AL139">
        <v>43.247599999999998</v>
      </c>
      <c r="AQ139">
        <v>-1.3051505489999999</v>
      </c>
      <c r="AT139" t="s">
        <v>5288</v>
      </c>
    </row>
    <row r="140" spans="4:46">
      <c r="D140" t="s">
        <v>4697</v>
      </c>
      <c r="E140" t="s">
        <v>4308</v>
      </c>
      <c r="F140" t="s">
        <v>4698</v>
      </c>
      <c r="H140" t="s">
        <v>4699</v>
      </c>
      <c r="I140" t="s">
        <v>4999</v>
      </c>
      <c r="J140" t="s">
        <v>4700</v>
      </c>
      <c r="K140">
        <v>37</v>
      </c>
      <c r="M140">
        <v>36</v>
      </c>
      <c r="O140">
        <v>71.147000000000006</v>
      </c>
      <c r="P140">
        <v>-164.48599999999999</v>
      </c>
      <c r="Q140">
        <v>4.09</v>
      </c>
      <c r="R140">
        <v>31.91</v>
      </c>
      <c r="S140">
        <v>298.49200000000002</v>
      </c>
      <c r="V140" t="s">
        <v>5288</v>
      </c>
      <c r="W140">
        <v>1.1679999999999999</v>
      </c>
      <c r="X140">
        <v>1</v>
      </c>
      <c r="Y140">
        <v>2.048</v>
      </c>
      <c r="AA140">
        <v>0.75</v>
      </c>
      <c r="AB140">
        <v>11.39</v>
      </c>
      <c r="AE140">
        <v>1.92</v>
      </c>
      <c r="AF140">
        <v>2.39</v>
      </c>
      <c r="AI140">
        <v>1</v>
      </c>
      <c r="AL140">
        <v>51.755600000000001</v>
      </c>
      <c r="AQ140">
        <v>-1.1411997110000001</v>
      </c>
    </row>
    <row r="141" spans="4:46">
      <c r="D141" t="s">
        <v>4701</v>
      </c>
      <c r="E141" t="s">
        <v>4308</v>
      </c>
      <c r="F141" t="s">
        <v>4698</v>
      </c>
      <c r="H141" t="s">
        <v>4699</v>
      </c>
      <c r="I141" t="s">
        <v>4999</v>
      </c>
      <c r="J141" t="s">
        <v>4702</v>
      </c>
      <c r="K141">
        <v>5</v>
      </c>
      <c r="M141">
        <v>6</v>
      </c>
      <c r="O141">
        <v>71.147000000000006</v>
      </c>
      <c r="P141">
        <v>-164.48599999999999</v>
      </c>
      <c r="Q141">
        <v>4.09</v>
      </c>
      <c r="R141">
        <v>31.91</v>
      </c>
      <c r="S141">
        <v>299.80799999999999</v>
      </c>
      <c r="V141" t="s">
        <v>5288</v>
      </c>
      <c r="W141">
        <v>1.1000000000000001</v>
      </c>
      <c r="X141">
        <v>5</v>
      </c>
      <c r="Y141">
        <v>1.456</v>
      </c>
      <c r="AA141">
        <v>0.86</v>
      </c>
      <c r="AB141">
        <v>11.39</v>
      </c>
      <c r="AE141">
        <v>1.6</v>
      </c>
      <c r="AF141">
        <v>1.19</v>
      </c>
      <c r="AI141">
        <v>5</v>
      </c>
      <c r="AL141">
        <v>54.730699999999999</v>
      </c>
      <c r="AQ141">
        <v>-2.028793216</v>
      </c>
    </row>
    <row r="142" spans="4:46">
      <c r="D142" t="s">
        <v>4703</v>
      </c>
      <c r="E142" t="s">
        <v>4308</v>
      </c>
      <c r="F142" t="s">
        <v>4704</v>
      </c>
      <c r="H142" t="s">
        <v>4705</v>
      </c>
      <c r="I142" t="s">
        <v>5002</v>
      </c>
      <c r="J142" t="s">
        <v>4706</v>
      </c>
      <c r="K142">
        <v>36</v>
      </c>
      <c r="M142">
        <v>36</v>
      </c>
      <c r="O142">
        <v>71.117999999999995</v>
      </c>
      <c r="P142">
        <v>-163.80600000000001</v>
      </c>
      <c r="Q142">
        <v>4.2300000000000004</v>
      </c>
      <c r="R142">
        <v>31.9</v>
      </c>
      <c r="S142">
        <v>292.09800000000001</v>
      </c>
      <c r="V142" t="s">
        <v>5288</v>
      </c>
      <c r="W142">
        <v>1.1890000000000001</v>
      </c>
      <c r="X142">
        <v>1</v>
      </c>
      <c r="Y142">
        <v>2.1560000000000001</v>
      </c>
      <c r="AA142">
        <v>0.72</v>
      </c>
      <c r="AB142">
        <v>10.68</v>
      </c>
      <c r="AE142">
        <v>1.83</v>
      </c>
      <c r="AF142">
        <v>1.25</v>
      </c>
      <c r="AI142">
        <v>1</v>
      </c>
      <c r="AL142">
        <v>36.296199999999999</v>
      </c>
      <c r="AQ142">
        <v>-1.4632002719999999</v>
      </c>
    </row>
    <row r="143" spans="4:46">
      <c r="D143" t="s">
        <v>4707</v>
      </c>
      <c r="E143" t="s">
        <v>4308</v>
      </c>
      <c r="F143" t="s">
        <v>4704</v>
      </c>
      <c r="H143" t="s">
        <v>4705</v>
      </c>
      <c r="I143" t="s">
        <v>5002</v>
      </c>
      <c r="J143" t="s">
        <v>4708</v>
      </c>
      <c r="K143">
        <v>5</v>
      </c>
      <c r="M143">
        <v>5</v>
      </c>
      <c r="O143">
        <v>71.117999999999995</v>
      </c>
      <c r="P143">
        <v>-163.80600000000001</v>
      </c>
      <c r="Q143">
        <v>4.29</v>
      </c>
      <c r="R143">
        <v>31.85</v>
      </c>
      <c r="S143">
        <v>297.15100000000001</v>
      </c>
      <c r="V143" t="s">
        <v>5288</v>
      </c>
      <c r="W143">
        <v>0.93</v>
      </c>
      <c r="X143">
        <v>5</v>
      </c>
      <c r="Y143">
        <v>1.1679999999999999</v>
      </c>
      <c r="AA143">
        <v>0.73</v>
      </c>
      <c r="AB143">
        <v>10.68</v>
      </c>
      <c r="AE143">
        <v>1.61</v>
      </c>
      <c r="AF143">
        <v>1.1599999999999999</v>
      </c>
      <c r="AI143">
        <v>5</v>
      </c>
      <c r="AL143">
        <v>59.967300000000002</v>
      </c>
    </row>
    <row r="144" spans="4:46">
      <c r="D144" t="s">
        <v>4709</v>
      </c>
      <c r="E144" t="s">
        <v>4308</v>
      </c>
      <c r="F144" t="s">
        <v>4710</v>
      </c>
      <c r="H144" t="s">
        <v>4711</v>
      </c>
      <c r="I144" t="s">
        <v>4847</v>
      </c>
      <c r="J144" t="s">
        <v>4712</v>
      </c>
      <c r="K144">
        <v>38</v>
      </c>
      <c r="M144">
        <v>38</v>
      </c>
      <c r="O144">
        <v>71.266000000000005</v>
      </c>
      <c r="P144">
        <v>-166.42</v>
      </c>
      <c r="Q144">
        <v>0.1</v>
      </c>
      <c r="R144">
        <v>32.4</v>
      </c>
      <c r="S144">
        <v>330.42599999999999</v>
      </c>
      <c r="V144" t="s">
        <v>5288</v>
      </c>
      <c r="W144">
        <v>0.64700000000000002</v>
      </c>
      <c r="X144">
        <v>1</v>
      </c>
      <c r="Y144">
        <v>1.1519999999999999</v>
      </c>
      <c r="AI144">
        <v>1</v>
      </c>
      <c r="AL144">
        <v>38.882300000000001</v>
      </c>
      <c r="AQ144">
        <v>-1.001971808</v>
      </c>
    </row>
    <row r="145" spans="4:46">
      <c r="D145" t="s">
        <v>4713</v>
      </c>
      <c r="E145" t="s">
        <v>4308</v>
      </c>
      <c r="F145" t="s">
        <v>4710</v>
      </c>
      <c r="H145" t="s">
        <v>4711</v>
      </c>
      <c r="I145" t="s">
        <v>4847</v>
      </c>
      <c r="J145" t="s">
        <v>4714</v>
      </c>
      <c r="K145">
        <v>5</v>
      </c>
      <c r="M145">
        <v>5</v>
      </c>
      <c r="O145">
        <v>71.266000000000005</v>
      </c>
      <c r="P145">
        <v>-166.42</v>
      </c>
      <c r="Q145">
        <v>4.26</v>
      </c>
      <c r="R145">
        <v>31.89</v>
      </c>
      <c r="S145">
        <v>311.702</v>
      </c>
      <c r="V145" t="s">
        <v>5288</v>
      </c>
      <c r="W145">
        <v>2.86</v>
      </c>
      <c r="X145">
        <v>5</v>
      </c>
      <c r="Y145">
        <v>4</v>
      </c>
      <c r="AA145">
        <v>0.46</v>
      </c>
      <c r="AB145">
        <v>4.9800000000000004</v>
      </c>
      <c r="AE145">
        <v>0.52</v>
      </c>
      <c r="AF145">
        <v>0.54</v>
      </c>
      <c r="AI145">
        <v>5</v>
      </c>
      <c r="AL145">
        <v>87.0017</v>
      </c>
      <c r="AQ145">
        <v>-1.1407452810000001</v>
      </c>
    </row>
    <row r="146" spans="4:46">
      <c r="D146" t="s">
        <v>4715</v>
      </c>
      <c r="E146" t="s">
        <v>4308</v>
      </c>
      <c r="F146" t="s">
        <v>4716</v>
      </c>
      <c r="H146" t="s">
        <v>4717</v>
      </c>
      <c r="I146" t="s">
        <v>4850</v>
      </c>
      <c r="J146" t="s">
        <v>4718</v>
      </c>
      <c r="K146">
        <v>35</v>
      </c>
      <c r="M146">
        <v>35</v>
      </c>
      <c r="O146">
        <v>71.385999999999996</v>
      </c>
      <c r="P146">
        <v>-166.82</v>
      </c>
      <c r="Q146">
        <v>0.96</v>
      </c>
      <c r="R146">
        <v>32.25</v>
      </c>
      <c r="S146">
        <v>294.70400000000001</v>
      </c>
      <c r="V146" t="s">
        <v>5288</v>
      </c>
      <c r="W146">
        <v>3.5470000000000002</v>
      </c>
      <c r="X146">
        <v>2</v>
      </c>
      <c r="Y146">
        <v>9.6</v>
      </c>
      <c r="AI146">
        <v>2</v>
      </c>
      <c r="AL146">
        <v>74.734999999999999</v>
      </c>
    </row>
    <row r="147" spans="4:46">
      <c r="D147" t="s">
        <v>4719</v>
      </c>
      <c r="E147" t="s">
        <v>4308</v>
      </c>
      <c r="F147" t="s">
        <v>4716</v>
      </c>
      <c r="H147" t="s">
        <v>4717</v>
      </c>
      <c r="I147" t="s">
        <v>4850</v>
      </c>
      <c r="J147" t="s">
        <v>4720</v>
      </c>
      <c r="K147">
        <v>5</v>
      </c>
      <c r="M147">
        <v>4</v>
      </c>
      <c r="O147">
        <v>71.385999999999996</v>
      </c>
      <c r="P147">
        <v>-166.82</v>
      </c>
      <c r="Q147">
        <v>3.84</v>
      </c>
      <c r="R147">
        <v>31.8</v>
      </c>
      <c r="S147">
        <v>317.96800000000002</v>
      </c>
      <c r="V147" t="s">
        <v>5288</v>
      </c>
      <c r="W147">
        <v>1.415</v>
      </c>
      <c r="X147">
        <v>6</v>
      </c>
      <c r="Y147">
        <v>1.8720000000000001</v>
      </c>
      <c r="AA147">
        <v>0.47</v>
      </c>
      <c r="AB147">
        <v>4.63</v>
      </c>
      <c r="AE147">
        <v>0.36</v>
      </c>
      <c r="AF147">
        <v>0.21</v>
      </c>
      <c r="AI147">
        <v>6</v>
      </c>
      <c r="AL147">
        <v>89.231700000000004</v>
      </c>
      <c r="AQ147">
        <v>-1.2553545580000001</v>
      </c>
    </row>
    <row r="148" spans="4:46">
      <c r="D148" t="s">
        <v>4721</v>
      </c>
      <c r="E148" t="s">
        <v>4308</v>
      </c>
      <c r="F148" t="s">
        <v>4716</v>
      </c>
      <c r="H148" t="s">
        <v>4722</v>
      </c>
      <c r="I148" t="s">
        <v>4852</v>
      </c>
      <c r="J148" t="s">
        <v>4723</v>
      </c>
      <c r="K148">
        <v>40</v>
      </c>
      <c r="M148">
        <v>40</v>
      </c>
      <c r="O148">
        <v>71.385999999999996</v>
      </c>
      <c r="P148">
        <v>-166.822</v>
      </c>
      <c r="Q148">
        <v>-0.06</v>
      </c>
      <c r="R148">
        <v>32.369999999999997</v>
      </c>
      <c r="S148">
        <v>276.435</v>
      </c>
      <c r="V148" t="s">
        <v>5288</v>
      </c>
      <c r="W148">
        <v>1.216</v>
      </c>
      <c r="X148">
        <v>1</v>
      </c>
      <c r="AA148">
        <v>1.65</v>
      </c>
      <c r="AB148">
        <v>18.510000000000002</v>
      </c>
      <c r="AE148">
        <v>4.26</v>
      </c>
      <c r="AF148">
        <v>5.08</v>
      </c>
      <c r="AI148">
        <v>1</v>
      </c>
      <c r="AL148">
        <v>29.6524</v>
      </c>
    </row>
    <row r="149" spans="4:46">
      <c r="D149" t="s">
        <v>4724</v>
      </c>
      <c r="E149" t="s">
        <v>4308</v>
      </c>
      <c r="F149" t="s">
        <v>4725</v>
      </c>
      <c r="H149" t="s">
        <v>4726</v>
      </c>
      <c r="I149" t="s">
        <v>4855</v>
      </c>
      <c r="J149" t="s">
        <v>4727</v>
      </c>
      <c r="K149">
        <v>35</v>
      </c>
      <c r="M149">
        <v>35</v>
      </c>
      <c r="O149">
        <v>71.507000000000005</v>
      </c>
      <c r="P149">
        <v>-167.221</v>
      </c>
      <c r="Q149">
        <v>1.9</v>
      </c>
      <c r="R149">
        <v>32.130000000000003</v>
      </c>
      <c r="S149">
        <v>302.935</v>
      </c>
      <c r="V149" t="s">
        <v>5288</v>
      </c>
      <c r="W149">
        <v>3.7490000000000001</v>
      </c>
      <c r="X149">
        <v>2</v>
      </c>
      <c r="Y149">
        <v>5.48</v>
      </c>
      <c r="AI149">
        <v>2</v>
      </c>
      <c r="AL149">
        <v>75.246499999999997</v>
      </c>
    </row>
    <row r="150" spans="4:46">
      <c r="D150" t="s">
        <v>4728</v>
      </c>
      <c r="E150" t="s">
        <v>4308</v>
      </c>
      <c r="F150" t="s">
        <v>4725</v>
      </c>
      <c r="H150" t="s">
        <v>4726</v>
      </c>
      <c r="I150" t="s">
        <v>4855</v>
      </c>
      <c r="J150" t="s">
        <v>4729</v>
      </c>
      <c r="K150">
        <v>43</v>
      </c>
      <c r="M150">
        <v>42</v>
      </c>
      <c r="O150">
        <v>71.507000000000005</v>
      </c>
      <c r="P150">
        <v>-167.221</v>
      </c>
      <c r="Q150">
        <v>-0.14000000000000001</v>
      </c>
      <c r="R150">
        <v>32.380000000000003</v>
      </c>
      <c r="S150">
        <v>264.98</v>
      </c>
      <c r="V150" t="s">
        <v>5288</v>
      </c>
      <c r="W150">
        <v>0.76700000000000002</v>
      </c>
      <c r="X150">
        <v>1</v>
      </c>
      <c r="Y150">
        <v>1.448</v>
      </c>
      <c r="AA150">
        <v>1.35</v>
      </c>
      <c r="AB150">
        <v>20.64</v>
      </c>
      <c r="AE150">
        <v>3.77</v>
      </c>
      <c r="AF150">
        <v>7.39</v>
      </c>
      <c r="AI150">
        <v>1</v>
      </c>
      <c r="AL150">
        <v>15.2942</v>
      </c>
      <c r="AQ150">
        <v>-1.2586481249999999</v>
      </c>
    </row>
    <row r="151" spans="4:46">
      <c r="D151" t="s">
        <v>4730</v>
      </c>
      <c r="E151" t="s">
        <v>4308</v>
      </c>
      <c r="F151" t="s">
        <v>4725</v>
      </c>
      <c r="H151" t="s">
        <v>4726</v>
      </c>
      <c r="I151" t="s">
        <v>4855</v>
      </c>
      <c r="J151" t="s">
        <v>4731</v>
      </c>
      <c r="K151">
        <v>5</v>
      </c>
      <c r="M151">
        <v>5</v>
      </c>
      <c r="O151">
        <v>71.507000000000005</v>
      </c>
      <c r="P151">
        <v>-167.221</v>
      </c>
      <c r="Q151">
        <v>3.91</v>
      </c>
      <c r="R151">
        <v>31.74</v>
      </c>
      <c r="S151">
        <v>315.226</v>
      </c>
      <c r="V151" t="s">
        <v>5288</v>
      </c>
      <c r="W151">
        <v>1.4990000000000001</v>
      </c>
      <c r="X151">
        <v>7</v>
      </c>
      <c r="Y151">
        <v>1.8320000000000001</v>
      </c>
      <c r="AA151">
        <v>0.47</v>
      </c>
      <c r="AB151">
        <v>4.63</v>
      </c>
      <c r="AE151">
        <v>0.4</v>
      </c>
      <c r="AF151">
        <v>0.54</v>
      </c>
      <c r="AI151">
        <v>7</v>
      </c>
      <c r="AL151">
        <v>89.996300000000005</v>
      </c>
      <c r="AQ151">
        <v>-1.532560202</v>
      </c>
    </row>
    <row r="152" spans="4:46">
      <c r="D152" t="s">
        <v>4732</v>
      </c>
      <c r="E152" t="s">
        <v>4308</v>
      </c>
      <c r="F152" t="s">
        <v>4733</v>
      </c>
      <c r="H152" t="s">
        <v>4734</v>
      </c>
      <c r="I152" t="s">
        <v>4870</v>
      </c>
      <c r="J152" t="s">
        <v>4735</v>
      </c>
      <c r="K152">
        <v>37</v>
      </c>
      <c r="M152">
        <v>37</v>
      </c>
      <c r="O152">
        <v>70.524000000000001</v>
      </c>
      <c r="P152">
        <v>-164.12700000000001</v>
      </c>
      <c r="Q152">
        <v>5.59</v>
      </c>
      <c r="R152">
        <v>31.7</v>
      </c>
      <c r="S152">
        <v>279.137</v>
      </c>
      <c r="V152" t="s">
        <v>5288</v>
      </c>
      <c r="W152">
        <v>1.0549999999999999</v>
      </c>
      <c r="X152">
        <v>1</v>
      </c>
      <c r="Y152">
        <v>1.4319999999999999</v>
      </c>
      <c r="AA152">
        <v>0.92</v>
      </c>
      <c r="AB152">
        <v>14.23</v>
      </c>
      <c r="AE152">
        <v>1.74</v>
      </c>
      <c r="AF152">
        <v>1.21</v>
      </c>
      <c r="AI152">
        <v>1</v>
      </c>
      <c r="AL152">
        <v>48.6755</v>
      </c>
      <c r="AQ152">
        <v>-1.3767557500000001</v>
      </c>
    </row>
    <row r="153" spans="4:46">
      <c r="D153" t="s">
        <v>4736</v>
      </c>
      <c r="E153" t="s">
        <v>4308</v>
      </c>
      <c r="F153" t="s">
        <v>4733</v>
      </c>
      <c r="H153" t="s">
        <v>4734</v>
      </c>
      <c r="I153" t="s">
        <v>4870</v>
      </c>
      <c r="J153" t="s">
        <v>4737</v>
      </c>
      <c r="K153">
        <v>5</v>
      </c>
      <c r="M153">
        <v>5</v>
      </c>
      <c r="O153">
        <v>70.524000000000001</v>
      </c>
      <c r="P153">
        <v>-164.12700000000001</v>
      </c>
      <c r="Q153">
        <v>5.67</v>
      </c>
      <c r="R153">
        <v>31.68</v>
      </c>
      <c r="S153">
        <v>284.32900000000001</v>
      </c>
      <c r="V153" t="s">
        <v>5288</v>
      </c>
      <c r="W153">
        <v>1.272</v>
      </c>
      <c r="X153">
        <v>5</v>
      </c>
      <c r="Y153">
        <v>1.476</v>
      </c>
      <c r="AA153">
        <v>0.82</v>
      </c>
      <c r="AB153">
        <v>13.52</v>
      </c>
      <c r="AE153">
        <v>1.5</v>
      </c>
      <c r="AF153">
        <v>0.97</v>
      </c>
      <c r="AI153">
        <v>5</v>
      </c>
      <c r="AL153">
        <v>60.143300000000004</v>
      </c>
      <c r="AQ153">
        <v>-1.246258855</v>
      </c>
    </row>
    <row r="154" spans="4:46">
      <c r="D154" t="s">
        <v>4738</v>
      </c>
      <c r="E154" t="s">
        <v>4308</v>
      </c>
      <c r="F154" t="s">
        <v>4739</v>
      </c>
      <c r="H154" t="s">
        <v>4740</v>
      </c>
      <c r="I154" t="s">
        <v>4874</v>
      </c>
      <c r="J154" t="s">
        <v>4741</v>
      </c>
      <c r="K154">
        <v>5</v>
      </c>
      <c r="M154">
        <v>4</v>
      </c>
      <c r="O154">
        <v>70.647000000000006</v>
      </c>
      <c r="P154">
        <v>-164.50200000000001</v>
      </c>
      <c r="Q154">
        <v>5.08</v>
      </c>
      <c r="R154">
        <v>31.86</v>
      </c>
      <c r="S154">
        <v>290.67399999999998</v>
      </c>
      <c r="V154" t="s">
        <v>5288</v>
      </c>
      <c r="W154">
        <v>1.194</v>
      </c>
      <c r="X154">
        <v>9</v>
      </c>
      <c r="Y154">
        <v>1.804</v>
      </c>
      <c r="AA154">
        <v>0.88</v>
      </c>
      <c r="AB154">
        <v>12.46</v>
      </c>
      <c r="AE154">
        <v>1.46</v>
      </c>
      <c r="AF154">
        <v>1.52</v>
      </c>
      <c r="AI154">
        <v>9</v>
      </c>
      <c r="AL154">
        <v>63.358699999999999</v>
      </c>
      <c r="AQ154">
        <v>-1.0900448389999999</v>
      </c>
    </row>
    <row r="155" spans="4:46">
      <c r="D155" t="s">
        <v>4742</v>
      </c>
      <c r="E155" t="s">
        <v>4308</v>
      </c>
      <c r="F155" t="s">
        <v>4739</v>
      </c>
      <c r="H155" t="s">
        <v>4740</v>
      </c>
      <c r="I155" t="s">
        <v>4874</v>
      </c>
      <c r="J155" t="s">
        <v>4743</v>
      </c>
      <c r="K155" t="e">
        <v>#N/A</v>
      </c>
      <c r="L155" t="e">
        <v>#N/A</v>
      </c>
      <c r="M155">
        <v>40</v>
      </c>
      <c r="O155">
        <v>70.647000000000006</v>
      </c>
      <c r="P155">
        <v>-164.50200000000001</v>
      </c>
      <c r="Q155">
        <v>4.9000000000000004</v>
      </c>
      <c r="R155">
        <v>31.88</v>
      </c>
      <c r="S155">
        <v>283.81299999999999</v>
      </c>
      <c r="V155" t="s">
        <v>5288</v>
      </c>
      <c r="W155">
        <v>1.0760000000000001</v>
      </c>
      <c r="X155">
        <v>5</v>
      </c>
      <c r="Y155">
        <v>1.64</v>
      </c>
      <c r="AA155">
        <v>0.93</v>
      </c>
      <c r="AB155">
        <v>12.81</v>
      </c>
      <c r="AE155">
        <v>1.87</v>
      </c>
      <c r="AF155">
        <v>1.75</v>
      </c>
      <c r="AI155">
        <v>5</v>
      </c>
      <c r="AL155">
        <v>54.411499999999997</v>
      </c>
      <c r="AQ155">
        <v>-1.191189745</v>
      </c>
      <c r="AT155" t="e">
        <v>#N/A</v>
      </c>
    </row>
    <row r="156" spans="4:46">
      <c r="D156" t="s">
        <v>4744</v>
      </c>
      <c r="E156" t="s">
        <v>4308</v>
      </c>
      <c r="F156" t="s">
        <v>4745</v>
      </c>
      <c r="H156" t="s">
        <v>4746</v>
      </c>
      <c r="I156" t="s">
        <v>4878</v>
      </c>
      <c r="J156" t="s">
        <v>4747</v>
      </c>
      <c r="K156">
        <v>34</v>
      </c>
      <c r="M156">
        <v>34</v>
      </c>
      <c r="O156">
        <v>70.772000000000006</v>
      </c>
      <c r="P156">
        <v>-164.87799999999999</v>
      </c>
      <c r="Q156">
        <v>4.82</v>
      </c>
      <c r="R156">
        <v>31.9</v>
      </c>
      <c r="S156">
        <v>285.57799999999997</v>
      </c>
      <c r="V156" t="s">
        <v>5288</v>
      </c>
      <c r="W156">
        <v>0.73</v>
      </c>
      <c r="X156">
        <v>1</v>
      </c>
      <c r="Y156">
        <v>1.4039999999999999</v>
      </c>
      <c r="AA156">
        <v>0.73</v>
      </c>
      <c r="AB156">
        <v>12.81</v>
      </c>
      <c r="AE156">
        <v>1.63</v>
      </c>
      <c r="AF156">
        <v>2.59</v>
      </c>
      <c r="AI156">
        <v>1</v>
      </c>
      <c r="AL156">
        <v>61.347999999999999</v>
      </c>
      <c r="AQ156">
        <v>-1.2</v>
      </c>
    </row>
    <row r="157" spans="4:46">
      <c r="D157" t="s">
        <v>4748</v>
      </c>
      <c r="E157" t="s">
        <v>4308</v>
      </c>
      <c r="F157" t="s">
        <v>4745</v>
      </c>
      <c r="H157" t="s">
        <v>4746</v>
      </c>
      <c r="I157" t="s">
        <v>4878</v>
      </c>
      <c r="J157" t="s">
        <v>4749</v>
      </c>
      <c r="K157">
        <v>5</v>
      </c>
      <c r="M157">
        <v>5</v>
      </c>
      <c r="O157">
        <v>70.772000000000006</v>
      </c>
      <c r="P157">
        <v>-164.87799999999999</v>
      </c>
      <c r="Q157">
        <v>4.9000000000000004</v>
      </c>
      <c r="R157">
        <v>31.9</v>
      </c>
      <c r="S157">
        <v>290.40800000000002</v>
      </c>
      <c r="V157" t="s">
        <v>5288</v>
      </c>
      <c r="W157">
        <v>1.44</v>
      </c>
      <c r="X157">
        <v>4</v>
      </c>
      <c r="Y157">
        <v>2.2440000000000002</v>
      </c>
      <c r="AA157">
        <v>0.87</v>
      </c>
      <c r="AB157">
        <v>9.9600000000000009</v>
      </c>
      <c r="AE157">
        <v>1.61</v>
      </c>
      <c r="AF157">
        <v>1.7</v>
      </c>
      <c r="AI157">
        <v>4</v>
      </c>
      <c r="AL157">
        <v>68.204300000000003</v>
      </c>
      <c r="AQ157">
        <v>-0.44092219199999999</v>
      </c>
    </row>
    <row r="158" spans="4:46">
      <c r="D158" t="s">
        <v>4750</v>
      </c>
      <c r="E158" t="s">
        <v>4308</v>
      </c>
      <c r="F158" t="s">
        <v>4751</v>
      </c>
      <c r="H158" t="s">
        <v>4752</v>
      </c>
      <c r="I158" t="s">
        <v>4881</v>
      </c>
      <c r="J158" t="s">
        <v>4753</v>
      </c>
      <c r="K158">
        <v>38</v>
      </c>
      <c r="M158">
        <v>38</v>
      </c>
      <c r="O158">
        <v>70.897000000000006</v>
      </c>
      <c r="P158">
        <v>-165.25399999999999</v>
      </c>
      <c r="Q158">
        <v>1.28</v>
      </c>
      <c r="R158">
        <v>32.29</v>
      </c>
      <c r="S158">
        <v>332.99599999999998</v>
      </c>
      <c r="V158" t="s">
        <v>5288</v>
      </c>
      <c r="W158">
        <v>1.1160000000000001</v>
      </c>
      <c r="X158">
        <v>1</v>
      </c>
      <c r="Y158">
        <v>2.004</v>
      </c>
      <c r="AA158">
        <v>1.0900000000000001</v>
      </c>
      <c r="AB158">
        <v>16.37</v>
      </c>
      <c r="AE158">
        <v>2.6</v>
      </c>
      <c r="AF158">
        <v>2.4</v>
      </c>
      <c r="AI158">
        <v>1</v>
      </c>
      <c r="AL158">
        <v>28.114699999999999</v>
      </c>
      <c r="AQ158">
        <v>-0.93758514800000003</v>
      </c>
    </row>
    <row r="159" spans="4:46">
      <c r="D159" t="s">
        <v>4754</v>
      </c>
      <c r="E159" t="s">
        <v>4308</v>
      </c>
      <c r="F159" t="s">
        <v>4751</v>
      </c>
      <c r="H159" t="s">
        <v>4752</v>
      </c>
      <c r="I159" t="s">
        <v>4881</v>
      </c>
      <c r="J159" t="s">
        <v>4755</v>
      </c>
      <c r="K159">
        <v>5</v>
      </c>
      <c r="M159">
        <v>5</v>
      </c>
      <c r="O159">
        <v>70.897000000000006</v>
      </c>
      <c r="P159">
        <v>-165.25399999999999</v>
      </c>
      <c r="Q159">
        <v>5.0599999999999996</v>
      </c>
      <c r="R159">
        <v>31.88</v>
      </c>
      <c r="S159">
        <v>307.65199999999999</v>
      </c>
      <c r="V159" t="s">
        <v>5288</v>
      </c>
      <c r="W159">
        <v>5.6950000000000003</v>
      </c>
      <c r="X159">
        <v>5</v>
      </c>
      <c r="Y159">
        <v>5.68</v>
      </c>
      <c r="AA159">
        <v>0.54</v>
      </c>
      <c r="AB159">
        <v>6.76</v>
      </c>
      <c r="AE159">
        <v>0.28999999999999998</v>
      </c>
      <c r="AF159">
        <v>0.28000000000000003</v>
      </c>
      <c r="AI159">
        <v>5</v>
      </c>
      <c r="AL159">
        <v>79.7423</v>
      </c>
      <c r="AQ159">
        <v>-0.77241194999999996</v>
      </c>
    </row>
    <row r="160" spans="4:46">
      <c r="D160" t="s">
        <v>4756</v>
      </c>
      <c r="E160" t="s">
        <v>4308</v>
      </c>
      <c r="F160" t="s">
        <v>4757</v>
      </c>
      <c r="H160" t="s">
        <v>4758</v>
      </c>
      <c r="I160" t="s">
        <v>4885</v>
      </c>
      <c r="J160" t="s">
        <v>4759</v>
      </c>
      <c r="K160">
        <v>37</v>
      </c>
      <c r="M160">
        <v>37</v>
      </c>
      <c r="O160">
        <v>71.02</v>
      </c>
      <c r="P160">
        <v>-165.64099999999999</v>
      </c>
      <c r="Q160">
        <v>0.67</v>
      </c>
      <c r="R160">
        <v>32.340000000000003</v>
      </c>
      <c r="S160">
        <v>346.01</v>
      </c>
      <c r="V160" t="s">
        <v>5288</v>
      </c>
      <c r="W160">
        <v>0.65500000000000003</v>
      </c>
      <c r="X160">
        <v>1</v>
      </c>
      <c r="Y160">
        <v>1.0640000000000001</v>
      </c>
      <c r="AA160">
        <v>1.31</v>
      </c>
      <c r="AB160">
        <v>14.59</v>
      </c>
      <c r="AE160">
        <v>2.68</v>
      </c>
      <c r="AF160">
        <v>2.06</v>
      </c>
      <c r="AI160">
        <v>1</v>
      </c>
      <c r="AL160">
        <v>32.347299999999997</v>
      </c>
      <c r="AQ160">
        <v>-1.0766999239999999</v>
      </c>
    </row>
    <row r="161" spans="4:43">
      <c r="D161" t="s">
        <v>4760</v>
      </c>
      <c r="E161" t="s">
        <v>4308</v>
      </c>
      <c r="F161" t="s">
        <v>4757</v>
      </c>
      <c r="H161" t="s">
        <v>4758</v>
      </c>
      <c r="I161" t="s">
        <v>4885</v>
      </c>
      <c r="J161" t="s">
        <v>4761</v>
      </c>
      <c r="K161">
        <v>5</v>
      </c>
      <c r="M161">
        <v>5</v>
      </c>
      <c r="O161">
        <v>71.02</v>
      </c>
      <c r="P161">
        <v>-165.64099999999999</v>
      </c>
      <c r="Q161">
        <v>4.82</v>
      </c>
      <c r="R161">
        <v>31.91</v>
      </c>
      <c r="S161">
        <v>313.19200000000001</v>
      </c>
      <c r="V161" t="s">
        <v>5288</v>
      </c>
      <c r="W161">
        <v>5.5469999999999997</v>
      </c>
      <c r="X161">
        <v>6</v>
      </c>
      <c r="Y161">
        <v>4.32</v>
      </c>
      <c r="AA161">
        <v>0.5</v>
      </c>
      <c r="AB161">
        <v>3.91</v>
      </c>
      <c r="AE161">
        <v>0.35</v>
      </c>
      <c r="AF161">
        <v>0.24</v>
      </c>
      <c r="AI161">
        <v>6</v>
      </c>
      <c r="AL161">
        <v>81.207099999999997</v>
      </c>
      <c r="AQ161">
        <v>-1.393616078</v>
      </c>
    </row>
    <row r="162" spans="4:43">
      <c r="D162" t="s">
        <v>4762</v>
      </c>
      <c r="E162" t="s">
        <v>4308</v>
      </c>
      <c r="F162" t="s">
        <v>4763</v>
      </c>
      <c r="H162" t="s">
        <v>4764</v>
      </c>
      <c r="I162" t="s">
        <v>4843</v>
      </c>
      <c r="J162" t="s">
        <v>4765</v>
      </c>
      <c r="K162">
        <v>11</v>
      </c>
      <c r="M162">
        <v>11</v>
      </c>
      <c r="O162">
        <v>70.036000000000001</v>
      </c>
      <c r="P162">
        <v>-162.76599999999999</v>
      </c>
      <c r="Q162">
        <v>7.3</v>
      </c>
      <c r="R162">
        <v>30.59</v>
      </c>
      <c r="S162">
        <v>274.11900000000003</v>
      </c>
      <c r="V162" t="s">
        <v>5288</v>
      </c>
      <c r="W162">
        <v>1.1319999999999999</v>
      </c>
      <c r="X162">
        <v>1</v>
      </c>
      <c r="Y162">
        <v>2.02</v>
      </c>
      <c r="AA162">
        <v>0.72</v>
      </c>
      <c r="AB162">
        <v>13.52</v>
      </c>
      <c r="AE162">
        <v>1.1200000000000001</v>
      </c>
      <c r="AF162">
        <v>0.66</v>
      </c>
      <c r="AI162">
        <v>1</v>
      </c>
      <c r="AL162">
        <v>42.697499999999998</v>
      </c>
      <c r="AQ162">
        <v>-2.3038861009999998</v>
      </c>
    </row>
    <row r="163" spans="4:43">
      <c r="D163" t="s">
        <v>4766</v>
      </c>
      <c r="E163" t="s">
        <v>4308</v>
      </c>
      <c r="F163" t="s">
        <v>4763</v>
      </c>
      <c r="H163" t="s">
        <v>4764</v>
      </c>
      <c r="I163" t="s">
        <v>4843</v>
      </c>
      <c r="J163" t="s">
        <v>4767</v>
      </c>
      <c r="K163">
        <v>4</v>
      </c>
      <c r="M163">
        <v>4</v>
      </c>
      <c r="O163">
        <v>70.036000000000001</v>
      </c>
      <c r="P163">
        <v>-162.76599999999999</v>
      </c>
      <c r="Q163">
        <v>7.5</v>
      </c>
      <c r="R163">
        <v>29.8</v>
      </c>
      <c r="S163">
        <v>285.20100000000002</v>
      </c>
      <c r="V163" t="s">
        <v>5288</v>
      </c>
      <c r="W163">
        <v>1.2969999999999999</v>
      </c>
      <c r="X163">
        <v>2</v>
      </c>
      <c r="Y163">
        <v>1.6559999999999999</v>
      </c>
      <c r="AA163">
        <v>0.66</v>
      </c>
      <c r="AB163">
        <v>13.88</v>
      </c>
      <c r="AE163">
        <v>0.84</v>
      </c>
      <c r="AF163">
        <v>0.26</v>
      </c>
      <c r="AI163">
        <v>2</v>
      </c>
      <c r="AL163">
        <v>50.936100000000003</v>
      </c>
      <c r="AQ163">
        <v>-2.657458112</v>
      </c>
    </row>
    <row r="164" spans="4:43">
      <c r="D164" t="s">
        <v>4768</v>
      </c>
      <c r="E164" t="s">
        <v>4308</v>
      </c>
      <c r="F164" t="s">
        <v>4769</v>
      </c>
      <c r="H164" t="s">
        <v>4770</v>
      </c>
      <c r="I164" t="s">
        <v>4860</v>
      </c>
      <c r="J164" t="s">
        <v>4771</v>
      </c>
      <c r="K164">
        <v>18</v>
      </c>
      <c r="M164">
        <v>18</v>
      </c>
      <c r="O164">
        <v>70.141000000000005</v>
      </c>
      <c r="P164">
        <v>-163.05099999999999</v>
      </c>
      <c r="Q164">
        <v>7.53</v>
      </c>
      <c r="R164">
        <v>30.74</v>
      </c>
      <c r="S164">
        <v>269.846</v>
      </c>
      <c r="V164" t="s">
        <v>5288</v>
      </c>
      <c r="W164">
        <v>0.72799999999999998</v>
      </c>
      <c r="X164">
        <v>1</v>
      </c>
      <c r="Y164">
        <v>1.46</v>
      </c>
      <c r="AA164">
        <v>0.81</v>
      </c>
      <c r="AB164">
        <v>16.02</v>
      </c>
      <c r="AE164">
        <v>0.75</v>
      </c>
      <c r="AF164">
        <v>0.26</v>
      </c>
      <c r="AI164">
        <v>1</v>
      </c>
      <c r="AL164">
        <v>48.185099999999998</v>
      </c>
      <c r="AQ164">
        <v>-2.212536568</v>
      </c>
    </row>
    <row r="165" spans="4:43">
      <c r="D165" t="s">
        <v>4772</v>
      </c>
      <c r="E165" t="s">
        <v>4308</v>
      </c>
      <c r="F165" t="s">
        <v>4769</v>
      </c>
      <c r="H165" t="s">
        <v>4770</v>
      </c>
      <c r="I165" t="s">
        <v>4860</v>
      </c>
      <c r="J165" t="s">
        <v>4773</v>
      </c>
      <c r="K165">
        <v>5</v>
      </c>
      <c r="M165">
        <v>5</v>
      </c>
      <c r="O165">
        <v>70.141000000000005</v>
      </c>
      <c r="P165">
        <v>-163.05099999999999</v>
      </c>
      <c r="Q165">
        <v>7.59</v>
      </c>
      <c r="R165">
        <v>30.68</v>
      </c>
      <c r="S165">
        <v>272.762</v>
      </c>
      <c r="V165" t="s">
        <v>5288</v>
      </c>
      <c r="W165">
        <v>1.0089999999999999</v>
      </c>
      <c r="X165">
        <v>3</v>
      </c>
      <c r="Y165">
        <v>1.9039999999999999</v>
      </c>
      <c r="AA165">
        <v>0.81</v>
      </c>
      <c r="AB165">
        <v>15.66</v>
      </c>
      <c r="AE165">
        <v>0.89</v>
      </c>
      <c r="AF165">
        <v>0.25</v>
      </c>
      <c r="AI165">
        <v>3</v>
      </c>
      <c r="AL165">
        <v>47.186900000000001</v>
      </c>
      <c r="AQ165">
        <v>-2.4287856400000001</v>
      </c>
    </row>
    <row r="166" spans="4:43">
      <c r="D166" t="s">
        <v>4774</v>
      </c>
      <c r="E166" t="s">
        <v>4308</v>
      </c>
      <c r="F166" t="s">
        <v>4775</v>
      </c>
      <c r="H166" t="s">
        <v>4776</v>
      </c>
      <c r="I166" t="s">
        <v>4863</v>
      </c>
      <c r="J166" t="s">
        <v>4777</v>
      </c>
      <c r="K166">
        <v>26</v>
      </c>
      <c r="M166">
        <v>26</v>
      </c>
      <c r="O166">
        <v>70.268000000000001</v>
      </c>
      <c r="P166">
        <v>-163.40600000000001</v>
      </c>
      <c r="Q166">
        <v>7.34</v>
      </c>
      <c r="R166">
        <v>30.76</v>
      </c>
      <c r="S166">
        <v>266.99599999999998</v>
      </c>
      <c r="V166" t="s">
        <v>5288</v>
      </c>
      <c r="W166">
        <v>0.65300000000000002</v>
      </c>
      <c r="X166">
        <v>1</v>
      </c>
      <c r="Y166">
        <v>1.284</v>
      </c>
      <c r="AA166">
        <v>0.82</v>
      </c>
      <c r="AB166">
        <v>11.39</v>
      </c>
      <c r="AE166">
        <v>1.1100000000000001</v>
      </c>
      <c r="AF166">
        <v>0.49</v>
      </c>
      <c r="AI166">
        <v>1</v>
      </c>
      <c r="AL166">
        <v>69.302899999999994</v>
      </c>
      <c r="AQ166">
        <v>-2.1577746310000001</v>
      </c>
    </row>
    <row r="167" spans="4:43">
      <c r="D167" t="s">
        <v>4778</v>
      </c>
      <c r="E167" t="s">
        <v>4308</v>
      </c>
      <c r="F167" t="s">
        <v>4775</v>
      </c>
      <c r="H167" t="s">
        <v>4776</v>
      </c>
      <c r="I167" t="s">
        <v>4863</v>
      </c>
      <c r="J167" t="s">
        <v>4779</v>
      </c>
      <c r="K167">
        <v>5</v>
      </c>
      <c r="M167">
        <v>5</v>
      </c>
      <c r="O167">
        <v>70.268000000000001</v>
      </c>
      <c r="P167">
        <v>-163.40600000000001</v>
      </c>
      <c r="Q167">
        <v>7.62</v>
      </c>
      <c r="R167">
        <v>30.69</v>
      </c>
      <c r="S167">
        <v>282.08100000000002</v>
      </c>
      <c r="V167" t="s">
        <v>5288</v>
      </c>
      <c r="W167">
        <v>1.395</v>
      </c>
      <c r="X167">
        <v>4</v>
      </c>
      <c r="Y167">
        <v>1.788</v>
      </c>
      <c r="AA167">
        <v>0.74</v>
      </c>
      <c r="AB167">
        <v>9.25</v>
      </c>
      <c r="AE167">
        <v>0.43</v>
      </c>
      <c r="AF167">
        <v>0.28999999999999998</v>
      </c>
      <c r="AI167">
        <v>4</v>
      </c>
      <c r="AL167">
        <v>73.437299999999993</v>
      </c>
      <c r="AQ167">
        <v>-2.1680136970000001</v>
      </c>
    </row>
    <row r="168" spans="4:43">
      <c r="D168" t="s">
        <v>4780</v>
      </c>
      <c r="E168" t="s">
        <v>4308</v>
      </c>
      <c r="F168" t="s">
        <v>4781</v>
      </c>
      <c r="H168" t="s">
        <v>4782</v>
      </c>
      <c r="I168" t="s">
        <v>4866</v>
      </c>
      <c r="J168" t="s">
        <v>4783</v>
      </c>
      <c r="K168">
        <v>16</v>
      </c>
      <c r="M168">
        <v>15</v>
      </c>
      <c r="O168">
        <v>70.397999999999996</v>
      </c>
      <c r="P168">
        <v>-163.76499999999999</v>
      </c>
      <c r="Q168">
        <v>6.94</v>
      </c>
      <c r="R168">
        <v>31.06</v>
      </c>
      <c r="S168">
        <v>282.916</v>
      </c>
      <c r="V168" t="s">
        <v>5288</v>
      </c>
      <c r="W168">
        <v>2.89</v>
      </c>
      <c r="X168">
        <v>3</v>
      </c>
      <c r="Y168">
        <v>3.4319999999999999</v>
      </c>
      <c r="AA168">
        <v>0.6</v>
      </c>
      <c r="AB168">
        <v>7.12</v>
      </c>
      <c r="AE168">
        <v>0.4</v>
      </c>
      <c r="AF168">
        <v>0.22</v>
      </c>
      <c r="AI168">
        <v>3</v>
      </c>
      <c r="AL168">
        <v>83.299099999999996</v>
      </c>
    </row>
    <row r="169" spans="4:43">
      <c r="D169" t="s">
        <v>4784</v>
      </c>
      <c r="E169" t="s">
        <v>4308</v>
      </c>
      <c r="F169" t="s">
        <v>4781</v>
      </c>
      <c r="H169" t="s">
        <v>4782</v>
      </c>
      <c r="I169" t="s">
        <v>4866</v>
      </c>
      <c r="J169" t="s">
        <v>4785</v>
      </c>
      <c r="K169">
        <v>29</v>
      </c>
      <c r="M169">
        <v>30</v>
      </c>
      <c r="O169">
        <v>70.397999999999996</v>
      </c>
      <c r="P169">
        <v>-163.76499999999999</v>
      </c>
      <c r="Q169">
        <v>6.62</v>
      </c>
      <c r="R169">
        <v>31.21</v>
      </c>
      <c r="S169">
        <v>284.77699999999999</v>
      </c>
      <c r="V169" t="s">
        <v>5288</v>
      </c>
      <c r="W169">
        <v>1.67</v>
      </c>
      <c r="X169">
        <v>1</v>
      </c>
      <c r="Y169">
        <v>3.036</v>
      </c>
      <c r="AA169">
        <v>0.73</v>
      </c>
      <c r="AB169">
        <v>9.25</v>
      </c>
      <c r="AE169">
        <v>0.83</v>
      </c>
      <c r="AF169">
        <v>0.71</v>
      </c>
      <c r="AI169">
        <v>1</v>
      </c>
      <c r="AL169">
        <v>85.2136</v>
      </c>
      <c r="AQ169">
        <v>-1.6005134700000001</v>
      </c>
    </row>
    <row r="170" spans="4:43">
      <c r="D170" t="s">
        <v>4786</v>
      </c>
      <c r="E170" t="s">
        <v>4308</v>
      </c>
      <c r="F170" t="s">
        <v>4781</v>
      </c>
      <c r="H170" t="s">
        <v>4782</v>
      </c>
      <c r="I170" t="s">
        <v>4866</v>
      </c>
      <c r="J170" t="s">
        <v>4787</v>
      </c>
      <c r="K170">
        <v>5</v>
      </c>
      <c r="M170">
        <v>5</v>
      </c>
      <c r="O170">
        <v>70.397999999999996</v>
      </c>
      <c r="P170">
        <v>-163.76499999999999</v>
      </c>
      <c r="Q170">
        <v>7.27</v>
      </c>
      <c r="R170">
        <v>30.96</v>
      </c>
      <c r="S170">
        <v>294.25099999999998</v>
      </c>
      <c r="V170" t="s">
        <v>5288</v>
      </c>
      <c r="W170">
        <v>2.5459999999999998</v>
      </c>
      <c r="X170">
        <v>5</v>
      </c>
      <c r="Y170">
        <v>2.2400000000000002</v>
      </c>
      <c r="AA170">
        <v>0.57999999999999996</v>
      </c>
      <c r="AB170">
        <v>6.76</v>
      </c>
      <c r="AE170">
        <v>0.37</v>
      </c>
      <c r="AF170">
        <v>0.11</v>
      </c>
      <c r="AI170">
        <v>5</v>
      </c>
      <c r="AL170">
        <v>86.188000000000002</v>
      </c>
      <c r="AQ170">
        <v>-1.8857226499999999</v>
      </c>
    </row>
    <row r="171" spans="4:43">
      <c r="D171" t="s">
        <v>4307</v>
      </c>
      <c r="E171" t="s">
        <v>4308</v>
      </c>
      <c r="F171" t="s">
        <v>4309</v>
      </c>
      <c r="H171" t="s">
        <v>4310</v>
      </c>
      <c r="I171" t="s">
        <v>4789</v>
      </c>
      <c r="J171" t="s">
        <v>4311</v>
      </c>
      <c r="K171">
        <v>0</v>
      </c>
      <c r="M171">
        <v>2</v>
      </c>
      <c r="O171">
        <v>70.924999999999997</v>
      </c>
      <c r="P171">
        <v>-159.94300000000001</v>
      </c>
      <c r="Q171">
        <v>8.2899999999999991</v>
      </c>
      <c r="R171">
        <v>30.92</v>
      </c>
      <c r="S171">
        <v>283.15899999999999</v>
      </c>
      <c r="W171">
        <v>0.39900000000000002</v>
      </c>
      <c r="X171">
        <v>7</v>
      </c>
      <c r="AI171">
        <v>7</v>
      </c>
      <c r="AL171">
        <v>94.687100000000001</v>
      </c>
    </row>
    <row r="172" spans="4:43">
      <c r="D172" t="s">
        <v>4307</v>
      </c>
      <c r="E172" t="s">
        <v>4308</v>
      </c>
      <c r="F172" t="s">
        <v>4309</v>
      </c>
      <c r="H172" t="s">
        <v>4310</v>
      </c>
      <c r="I172" t="s">
        <v>4789</v>
      </c>
      <c r="J172" t="s">
        <v>4311</v>
      </c>
      <c r="K172">
        <v>0</v>
      </c>
      <c r="M172">
        <v>2</v>
      </c>
      <c r="O172">
        <v>70.924999999999997</v>
      </c>
      <c r="P172">
        <v>-159.94300000000001</v>
      </c>
      <c r="Q172">
        <v>8.2899999999999991</v>
      </c>
      <c r="R172">
        <v>30.92</v>
      </c>
      <c r="S172">
        <v>283.15899999999999</v>
      </c>
      <c r="W172">
        <v>0.39900000000000002</v>
      </c>
      <c r="X172">
        <v>8</v>
      </c>
      <c r="AI172">
        <v>8</v>
      </c>
      <c r="AL172">
        <v>94.687100000000001</v>
      </c>
    </row>
    <row r="173" spans="4:43">
      <c r="D173" t="s">
        <v>4307</v>
      </c>
      <c r="E173" t="s">
        <v>4308</v>
      </c>
      <c r="F173" t="s">
        <v>4309</v>
      </c>
      <c r="H173" t="s">
        <v>4310</v>
      </c>
      <c r="I173" t="s">
        <v>4789</v>
      </c>
      <c r="J173" t="s">
        <v>4311</v>
      </c>
      <c r="K173">
        <v>0</v>
      </c>
      <c r="M173">
        <v>2</v>
      </c>
      <c r="O173">
        <v>70.924999999999997</v>
      </c>
      <c r="P173">
        <v>-159.94300000000001</v>
      </c>
      <c r="Q173">
        <v>8.2899999999999991</v>
      </c>
      <c r="R173">
        <v>30.92</v>
      </c>
      <c r="S173">
        <v>283.15899999999999</v>
      </c>
      <c r="W173">
        <v>0.39900000000000002</v>
      </c>
      <c r="X173">
        <v>9</v>
      </c>
      <c r="AI173">
        <v>9</v>
      </c>
      <c r="AL173">
        <v>94.687100000000001</v>
      </c>
    </row>
    <row r="174" spans="4:43">
      <c r="D174" t="s">
        <v>4307</v>
      </c>
      <c r="E174" t="s">
        <v>4308</v>
      </c>
      <c r="F174" t="s">
        <v>4309</v>
      </c>
      <c r="H174" t="s">
        <v>4310</v>
      </c>
      <c r="I174" t="s">
        <v>4789</v>
      </c>
      <c r="J174" t="s">
        <v>4311</v>
      </c>
      <c r="K174">
        <v>0</v>
      </c>
      <c r="M174">
        <v>2</v>
      </c>
      <c r="O174">
        <v>70.924999999999997</v>
      </c>
      <c r="P174">
        <v>-159.94300000000001</v>
      </c>
      <c r="Q174">
        <v>8.2799999999999994</v>
      </c>
      <c r="R174">
        <v>30.92</v>
      </c>
      <c r="S174">
        <v>283.15899999999999</v>
      </c>
      <c r="W174">
        <v>0.39900000000000002</v>
      </c>
      <c r="X174">
        <v>10</v>
      </c>
      <c r="AI174">
        <v>10</v>
      </c>
      <c r="AL174">
        <v>94.687100000000001</v>
      </c>
    </row>
    <row r="175" spans="4:43">
      <c r="D175" t="s">
        <v>4307</v>
      </c>
      <c r="E175" t="s">
        <v>4308</v>
      </c>
      <c r="F175" t="s">
        <v>4309</v>
      </c>
      <c r="H175" t="s">
        <v>4310</v>
      </c>
      <c r="I175" t="s">
        <v>4789</v>
      </c>
      <c r="J175" t="s">
        <v>4311</v>
      </c>
      <c r="K175">
        <v>0</v>
      </c>
      <c r="M175">
        <v>2</v>
      </c>
      <c r="O175">
        <v>70.924999999999997</v>
      </c>
      <c r="P175">
        <v>-159.94300000000001</v>
      </c>
      <c r="Q175">
        <v>8.2799999999999994</v>
      </c>
      <c r="R175">
        <v>30.92</v>
      </c>
      <c r="S175">
        <v>283.15899999999999</v>
      </c>
      <c r="W175">
        <v>0.39900000000000002</v>
      </c>
      <c r="X175">
        <v>11</v>
      </c>
      <c r="AI175">
        <v>11</v>
      </c>
      <c r="AL175">
        <v>94.687100000000001</v>
      </c>
    </row>
    <row r="176" spans="4:43">
      <c r="D176" t="s">
        <v>4307</v>
      </c>
      <c r="E176" t="s">
        <v>4308</v>
      </c>
      <c r="F176" t="s">
        <v>4309</v>
      </c>
      <c r="H176" t="s">
        <v>4310</v>
      </c>
      <c r="I176" t="s">
        <v>4789</v>
      </c>
      <c r="J176" t="s">
        <v>4311</v>
      </c>
      <c r="K176">
        <v>0</v>
      </c>
      <c r="M176">
        <v>2</v>
      </c>
      <c r="O176">
        <v>70.924999999999997</v>
      </c>
      <c r="P176">
        <v>-159.94300000000001</v>
      </c>
      <c r="Q176">
        <v>8.2799999999999994</v>
      </c>
      <c r="R176">
        <v>30.92</v>
      </c>
      <c r="S176">
        <v>283.15899999999999</v>
      </c>
      <c r="W176">
        <v>0.39900000000000002</v>
      </c>
      <c r="X176">
        <v>12</v>
      </c>
      <c r="AI176">
        <v>12</v>
      </c>
      <c r="AL176">
        <v>94.687100000000001</v>
      </c>
    </row>
    <row r="177" spans="4:38">
      <c r="D177" t="s">
        <v>4307</v>
      </c>
      <c r="E177" t="s">
        <v>4308</v>
      </c>
      <c r="F177" t="s">
        <v>4309</v>
      </c>
      <c r="H177" t="s">
        <v>4310</v>
      </c>
      <c r="I177" t="s">
        <v>4789</v>
      </c>
      <c r="J177" t="s">
        <v>4311</v>
      </c>
      <c r="K177">
        <v>0</v>
      </c>
      <c r="M177">
        <v>2</v>
      </c>
      <c r="O177">
        <v>70.924999999999997</v>
      </c>
      <c r="P177">
        <v>-159.94300000000001</v>
      </c>
      <c r="Q177">
        <v>8.2799999999999994</v>
      </c>
      <c r="R177">
        <v>30.92</v>
      </c>
      <c r="S177">
        <v>283.15899999999999</v>
      </c>
      <c r="W177">
        <v>0.39900000000000002</v>
      </c>
      <c r="X177">
        <v>13</v>
      </c>
      <c r="AI177">
        <v>13</v>
      </c>
      <c r="AL177">
        <v>94.687100000000001</v>
      </c>
    </row>
    <row r="178" spans="4:38">
      <c r="D178" t="s">
        <v>4307</v>
      </c>
      <c r="E178" t="s">
        <v>4308</v>
      </c>
      <c r="F178" t="s">
        <v>4309</v>
      </c>
      <c r="H178" t="s">
        <v>4310</v>
      </c>
      <c r="I178" t="s">
        <v>4789</v>
      </c>
      <c r="J178" t="s">
        <v>4311</v>
      </c>
      <c r="K178">
        <v>0</v>
      </c>
      <c r="M178">
        <v>2</v>
      </c>
      <c r="O178">
        <v>70.924999999999997</v>
      </c>
      <c r="P178">
        <v>-159.94300000000001</v>
      </c>
      <c r="Q178">
        <v>8.2799999999999994</v>
      </c>
      <c r="R178">
        <v>30.92</v>
      </c>
      <c r="S178">
        <v>283.15899999999999</v>
      </c>
      <c r="W178">
        <v>0.39900000000000002</v>
      </c>
      <c r="X178">
        <v>14</v>
      </c>
      <c r="AI178">
        <v>14</v>
      </c>
      <c r="AL178">
        <v>94.687100000000001</v>
      </c>
    </row>
    <row r="179" spans="4:38">
      <c r="D179" t="s">
        <v>4307</v>
      </c>
      <c r="E179" t="s">
        <v>4308</v>
      </c>
      <c r="F179" t="s">
        <v>4309</v>
      </c>
      <c r="H179" t="s">
        <v>4310</v>
      </c>
      <c r="I179" t="s">
        <v>4789</v>
      </c>
      <c r="J179" t="s">
        <v>4311</v>
      </c>
      <c r="K179">
        <v>0</v>
      </c>
      <c r="M179">
        <v>2</v>
      </c>
      <c r="O179">
        <v>70.924999999999997</v>
      </c>
      <c r="P179">
        <v>-159.94300000000001</v>
      </c>
      <c r="Q179">
        <v>8.27</v>
      </c>
      <c r="R179">
        <v>30.92</v>
      </c>
      <c r="S179">
        <v>283.15899999999999</v>
      </c>
      <c r="W179">
        <v>0.39900000000000002</v>
      </c>
      <c r="X179">
        <v>15</v>
      </c>
      <c r="AI179">
        <v>15</v>
      </c>
      <c r="AL179">
        <v>94.687100000000001</v>
      </c>
    </row>
    <row r="180" spans="4:38">
      <c r="D180" t="s">
        <v>4320</v>
      </c>
      <c r="E180" t="s">
        <v>4308</v>
      </c>
      <c r="F180" t="s">
        <v>4317</v>
      </c>
      <c r="H180" t="s">
        <v>4318</v>
      </c>
      <c r="I180" t="s">
        <v>4823</v>
      </c>
      <c r="J180" t="s">
        <v>4321</v>
      </c>
      <c r="K180">
        <v>20</v>
      </c>
      <c r="M180">
        <v>21</v>
      </c>
      <c r="O180">
        <v>68.125</v>
      </c>
      <c r="P180">
        <v>-167.49799999999999</v>
      </c>
      <c r="Q180">
        <v>6.03</v>
      </c>
      <c r="R180">
        <v>32.04</v>
      </c>
      <c r="S180">
        <v>273.09100000000001</v>
      </c>
      <c r="W180">
        <v>0.98199999999999998</v>
      </c>
      <c r="X180">
        <v>6</v>
      </c>
      <c r="AI180">
        <v>6</v>
      </c>
      <c r="AL180">
        <v>78.221999999999994</v>
      </c>
    </row>
    <row r="181" spans="4:38">
      <c r="D181" t="s">
        <v>4330</v>
      </c>
      <c r="E181" t="s">
        <v>4308</v>
      </c>
      <c r="F181" t="s">
        <v>4325</v>
      </c>
      <c r="H181" t="s">
        <v>4326</v>
      </c>
      <c r="I181" t="s">
        <v>4827</v>
      </c>
      <c r="J181" t="s">
        <v>4331</v>
      </c>
      <c r="K181">
        <v>47</v>
      </c>
      <c r="M181">
        <v>47</v>
      </c>
      <c r="O181">
        <v>68.012</v>
      </c>
      <c r="P181">
        <v>-167.86600000000001</v>
      </c>
      <c r="Q181">
        <v>4.68</v>
      </c>
      <c r="R181">
        <v>32.26</v>
      </c>
      <c r="S181">
        <v>237.113</v>
      </c>
      <c r="W181">
        <v>0.503</v>
      </c>
      <c r="X181">
        <v>2</v>
      </c>
      <c r="AI181">
        <v>2</v>
      </c>
      <c r="AL181">
        <v>53.455599999999997</v>
      </c>
    </row>
    <row r="182" spans="4:38">
      <c r="D182" t="s">
        <v>4338</v>
      </c>
      <c r="E182" t="s">
        <v>4308</v>
      </c>
      <c r="F182" t="s">
        <v>4333</v>
      </c>
      <c r="H182" t="s">
        <v>4334</v>
      </c>
      <c r="I182" t="s">
        <v>4831</v>
      </c>
      <c r="J182" t="s">
        <v>4339</v>
      </c>
      <c r="K182">
        <v>53</v>
      </c>
      <c r="M182">
        <v>54</v>
      </c>
      <c r="O182">
        <v>67.897000000000006</v>
      </c>
      <c r="P182">
        <v>-168.23699999999999</v>
      </c>
      <c r="Q182">
        <v>4.1900000000000004</v>
      </c>
      <c r="R182">
        <v>32.6</v>
      </c>
      <c r="S182">
        <v>235.81200000000001</v>
      </c>
      <c r="W182">
        <v>0.65100000000000002</v>
      </c>
      <c r="X182">
        <v>2</v>
      </c>
      <c r="AI182">
        <v>2</v>
      </c>
      <c r="AL182">
        <v>28.193999999999999</v>
      </c>
    </row>
    <row r="183" spans="4:38">
      <c r="D183" t="s">
        <v>4346</v>
      </c>
      <c r="E183" t="s">
        <v>4308</v>
      </c>
      <c r="F183" t="s">
        <v>4341</v>
      </c>
      <c r="H183" t="s">
        <v>4342</v>
      </c>
      <c r="I183" t="s">
        <v>4835</v>
      </c>
      <c r="J183" t="s">
        <v>4347</v>
      </c>
      <c r="K183">
        <v>5</v>
      </c>
      <c r="M183">
        <v>5</v>
      </c>
      <c r="O183">
        <v>67.784000000000006</v>
      </c>
      <c r="P183">
        <v>-168.60499999999999</v>
      </c>
      <c r="Q183">
        <v>5.57</v>
      </c>
      <c r="R183">
        <v>32.69</v>
      </c>
      <c r="S183">
        <v>393.01799999999997</v>
      </c>
      <c r="W183">
        <v>13.21</v>
      </c>
      <c r="X183">
        <v>6</v>
      </c>
      <c r="AI183">
        <v>6</v>
      </c>
      <c r="AL183">
        <v>70.646100000000004</v>
      </c>
    </row>
    <row r="184" spans="4:38">
      <c r="D184" t="s">
        <v>4354</v>
      </c>
      <c r="E184" t="s">
        <v>4308</v>
      </c>
      <c r="F184" t="s">
        <v>4349</v>
      </c>
      <c r="H184" t="s">
        <v>4350</v>
      </c>
      <c r="I184" t="s">
        <v>4839</v>
      </c>
      <c r="J184" t="s">
        <v>4355</v>
      </c>
      <c r="K184">
        <v>43</v>
      </c>
      <c r="M184">
        <v>44</v>
      </c>
      <c r="O184">
        <v>67.667000000000002</v>
      </c>
      <c r="P184">
        <v>-168.95500000000001</v>
      </c>
      <c r="Q184">
        <v>3.82</v>
      </c>
      <c r="R184">
        <v>32.75</v>
      </c>
      <c r="S184">
        <v>253.74799999999999</v>
      </c>
      <c r="W184">
        <v>0.70399999999999996</v>
      </c>
      <c r="X184">
        <v>1</v>
      </c>
      <c r="AI184">
        <v>1</v>
      </c>
      <c r="AL184">
        <v>54.078600000000002</v>
      </c>
    </row>
    <row r="185" spans="4:38">
      <c r="D185" t="s">
        <v>4354</v>
      </c>
      <c r="E185" t="s">
        <v>4308</v>
      </c>
      <c r="F185" t="s">
        <v>4349</v>
      </c>
      <c r="H185" t="s">
        <v>4350</v>
      </c>
      <c r="I185" t="s">
        <v>4839</v>
      </c>
      <c r="J185" t="s">
        <v>4355</v>
      </c>
      <c r="K185">
        <v>43</v>
      </c>
      <c r="M185">
        <v>44</v>
      </c>
      <c r="O185">
        <v>67.667000000000002</v>
      </c>
      <c r="P185">
        <v>-168.95500000000001</v>
      </c>
      <c r="Q185">
        <v>3.82</v>
      </c>
      <c r="R185">
        <v>32.75</v>
      </c>
      <c r="S185">
        <v>253.74799999999999</v>
      </c>
      <c r="W185">
        <v>0.70399999999999996</v>
      </c>
      <c r="X185">
        <v>2</v>
      </c>
      <c r="AI185">
        <v>2</v>
      </c>
      <c r="AL185">
        <v>54.078600000000002</v>
      </c>
    </row>
    <row r="186" spans="4:38">
      <c r="D186" t="s">
        <v>4354</v>
      </c>
      <c r="E186" t="s">
        <v>4308</v>
      </c>
      <c r="F186" t="s">
        <v>4349</v>
      </c>
      <c r="H186" t="s">
        <v>4350</v>
      </c>
      <c r="I186" t="s">
        <v>4839</v>
      </c>
      <c r="J186" t="s">
        <v>4355</v>
      </c>
      <c r="K186">
        <v>43</v>
      </c>
      <c r="M186">
        <v>44</v>
      </c>
      <c r="O186">
        <v>67.667000000000002</v>
      </c>
      <c r="P186">
        <v>-168.95500000000001</v>
      </c>
      <c r="Q186">
        <v>3.82</v>
      </c>
      <c r="R186">
        <v>32.75</v>
      </c>
      <c r="S186">
        <v>253.74799999999999</v>
      </c>
      <c r="W186">
        <v>0.70399999999999996</v>
      </c>
      <c r="X186">
        <v>3</v>
      </c>
      <c r="AI186">
        <v>3</v>
      </c>
      <c r="AL186">
        <v>54.078600000000002</v>
      </c>
    </row>
    <row r="187" spans="4:38">
      <c r="D187" t="s">
        <v>4354</v>
      </c>
      <c r="E187" t="s">
        <v>4308</v>
      </c>
      <c r="F187" t="s">
        <v>4349</v>
      </c>
      <c r="H187" t="s">
        <v>4350</v>
      </c>
      <c r="I187" t="s">
        <v>4839</v>
      </c>
      <c r="J187" t="s">
        <v>4355</v>
      </c>
      <c r="K187">
        <v>43</v>
      </c>
      <c r="M187">
        <v>44</v>
      </c>
      <c r="O187">
        <v>67.667000000000002</v>
      </c>
      <c r="P187">
        <v>-168.95500000000001</v>
      </c>
      <c r="Q187">
        <v>3.82</v>
      </c>
      <c r="R187">
        <v>32.75</v>
      </c>
      <c r="S187">
        <v>253.74799999999999</v>
      </c>
      <c r="W187">
        <v>0.70399999999999996</v>
      </c>
      <c r="X187">
        <v>4</v>
      </c>
      <c r="AI187">
        <v>4</v>
      </c>
      <c r="AL187">
        <v>54.078600000000002</v>
      </c>
    </row>
    <row r="188" spans="4:38">
      <c r="D188" t="s">
        <v>4375</v>
      </c>
      <c r="E188" t="s">
        <v>4308</v>
      </c>
      <c r="F188" t="s">
        <v>4370</v>
      </c>
      <c r="H188" t="s">
        <v>4371</v>
      </c>
      <c r="I188" t="s">
        <v>4812</v>
      </c>
      <c r="J188" t="s">
        <v>4376</v>
      </c>
      <c r="K188">
        <v>5</v>
      </c>
      <c r="M188">
        <v>5</v>
      </c>
      <c r="O188">
        <v>68.299000000000007</v>
      </c>
      <c r="P188">
        <v>-166.93600000000001</v>
      </c>
      <c r="Q188">
        <v>10.31</v>
      </c>
      <c r="R188">
        <v>30.07</v>
      </c>
      <c r="S188">
        <v>267.52600000000001</v>
      </c>
      <c r="W188">
        <v>1.198</v>
      </c>
      <c r="X188">
        <v>5</v>
      </c>
      <c r="AI188">
        <v>5</v>
      </c>
      <c r="AL188">
        <v>86.043199999999999</v>
      </c>
    </row>
    <row r="189" spans="4:38">
      <c r="D189" t="s">
        <v>4381</v>
      </c>
      <c r="E189" t="s">
        <v>4308</v>
      </c>
      <c r="F189" t="s">
        <v>4378</v>
      </c>
      <c r="H189" t="s">
        <v>4379</v>
      </c>
      <c r="I189" t="s">
        <v>4816</v>
      </c>
      <c r="J189" t="s">
        <v>4382</v>
      </c>
      <c r="K189">
        <v>4</v>
      </c>
      <c r="M189">
        <v>4</v>
      </c>
      <c r="O189">
        <v>68.242999999999995</v>
      </c>
      <c r="P189">
        <v>-167.124</v>
      </c>
      <c r="Q189">
        <v>8.5</v>
      </c>
      <c r="R189">
        <v>31.49</v>
      </c>
      <c r="S189">
        <v>284.08600000000001</v>
      </c>
      <c r="W189">
        <v>1.2070000000000001</v>
      </c>
      <c r="X189">
        <v>6</v>
      </c>
      <c r="AI189">
        <v>6</v>
      </c>
      <c r="AL189">
        <v>89.798199999999994</v>
      </c>
    </row>
    <row r="190" spans="4:38">
      <c r="D190" t="s">
        <v>4389</v>
      </c>
      <c r="E190" t="s">
        <v>4308</v>
      </c>
      <c r="F190" t="s">
        <v>4386</v>
      </c>
      <c r="H190" t="s">
        <v>4387</v>
      </c>
      <c r="I190" t="s">
        <v>4820</v>
      </c>
      <c r="J190" t="s">
        <v>4390</v>
      </c>
      <c r="K190">
        <v>5</v>
      </c>
      <c r="M190">
        <v>5</v>
      </c>
      <c r="O190">
        <v>68.186000000000007</v>
      </c>
      <c r="P190">
        <v>-167.30699999999999</v>
      </c>
      <c r="Q190">
        <v>7.64</v>
      </c>
      <c r="R190">
        <v>31.78</v>
      </c>
      <c r="S190">
        <v>288.62</v>
      </c>
      <c r="W190">
        <v>2.2330000000000001</v>
      </c>
      <c r="X190">
        <v>6</v>
      </c>
      <c r="AI190">
        <v>6</v>
      </c>
      <c r="AL190">
        <v>86.027299999999997</v>
      </c>
    </row>
    <row r="191" spans="4:38">
      <c r="D191" t="s">
        <v>4407</v>
      </c>
      <c r="E191" t="s">
        <v>4308</v>
      </c>
      <c r="F191" t="s">
        <v>4408</v>
      </c>
      <c r="H191" t="s">
        <v>4409</v>
      </c>
      <c r="I191" t="s">
        <v>4808</v>
      </c>
      <c r="J191" t="s">
        <v>4410</v>
      </c>
      <c r="K191">
        <v>21</v>
      </c>
      <c r="M191">
        <v>21</v>
      </c>
      <c r="O191">
        <v>69.034000000000006</v>
      </c>
      <c r="P191">
        <v>-168.893</v>
      </c>
      <c r="Q191">
        <v>5.71</v>
      </c>
      <c r="R191">
        <v>32.06</v>
      </c>
      <c r="S191">
        <v>289.29000000000002</v>
      </c>
      <c r="W191">
        <v>0.76300000000000001</v>
      </c>
      <c r="X191">
        <v>4</v>
      </c>
      <c r="AI191">
        <v>4</v>
      </c>
      <c r="AL191">
        <v>95.361900000000006</v>
      </c>
    </row>
    <row r="192" spans="4:38">
      <c r="D192" t="s">
        <v>4510</v>
      </c>
      <c r="E192" t="s">
        <v>4308</v>
      </c>
      <c r="F192" t="s">
        <v>4500</v>
      </c>
      <c r="H192" t="s">
        <v>4501</v>
      </c>
      <c r="I192" t="s">
        <v>5018</v>
      </c>
      <c r="J192" t="s">
        <v>4511</v>
      </c>
      <c r="K192">
        <v>46</v>
      </c>
      <c r="M192">
        <v>46</v>
      </c>
      <c r="O192">
        <v>71.361000000000004</v>
      </c>
      <c r="P192">
        <v>-159.69300000000001</v>
      </c>
      <c r="Q192">
        <v>-1.66</v>
      </c>
      <c r="R192">
        <v>32.47</v>
      </c>
      <c r="S192">
        <v>230.339</v>
      </c>
      <c r="W192">
        <v>0.44500000000000001</v>
      </c>
      <c r="X192">
        <v>1</v>
      </c>
      <c r="AI192">
        <v>1</v>
      </c>
      <c r="AL192">
        <v>72.700599999999994</v>
      </c>
    </row>
    <row r="193" spans="4:38">
      <c r="D193" t="s">
        <v>4510</v>
      </c>
      <c r="E193" t="s">
        <v>4308</v>
      </c>
      <c r="F193" t="s">
        <v>4500</v>
      </c>
      <c r="H193" t="s">
        <v>4501</v>
      </c>
      <c r="I193" t="s">
        <v>5018</v>
      </c>
      <c r="J193" t="s">
        <v>4511</v>
      </c>
      <c r="K193">
        <v>46</v>
      </c>
      <c r="M193">
        <v>46</v>
      </c>
      <c r="O193">
        <v>71.361000000000004</v>
      </c>
      <c r="P193">
        <v>-159.69300000000001</v>
      </c>
      <c r="Q193">
        <v>-1.66</v>
      </c>
      <c r="R193">
        <v>32.47</v>
      </c>
      <c r="S193">
        <v>230.339</v>
      </c>
      <c r="W193">
        <v>0.44500000000000001</v>
      </c>
      <c r="X193">
        <v>2</v>
      </c>
      <c r="AI193">
        <v>2</v>
      </c>
      <c r="AL193">
        <v>72.700599999999994</v>
      </c>
    </row>
    <row r="194" spans="4:38">
      <c r="D194" t="s">
        <v>4510</v>
      </c>
      <c r="E194" t="s">
        <v>4308</v>
      </c>
      <c r="F194" t="s">
        <v>4500</v>
      </c>
      <c r="H194" t="s">
        <v>4501</v>
      </c>
      <c r="I194" t="s">
        <v>5018</v>
      </c>
      <c r="J194" t="s">
        <v>4511</v>
      </c>
      <c r="K194">
        <v>46</v>
      </c>
      <c r="M194">
        <v>46</v>
      </c>
      <c r="O194">
        <v>71.361000000000004</v>
      </c>
      <c r="P194">
        <v>-159.69300000000001</v>
      </c>
      <c r="Q194">
        <v>-1.66</v>
      </c>
      <c r="R194">
        <v>32.47</v>
      </c>
      <c r="S194">
        <v>230.339</v>
      </c>
      <c r="W194">
        <v>0.44500000000000001</v>
      </c>
      <c r="X194">
        <v>3</v>
      </c>
      <c r="AI194">
        <v>3</v>
      </c>
      <c r="AL194">
        <v>72.700599999999994</v>
      </c>
    </row>
    <row r="195" spans="4:38">
      <c r="D195" t="s">
        <v>4510</v>
      </c>
      <c r="E195" t="s">
        <v>4308</v>
      </c>
      <c r="F195" t="s">
        <v>4500</v>
      </c>
      <c r="H195" t="s">
        <v>4501</v>
      </c>
      <c r="I195" t="s">
        <v>5018</v>
      </c>
      <c r="J195" t="s">
        <v>4511</v>
      </c>
      <c r="K195">
        <v>46</v>
      </c>
      <c r="M195">
        <v>46</v>
      </c>
      <c r="O195">
        <v>71.361000000000004</v>
      </c>
      <c r="P195">
        <v>-159.69300000000001</v>
      </c>
      <c r="Q195">
        <v>-1.66</v>
      </c>
      <c r="R195">
        <v>32.47</v>
      </c>
      <c r="S195">
        <v>230.339</v>
      </c>
      <c r="W195">
        <v>0.44500000000000001</v>
      </c>
      <c r="X195">
        <v>4</v>
      </c>
      <c r="AI195">
        <v>4</v>
      </c>
      <c r="AL195">
        <v>72.700599999999994</v>
      </c>
    </row>
    <row r="196" spans="4:38">
      <c r="D196" t="s">
        <v>4510</v>
      </c>
      <c r="E196" t="s">
        <v>4308</v>
      </c>
      <c r="F196" t="s">
        <v>4500</v>
      </c>
      <c r="H196" t="s">
        <v>4501</v>
      </c>
      <c r="I196" t="s">
        <v>5018</v>
      </c>
      <c r="J196" t="s">
        <v>4511</v>
      </c>
      <c r="K196">
        <v>46</v>
      </c>
      <c r="M196">
        <v>46</v>
      </c>
      <c r="O196">
        <v>71.361000000000004</v>
      </c>
      <c r="P196">
        <v>-159.69300000000001</v>
      </c>
      <c r="Q196">
        <v>-1.66</v>
      </c>
      <c r="R196">
        <v>32.47</v>
      </c>
      <c r="S196">
        <v>230.339</v>
      </c>
      <c r="W196">
        <v>0.44500000000000001</v>
      </c>
      <c r="X196">
        <v>5</v>
      </c>
      <c r="AI196">
        <v>5</v>
      </c>
      <c r="AL196">
        <v>72.700599999999994</v>
      </c>
    </row>
    <row r="197" spans="4:38">
      <c r="D197" t="s">
        <v>4510</v>
      </c>
      <c r="E197" t="s">
        <v>4308</v>
      </c>
      <c r="F197" t="s">
        <v>4500</v>
      </c>
      <c r="H197" t="s">
        <v>4501</v>
      </c>
      <c r="I197" t="s">
        <v>5018</v>
      </c>
      <c r="J197" t="s">
        <v>4511</v>
      </c>
      <c r="K197">
        <v>46</v>
      </c>
      <c r="M197">
        <v>46</v>
      </c>
      <c r="O197">
        <v>71.361000000000004</v>
      </c>
      <c r="P197">
        <v>-159.69300000000001</v>
      </c>
      <c r="Q197">
        <v>-1.66</v>
      </c>
      <c r="R197">
        <v>32.47</v>
      </c>
      <c r="S197">
        <v>230.339</v>
      </c>
      <c r="W197">
        <v>0.44500000000000001</v>
      </c>
      <c r="X197">
        <v>6</v>
      </c>
      <c r="AI197">
        <v>6</v>
      </c>
      <c r="AL197">
        <v>72.700599999999994</v>
      </c>
    </row>
    <row r="198" spans="4:38">
      <c r="D198" t="s">
        <v>4510</v>
      </c>
      <c r="E198" t="s">
        <v>4308</v>
      </c>
      <c r="F198" t="s">
        <v>4500</v>
      </c>
      <c r="H198" t="s">
        <v>4501</v>
      </c>
      <c r="I198" t="s">
        <v>5018</v>
      </c>
      <c r="J198" t="s">
        <v>4511</v>
      </c>
      <c r="K198">
        <v>46</v>
      </c>
      <c r="M198">
        <v>46</v>
      </c>
      <c r="O198">
        <v>71.361000000000004</v>
      </c>
      <c r="P198">
        <v>-159.69300000000001</v>
      </c>
      <c r="Q198">
        <v>-1.66</v>
      </c>
      <c r="R198">
        <v>32.47</v>
      </c>
      <c r="S198">
        <v>230.339</v>
      </c>
      <c r="W198">
        <v>0.44500000000000001</v>
      </c>
      <c r="X198">
        <v>7</v>
      </c>
      <c r="AI198">
        <v>7</v>
      </c>
      <c r="AL198">
        <v>72.700599999999994</v>
      </c>
    </row>
    <row r="199" spans="4:38">
      <c r="D199" t="s">
        <v>4518</v>
      </c>
      <c r="E199" t="s">
        <v>4308</v>
      </c>
      <c r="F199" t="s">
        <v>4515</v>
      </c>
      <c r="H199" t="s">
        <v>4516</v>
      </c>
      <c r="I199" t="s">
        <v>4965</v>
      </c>
      <c r="J199" t="s">
        <v>4519</v>
      </c>
      <c r="K199">
        <v>5</v>
      </c>
      <c r="M199">
        <v>5</v>
      </c>
      <c r="O199">
        <v>71.323999999999998</v>
      </c>
      <c r="P199">
        <v>-160.65600000000001</v>
      </c>
      <c r="Q199">
        <v>4.63</v>
      </c>
      <c r="R199">
        <v>28.26</v>
      </c>
      <c r="S199">
        <v>330.46100000000001</v>
      </c>
      <c r="W199">
        <v>0.27400000000000002</v>
      </c>
      <c r="X199">
        <v>6</v>
      </c>
      <c r="AI199">
        <v>6</v>
      </c>
      <c r="AL199">
        <v>95.463899999999995</v>
      </c>
    </row>
    <row r="200" spans="4:38">
      <c r="D200" t="s">
        <v>4518</v>
      </c>
      <c r="E200" t="s">
        <v>4308</v>
      </c>
      <c r="F200" t="s">
        <v>4515</v>
      </c>
      <c r="H200" t="s">
        <v>4516</v>
      </c>
      <c r="I200" t="s">
        <v>4965</v>
      </c>
      <c r="J200" t="s">
        <v>4519</v>
      </c>
      <c r="K200">
        <v>5</v>
      </c>
      <c r="M200">
        <v>5</v>
      </c>
      <c r="O200">
        <v>71.323999999999998</v>
      </c>
      <c r="P200">
        <v>-160.65600000000001</v>
      </c>
      <c r="Q200">
        <v>4.63</v>
      </c>
      <c r="R200">
        <v>28.26</v>
      </c>
      <c r="S200">
        <v>330.46100000000001</v>
      </c>
      <c r="W200">
        <v>0.27400000000000002</v>
      </c>
      <c r="X200">
        <v>7</v>
      </c>
      <c r="AI200">
        <v>7</v>
      </c>
      <c r="AL200">
        <v>95.463899999999995</v>
      </c>
    </row>
    <row r="201" spans="4:38">
      <c r="D201" t="s">
        <v>4553</v>
      </c>
      <c r="E201" t="s">
        <v>4308</v>
      </c>
      <c r="F201" t="s">
        <v>4554</v>
      </c>
      <c r="H201" t="s">
        <v>4555</v>
      </c>
      <c r="I201" t="s">
        <v>4944</v>
      </c>
      <c r="J201" t="s">
        <v>4556</v>
      </c>
      <c r="K201">
        <v>15</v>
      </c>
      <c r="M201">
        <v>15</v>
      </c>
      <c r="O201">
        <v>72.168999999999997</v>
      </c>
      <c r="P201">
        <v>-163.108</v>
      </c>
      <c r="Q201">
        <v>5.87</v>
      </c>
      <c r="R201">
        <v>31.44</v>
      </c>
      <c r="S201">
        <v>295.31700000000001</v>
      </c>
      <c r="W201">
        <v>0.48599999999999999</v>
      </c>
      <c r="X201">
        <v>2</v>
      </c>
      <c r="AI201">
        <v>2</v>
      </c>
      <c r="AL201">
        <v>94.705100000000002</v>
      </c>
    </row>
    <row r="202" spans="4:38">
      <c r="D202" t="s">
        <v>4571</v>
      </c>
      <c r="E202" t="s">
        <v>4308</v>
      </c>
      <c r="F202" t="s">
        <v>4566</v>
      </c>
      <c r="H202" t="s">
        <v>4567</v>
      </c>
      <c r="I202" t="s">
        <v>4981</v>
      </c>
      <c r="J202" t="s">
        <v>4572</v>
      </c>
      <c r="K202">
        <v>5</v>
      </c>
      <c r="M202">
        <v>5</v>
      </c>
      <c r="O202">
        <v>71.850999999999999</v>
      </c>
      <c r="P202">
        <v>-162.15799999999999</v>
      </c>
      <c r="Q202">
        <v>4.12</v>
      </c>
      <c r="R202">
        <v>26.81</v>
      </c>
      <c r="S202">
        <v>327.52100000000002</v>
      </c>
      <c r="W202">
        <v>0.39</v>
      </c>
      <c r="X202">
        <v>7</v>
      </c>
      <c r="AI202">
        <v>7</v>
      </c>
      <c r="AL202">
        <v>94.899500000000003</v>
      </c>
    </row>
    <row r="203" spans="4:38">
      <c r="D203" t="s">
        <v>4571</v>
      </c>
      <c r="E203" t="s">
        <v>4308</v>
      </c>
      <c r="F203" t="s">
        <v>4566</v>
      </c>
      <c r="H203" t="s">
        <v>4567</v>
      </c>
      <c r="I203" t="s">
        <v>4981</v>
      </c>
      <c r="J203" t="s">
        <v>4572</v>
      </c>
      <c r="K203">
        <v>5</v>
      </c>
      <c r="M203">
        <v>5</v>
      </c>
      <c r="O203">
        <v>71.850999999999999</v>
      </c>
      <c r="P203">
        <v>-162.15799999999999</v>
      </c>
      <c r="Q203">
        <v>4.12</v>
      </c>
      <c r="R203">
        <v>26.81</v>
      </c>
      <c r="S203">
        <v>327.52100000000002</v>
      </c>
      <c r="W203">
        <v>0.39</v>
      </c>
      <c r="X203">
        <v>8</v>
      </c>
      <c r="AI203">
        <v>8</v>
      </c>
      <c r="AL203">
        <v>94.899500000000003</v>
      </c>
    </row>
    <row r="204" spans="4:38">
      <c r="D204" t="s">
        <v>4579</v>
      </c>
      <c r="E204" t="s">
        <v>4308</v>
      </c>
      <c r="F204" t="s">
        <v>4574</v>
      </c>
      <c r="H204" t="s">
        <v>4575</v>
      </c>
      <c r="I204" t="s">
        <v>4946</v>
      </c>
      <c r="J204" t="s">
        <v>4580</v>
      </c>
      <c r="K204">
        <v>5</v>
      </c>
      <c r="M204">
        <v>5</v>
      </c>
      <c r="O204">
        <v>72.239000000000004</v>
      </c>
      <c r="P204">
        <v>-163.31700000000001</v>
      </c>
      <c r="Q204">
        <v>6.87</v>
      </c>
      <c r="R204">
        <v>31.28</v>
      </c>
      <c r="S204">
        <v>291.005</v>
      </c>
      <c r="W204">
        <v>0.30399999999999999</v>
      </c>
      <c r="X204">
        <v>7</v>
      </c>
      <c r="AI204">
        <v>7</v>
      </c>
      <c r="AL204">
        <v>94.936499999999995</v>
      </c>
    </row>
    <row r="205" spans="4:38">
      <c r="D205" t="s">
        <v>4587</v>
      </c>
      <c r="E205" t="s">
        <v>4308</v>
      </c>
      <c r="F205" t="s">
        <v>4588</v>
      </c>
      <c r="H205" t="s">
        <v>4589</v>
      </c>
      <c r="I205" t="s">
        <v>4953</v>
      </c>
      <c r="J205" t="s">
        <v>4590</v>
      </c>
      <c r="K205">
        <v>30</v>
      </c>
      <c r="M205">
        <v>30</v>
      </c>
      <c r="O205">
        <v>72.497</v>
      </c>
      <c r="P205">
        <v>-164.10300000000001</v>
      </c>
      <c r="Q205">
        <v>-1.04</v>
      </c>
      <c r="R205">
        <v>32.47</v>
      </c>
      <c r="S205">
        <v>283.70699999999999</v>
      </c>
      <c r="W205">
        <v>1.3819999999999999</v>
      </c>
      <c r="X205">
        <v>4</v>
      </c>
      <c r="AI205">
        <v>4</v>
      </c>
      <c r="AL205">
        <v>85.068200000000004</v>
      </c>
    </row>
    <row r="206" spans="4:38">
      <c r="D206" t="s">
        <v>4591</v>
      </c>
      <c r="E206" t="s">
        <v>4308</v>
      </c>
      <c r="F206" t="s">
        <v>4588</v>
      </c>
      <c r="H206" t="s">
        <v>4589</v>
      </c>
      <c r="I206" t="s">
        <v>4953</v>
      </c>
      <c r="J206" t="s">
        <v>4592</v>
      </c>
      <c r="K206">
        <v>44</v>
      </c>
      <c r="M206">
        <v>44</v>
      </c>
      <c r="O206">
        <v>72.497</v>
      </c>
      <c r="P206">
        <v>-164.10300000000001</v>
      </c>
      <c r="Q206">
        <v>-1.1499999999999999</v>
      </c>
      <c r="R206">
        <v>32.479999999999997</v>
      </c>
      <c r="S206">
        <v>269.50299999999999</v>
      </c>
      <c r="W206">
        <v>0.60199999999999998</v>
      </c>
      <c r="X206">
        <v>2</v>
      </c>
      <c r="AI206">
        <v>2</v>
      </c>
      <c r="AL206">
        <v>75.281999999999996</v>
      </c>
    </row>
    <row r="207" spans="4:38">
      <c r="D207" t="s">
        <v>4615</v>
      </c>
      <c r="E207" t="s">
        <v>4308</v>
      </c>
      <c r="F207" t="s">
        <v>4612</v>
      </c>
      <c r="H207" t="s">
        <v>4613</v>
      </c>
      <c r="I207" t="s">
        <v>4900</v>
      </c>
      <c r="J207" t="s">
        <v>4616</v>
      </c>
      <c r="K207">
        <v>5</v>
      </c>
      <c r="M207">
        <v>5</v>
      </c>
      <c r="O207">
        <v>71.994</v>
      </c>
      <c r="P207">
        <v>-164.95400000000001</v>
      </c>
      <c r="Q207">
        <v>7.31</v>
      </c>
      <c r="R207">
        <v>31.1</v>
      </c>
      <c r="S207">
        <v>286.71199999999999</v>
      </c>
      <c r="W207">
        <v>0.41199999999999998</v>
      </c>
      <c r="X207">
        <v>6</v>
      </c>
      <c r="AI207">
        <v>6</v>
      </c>
      <c r="AL207">
        <v>93.736999999999995</v>
      </c>
    </row>
    <row r="208" spans="4:38">
      <c r="D208" t="s">
        <v>4639</v>
      </c>
      <c r="E208" t="s">
        <v>4308</v>
      </c>
      <c r="F208" t="s">
        <v>5293</v>
      </c>
      <c r="H208" t="s">
        <v>4640</v>
      </c>
      <c r="I208" t="s">
        <v>4925</v>
      </c>
      <c r="J208" t="s">
        <v>4641</v>
      </c>
      <c r="K208">
        <v>40</v>
      </c>
      <c r="M208">
        <v>40</v>
      </c>
      <c r="O208">
        <v>71.361999999999995</v>
      </c>
      <c r="P208">
        <v>-163.00299999999999</v>
      </c>
      <c r="Q208">
        <v>-0.28000000000000003</v>
      </c>
      <c r="R208">
        <v>32.200000000000003</v>
      </c>
      <c r="S208">
        <v>340.06299999999999</v>
      </c>
      <c r="W208">
        <v>2.585</v>
      </c>
      <c r="X208">
        <v>1</v>
      </c>
      <c r="AI208">
        <v>1</v>
      </c>
      <c r="AL208">
        <v>82.043099999999995</v>
      </c>
    </row>
    <row r="209" spans="4:46">
      <c r="D209" t="s">
        <v>4639</v>
      </c>
      <c r="E209" t="s">
        <v>4308</v>
      </c>
      <c r="F209" t="s">
        <v>5293</v>
      </c>
      <c r="H209" t="s">
        <v>4640</v>
      </c>
      <c r="I209" t="s">
        <v>4925</v>
      </c>
      <c r="J209" t="s">
        <v>4641</v>
      </c>
      <c r="K209">
        <v>40</v>
      </c>
      <c r="M209">
        <v>40</v>
      </c>
      <c r="O209">
        <v>71.361999999999995</v>
      </c>
      <c r="P209">
        <v>-163.00299999999999</v>
      </c>
      <c r="Q209">
        <v>-0.28000000000000003</v>
      </c>
      <c r="R209">
        <v>32.200000000000003</v>
      </c>
      <c r="S209">
        <v>340.06299999999999</v>
      </c>
      <c r="W209">
        <v>2.585</v>
      </c>
      <c r="X209">
        <v>2</v>
      </c>
      <c r="AI209">
        <v>2</v>
      </c>
      <c r="AL209">
        <v>82.043099999999995</v>
      </c>
    </row>
    <row r="210" spans="4:46">
      <c r="D210" t="s">
        <v>4639</v>
      </c>
      <c r="E210" t="s">
        <v>4308</v>
      </c>
      <c r="F210" t="s">
        <v>5293</v>
      </c>
      <c r="H210" t="s">
        <v>4640</v>
      </c>
      <c r="I210" t="s">
        <v>4925</v>
      </c>
      <c r="J210" t="s">
        <v>4641</v>
      </c>
      <c r="K210">
        <v>40</v>
      </c>
      <c r="M210">
        <v>40</v>
      </c>
      <c r="O210">
        <v>71.361999999999995</v>
      </c>
      <c r="P210">
        <v>-163.00299999999999</v>
      </c>
      <c r="Q210">
        <v>-0.28000000000000003</v>
      </c>
      <c r="R210">
        <v>32.200000000000003</v>
      </c>
      <c r="S210">
        <v>340.06299999999999</v>
      </c>
      <c r="W210">
        <v>2.585</v>
      </c>
      <c r="X210">
        <v>3</v>
      </c>
      <c r="AI210">
        <v>3</v>
      </c>
      <c r="AL210">
        <v>82.043099999999995</v>
      </c>
    </row>
    <row r="211" spans="4:46">
      <c r="D211" t="s">
        <v>4642</v>
      </c>
      <c r="E211" t="s">
        <v>4308</v>
      </c>
      <c r="F211" t="s">
        <v>5293</v>
      </c>
      <c r="H211" t="s">
        <v>4640</v>
      </c>
      <c r="I211" t="s">
        <v>4925</v>
      </c>
      <c r="J211" t="s">
        <v>4643</v>
      </c>
      <c r="K211">
        <v>5</v>
      </c>
      <c r="M211">
        <v>5</v>
      </c>
      <c r="O211">
        <v>71.361999999999995</v>
      </c>
      <c r="P211">
        <v>-163.00299999999999</v>
      </c>
      <c r="Q211">
        <v>5.5</v>
      </c>
      <c r="R211">
        <v>29.51</v>
      </c>
      <c r="S211">
        <v>313.90800000000002</v>
      </c>
      <c r="W211">
        <v>0.16600000000000001</v>
      </c>
      <c r="X211">
        <v>9</v>
      </c>
      <c r="AI211">
        <v>9</v>
      </c>
      <c r="AL211">
        <v>95.699600000000004</v>
      </c>
    </row>
    <row r="212" spans="4:46">
      <c r="D212" t="s">
        <v>4721</v>
      </c>
      <c r="E212" t="s">
        <v>4308</v>
      </c>
      <c r="F212" t="s">
        <v>4716</v>
      </c>
      <c r="H212" t="s">
        <v>4722</v>
      </c>
      <c r="I212" t="s">
        <v>4852</v>
      </c>
      <c r="J212" t="s">
        <v>4723</v>
      </c>
      <c r="K212">
        <v>40</v>
      </c>
      <c r="M212">
        <v>40</v>
      </c>
      <c r="O212">
        <v>71.385999999999996</v>
      </c>
      <c r="P212">
        <v>-166.822</v>
      </c>
      <c r="Q212">
        <v>-7.0000000000000007E-2</v>
      </c>
      <c r="R212">
        <v>32.369999999999997</v>
      </c>
      <c r="S212">
        <v>276.435</v>
      </c>
      <c r="W212">
        <v>1.216</v>
      </c>
      <c r="X212">
        <v>2</v>
      </c>
      <c r="AI212">
        <v>2</v>
      </c>
      <c r="AL212">
        <v>29.6524</v>
      </c>
    </row>
    <row r="213" spans="4:46">
      <c r="D213" t="s">
        <v>4721</v>
      </c>
      <c r="E213" t="s">
        <v>4308</v>
      </c>
      <c r="F213" t="s">
        <v>4716</v>
      </c>
      <c r="H213" t="s">
        <v>4722</v>
      </c>
      <c r="I213" t="s">
        <v>4852</v>
      </c>
      <c r="J213" t="s">
        <v>4723</v>
      </c>
      <c r="K213">
        <v>40</v>
      </c>
      <c r="M213">
        <v>40</v>
      </c>
      <c r="O213">
        <v>71.385999999999996</v>
      </c>
      <c r="P213">
        <v>-166.822</v>
      </c>
      <c r="Q213">
        <v>-0.05</v>
      </c>
      <c r="R213">
        <v>32.369999999999997</v>
      </c>
      <c r="S213">
        <v>276.435</v>
      </c>
      <c r="W213">
        <v>1.216</v>
      </c>
      <c r="X213">
        <v>4</v>
      </c>
      <c r="AI213">
        <v>4</v>
      </c>
      <c r="AL213">
        <v>29.6524</v>
      </c>
    </row>
    <row r="214" spans="4:46">
      <c r="D214" t="s">
        <v>4724</v>
      </c>
      <c r="E214" t="s">
        <v>4308</v>
      </c>
      <c r="F214" t="s">
        <v>4725</v>
      </c>
      <c r="H214" t="s">
        <v>4726</v>
      </c>
      <c r="I214" t="s">
        <v>4855</v>
      </c>
      <c r="J214" t="s">
        <v>4727</v>
      </c>
      <c r="K214">
        <v>35</v>
      </c>
      <c r="M214">
        <v>35</v>
      </c>
      <c r="O214">
        <v>71.507000000000005</v>
      </c>
      <c r="P214">
        <v>-167.221</v>
      </c>
      <c r="Q214">
        <v>1.71</v>
      </c>
      <c r="R214">
        <v>32.159999999999997</v>
      </c>
      <c r="S214">
        <v>302.935</v>
      </c>
      <c r="W214">
        <v>3.7490000000000001</v>
      </c>
      <c r="X214">
        <v>3</v>
      </c>
      <c r="AI214">
        <v>3</v>
      </c>
      <c r="AL214">
        <v>75.246499999999997</v>
      </c>
    </row>
    <row r="215" spans="4:46">
      <c r="D215" t="e">
        <v>#N/A</v>
      </c>
      <c r="E215" t="s">
        <v>4308</v>
      </c>
      <c r="F215" t="s">
        <v>4309</v>
      </c>
      <c r="H215" t="s">
        <v>4310</v>
      </c>
      <c r="I215" t="s">
        <v>4789</v>
      </c>
      <c r="J215" t="s">
        <v>5049</v>
      </c>
      <c r="K215" t="e">
        <v>#N/A</v>
      </c>
      <c r="L215" t="e">
        <v>#N/A</v>
      </c>
      <c r="M215">
        <v>10</v>
      </c>
      <c r="O215">
        <v>70.924999999999997</v>
      </c>
      <c r="P215">
        <v>-159.94300000000001</v>
      </c>
      <c r="Q215">
        <v>7.97</v>
      </c>
      <c r="R215">
        <v>31</v>
      </c>
      <c r="S215">
        <v>285.55599999999998</v>
      </c>
      <c r="W215">
        <v>0.44</v>
      </c>
      <c r="X215">
        <v>4</v>
      </c>
      <c r="AI215">
        <v>4</v>
      </c>
      <c r="AL215">
        <v>94.704499999999996</v>
      </c>
      <c r="AT215" t="e">
        <v>#N/A</v>
      </c>
    </row>
    <row r="216" spans="4:46">
      <c r="D216" t="e">
        <v>#N/A</v>
      </c>
      <c r="E216" t="s">
        <v>4308</v>
      </c>
      <c r="F216" t="s">
        <v>4309</v>
      </c>
      <c r="H216" t="s">
        <v>4310</v>
      </c>
      <c r="I216" t="s">
        <v>4789</v>
      </c>
      <c r="J216" t="s">
        <v>5050</v>
      </c>
      <c r="K216" t="e">
        <v>#N/A</v>
      </c>
      <c r="L216" t="e">
        <v>#N/A</v>
      </c>
      <c r="M216">
        <v>3</v>
      </c>
      <c r="O216">
        <v>70.924999999999997</v>
      </c>
      <c r="P216">
        <v>-159.94300000000001</v>
      </c>
      <c r="Q216">
        <v>8.2899999999999991</v>
      </c>
      <c r="R216">
        <v>30.92</v>
      </c>
      <c r="S216">
        <v>283.17500000000001</v>
      </c>
      <c r="W216">
        <v>0.41499999999999998</v>
      </c>
      <c r="X216">
        <v>5</v>
      </c>
      <c r="AI216">
        <v>5</v>
      </c>
      <c r="AL216">
        <v>94.691299999999998</v>
      </c>
      <c r="AT216" t="e">
        <v>#N/A</v>
      </c>
    </row>
    <row r="217" spans="4:46">
      <c r="D217" t="e">
        <v>#N/A</v>
      </c>
      <c r="E217" t="s">
        <v>4308</v>
      </c>
      <c r="F217" t="s">
        <v>4309</v>
      </c>
      <c r="H217" t="s">
        <v>4310</v>
      </c>
      <c r="I217" t="s">
        <v>4789</v>
      </c>
      <c r="J217" t="s">
        <v>5051</v>
      </c>
      <c r="K217" t="e">
        <v>#N/A</v>
      </c>
      <c r="L217" t="e">
        <v>#N/A</v>
      </c>
      <c r="M217">
        <v>40</v>
      </c>
      <c r="O217">
        <v>70.924999999999997</v>
      </c>
      <c r="P217">
        <v>-159.94300000000001</v>
      </c>
      <c r="Q217">
        <v>4.07</v>
      </c>
      <c r="R217">
        <v>31.55</v>
      </c>
      <c r="S217">
        <v>291.38499999999999</v>
      </c>
      <c r="W217">
        <v>1.77</v>
      </c>
      <c r="X217">
        <v>2</v>
      </c>
      <c r="AI217">
        <v>2</v>
      </c>
      <c r="AL217">
        <v>78.3035</v>
      </c>
      <c r="AT217" t="e">
        <v>#N/A</v>
      </c>
    </row>
    <row r="218" spans="4:46">
      <c r="D218" t="e">
        <v>#N/A</v>
      </c>
      <c r="E218" t="s">
        <v>4308</v>
      </c>
      <c r="F218" t="s">
        <v>4349</v>
      </c>
      <c r="H218" t="s">
        <v>4350</v>
      </c>
      <c r="I218" t="s">
        <v>4839</v>
      </c>
      <c r="J218" t="s">
        <v>5097</v>
      </c>
      <c r="K218" t="e">
        <v>#N/A</v>
      </c>
      <c r="L218" t="e">
        <v>#N/A</v>
      </c>
      <c r="M218">
        <v>10</v>
      </c>
      <c r="O218">
        <v>67.667000000000002</v>
      </c>
      <c r="P218">
        <v>-168.95500000000001</v>
      </c>
      <c r="Q218">
        <v>6.04</v>
      </c>
      <c r="R218">
        <v>32.65</v>
      </c>
      <c r="S218">
        <v>377.41199999999998</v>
      </c>
      <c r="W218">
        <v>8.5559999999999992</v>
      </c>
      <c r="X218">
        <v>9</v>
      </c>
      <c r="Y218">
        <v>15.584</v>
      </c>
      <c r="AA218">
        <v>0.18</v>
      </c>
      <c r="AB218">
        <v>2.85</v>
      </c>
      <c r="AE218">
        <v>0.26</v>
      </c>
      <c r="AF218">
        <v>0.5</v>
      </c>
      <c r="AI218">
        <v>9</v>
      </c>
      <c r="AL218">
        <v>71.644300000000001</v>
      </c>
      <c r="AQ218">
        <v>-1.0900421360000001</v>
      </c>
      <c r="AT218" t="e">
        <v>#N/A</v>
      </c>
    </row>
    <row r="219" spans="4:46">
      <c r="D219" t="e">
        <v>#N/A</v>
      </c>
      <c r="E219" t="s">
        <v>4308</v>
      </c>
      <c r="F219" t="s">
        <v>4349</v>
      </c>
      <c r="H219" t="s">
        <v>4350</v>
      </c>
      <c r="I219" t="s">
        <v>4839</v>
      </c>
      <c r="J219" t="s">
        <v>5098</v>
      </c>
      <c r="K219" t="e">
        <v>#N/A</v>
      </c>
      <c r="L219" t="e">
        <v>#N/A</v>
      </c>
      <c r="M219">
        <v>21</v>
      </c>
      <c r="O219">
        <v>67.667000000000002</v>
      </c>
      <c r="P219">
        <v>-168.95500000000001</v>
      </c>
      <c r="Q219">
        <v>3.83</v>
      </c>
      <c r="R219">
        <v>32.75</v>
      </c>
      <c r="S219">
        <v>256</v>
      </c>
      <c r="W219">
        <v>1.31</v>
      </c>
      <c r="X219">
        <v>7</v>
      </c>
      <c r="Y219">
        <v>2.915</v>
      </c>
      <c r="AA219">
        <v>2.1</v>
      </c>
      <c r="AB219">
        <v>40.21</v>
      </c>
      <c r="AE219">
        <v>3.1</v>
      </c>
      <c r="AF219">
        <v>16.57</v>
      </c>
      <c r="AI219">
        <v>7</v>
      </c>
      <c r="AL219">
        <v>73.881600000000006</v>
      </c>
      <c r="AQ219">
        <v>-1.1531092999999999</v>
      </c>
      <c r="AT219" t="e">
        <v>#N/A</v>
      </c>
    </row>
    <row r="220" spans="4:46">
      <c r="D220" t="e">
        <v>#N/A</v>
      </c>
      <c r="E220" t="s">
        <v>4308</v>
      </c>
      <c r="F220" t="s">
        <v>4349</v>
      </c>
      <c r="H220" t="s">
        <v>4350</v>
      </c>
      <c r="I220" t="s">
        <v>4839</v>
      </c>
      <c r="J220" t="s">
        <v>5099</v>
      </c>
      <c r="K220" t="e">
        <v>#N/A</v>
      </c>
      <c r="L220" t="e">
        <v>#N/A</v>
      </c>
      <c r="M220">
        <v>31</v>
      </c>
      <c r="O220">
        <v>67.667000000000002</v>
      </c>
      <c r="P220">
        <v>-168.95500000000001</v>
      </c>
      <c r="Q220">
        <v>3.82</v>
      </c>
      <c r="R220">
        <v>32.75</v>
      </c>
      <c r="S220">
        <v>255.982</v>
      </c>
      <c r="W220">
        <v>0.77900000000000003</v>
      </c>
      <c r="X220">
        <v>6</v>
      </c>
      <c r="Y220">
        <v>1.5620000000000001</v>
      </c>
      <c r="AA220">
        <v>2.04</v>
      </c>
      <c r="AB220">
        <v>41.99</v>
      </c>
      <c r="AE220">
        <v>3.28</v>
      </c>
      <c r="AF220">
        <v>17.43</v>
      </c>
      <c r="AI220">
        <v>6</v>
      </c>
      <c r="AL220">
        <v>70.037400000000005</v>
      </c>
      <c r="AQ220">
        <v>-0.61574756399999997</v>
      </c>
      <c r="AT220" t="e">
        <v>#N/A</v>
      </c>
    </row>
    <row r="221" spans="4:46">
      <c r="D221" t="e">
        <v>#N/A</v>
      </c>
      <c r="E221" t="s">
        <v>4308</v>
      </c>
      <c r="F221" t="s">
        <v>4341</v>
      </c>
      <c r="H221" t="s">
        <v>4342</v>
      </c>
      <c r="I221" t="s">
        <v>4835</v>
      </c>
      <c r="J221" t="s">
        <v>5095</v>
      </c>
      <c r="K221" t="e">
        <v>#N/A</v>
      </c>
      <c r="L221" t="e">
        <v>#N/A</v>
      </c>
      <c r="M221">
        <v>11</v>
      </c>
      <c r="O221">
        <v>67.784000000000006</v>
      </c>
      <c r="P221">
        <v>-168.60499999999999</v>
      </c>
      <c r="Q221">
        <v>5.56</v>
      </c>
      <c r="R221">
        <v>32.69</v>
      </c>
      <c r="S221">
        <v>393.25400000000002</v>
      </c>
      <c r="W221">
        <v>9.9109999999999996</v>
      </c>
      <c r="X221">
        <v>4</v>
      </c>
      <c r="Y221">
        <v>20.704000000000001</v>
      </c>
      <c r="AA221">
        <v>0.28000000000000003</v>
      </c>
      <c r="AB221">
        <v>5.69</v>
      </c>
      <c r="AE221">
        <v>0.39</v>
      </c>
      <c r="AF221">
        <v>0.31</v>
      </c>
      <c r="AI221">
        <v>4</v>
      </c>
      <c r="AL221">
        <v>70.013099999999994</v>
      </c>
      <c r="AQ221">
        <v>-1.223088671</v>
      </c>
      <c r="AT221" t="e">
        <v>#N/A</v>
      </c>
    </row>
    <row r="222" spans="4:46">
      <c r="D222" t="e">
        <v>#N/A</v>
      </c>
      <c r="E222" t="s">
        <v>4308</v>
      </c>
      <c r="F222" t="s">
        <v>4341</v>
      </c>
      <c r="H222" t="s">
        <v>4342</v>
      </c>
      <c r="I222" t="s">
        <v>4835</v>
      </c>
      <c r="J222" t="s">
        <v>5096</v>
      </c>
      <c r="K222" t="e">
        <v>#N/A</v>
      </c>
      <c r="L222" t="e">
        <v>#N/A</v>
      </c>
      <c r="M222">
        <v>43</v>
      </c>
      <c r="O222">
        <v>67.784000000000006</v>
      </c>
      <c r="P222">
        <v>-168.60499999999999</v>
      </c>
      <c r="Q222">
        <v>3.92</v>
      </c>
      <c r="R222">
        <v>32.69</v>
      </c>
      <c r="S222">
        <v>252.852</v>
      </c>
      <c r="W222">
        <v>0.56399999999999995</v>
      </c>
      <c r="X222">
        <v>1</v>
      </c>
      <c r="AI222">
        <v>1</v>
      </c>
      <c r="AL222">
        <v>60.820700000000002</v>
      </c>
      <c r="AT222" t="e">
        <v>#N/A</v>
      </c>
    </row>
    <row r="223" spans="4:46">
      <c r="D223" t="e">
        <v>#N/A</v>
      </c>
      <c r="E223" t="s">
        <v>4308</v>
      </c>
      <c r="F223" t="s">
        <v>4333</v>
      </c>
      <c r="H223" t="s">
        <v>4334</v>
      </c>
      <c r="I223" t="s">
        <v>4831</v>
      </c>
      <c r="J223" t="s">
        <v>5092</v>
      </c>
      <c r="K223" t="e">
        <v>#N/A</v>
      </c>
      <c r="L223" t="e">
        <v>#N/A</v>
      </c>
      <c r="M223">
        <v>30</v>
      </c>
      <c r="O223">
        <v>67.897000000000006</v>
      </c>
      <c r="P223">
        <v>-168.23699999999999</v>
      </c>
      <c r="Q223">
        <v>4.28</v>
      </c>
      <c r="R223">
        <v>32.590000000000003</v>
      </c>
      <c r="S223">
        <v>253.20500000000001</v>
      </c>
      <c r="W223">
        <v>0.32200000000000001</v>
      </c>
      <c r="X223">
        <v>4</v>
      </c>
      <c r="Y223">
        <v>0.88600000000000001</v>
      </c>
      <c r="AA223">
        <v>1.76</v>
      </c>
      <c r="AB223">
        <v>37.72</v>
      </c>
      <c r="AE223">
        <v>3.35</v>
      </c>
      <c r="AF223">
        <v>12.86</v>
      </c>
      <c r="AI223">
        <v>4</v>
      </c>
      <c r="AL223">
        <v>85.162300000000002</v>
      </c>
      <c r="AQ223">
        <v>-0.333263327</v>
      </c>
      <c r="AT223" t="e">
        <v>#N/A</v>
      </c>
    </row>
    <row r="224" spans="4:46">
      <c r="D224" t="e">
        <v>#N/A</v>
      </c>
      <c r="E224" t="s">
        <v>4308</v>
      </c>
      <c r="F224" t="s">
        <v>4333</v>
      </c>
      <c r="H224" t="s">
        <v>4334</v>
      </c>
      <c r="I224" t="s">
        <v>4831</v>
      </c>
      <c r="J224" t="s">
        <v>5093</v>
      </c>
      <c r="K224" t="e">
        <v>#N/A</v>
      </c>
      <c r="L224" t="e">
        <v>#N/A</v>
      </c>
      <c r="M224">
        <v>39</v>
      </c>
      <c r="O224">
        <v>67.897000000000006</v>
      </c>
      <c r="P224">
        <v>-168.23699999999999</v>
      </c>
      <c r="Q224">
        <v>4.25</v>
      </c>
      <c r="R224">
        <v>32.590000000000003</v>
      </c>
      <c r="S224">
        <v>242.72399999999999</v>
      </c>
      <c r="W224">
        <v>0.36</v>
      </c>
      <c r="X224">
        <v>3</v>
      </c>
      <c r="Y224">
        <v>1.123</v>
      </c>
      <c r="AA224">
        <v>1.78</v>
      </c>
      <c r="AB224">
        <v>41.99</v>
      </c>
      <c r="AE224">
        <v>4.0199999999999996</v>
      </c>
      <c r="AF224">
        <v>13</v>
      </c>
      <c r="AI224">
        <v>3</v>
      </c>
      <c r="AL224">
        <v>68.170500000000004</v>
      </c>
      <c r="AQ224">
        <v>-0.48015512999999999</v>
      </c>
      <c r="AT224" t="e">
        <v>#N/A</v>
      </c>
    </row>
    <row r="225" spans="4:46">
      <c r="D225" t="e">
        <v>#N/A</v>
      </c>
      <c r="E225" t="s">
        <v>4308</v>
      </c>
      <c r="F225" t="s">
        <v>4333</v>
      </c>
      <c r="H225" t="s">
        <v>4334</v>
      </c>
      <c r="I225" t="s">
        <v>4831</v>
      </c>
      <c r="J225" t="s">
        <v>5094</v>
      </c>
      <c r="K225" t="e">
        <v>#N/A</v>
      </c>
      <c r="L225" t="e">
        <v>#N/A</v>
      </c>
      <c r="M225">
        <v>9</v>
      </c>
      <c r="O225">
        <v>67.897000000000006</v>
      </c>
      <c r="P225">
        <v>-168.23699999999999</v>
      </c>
      <c r="Q225">
        <v>5.97</v>
      </c>
      <c r="R225">
        <v>32.42</v>
      </c>
      <c r="S225">
        <v>396.07299999999998</v>
      </c>
      <c r="W225">
        <v>12.631</v>
      </c>
      <c r="X225">
        <v>6</v>
      </c>
      <c r="Y225">
        <v>20.704000000000001</v>
      </c>
      <c r="AA225">
        <v>0.08</v>
      </c>
      <c r="AB225">
        <v>8.19</v>
      </c>
      <c r="AE225">
        <v>0.79</v>
      </c>
      <c r="AF225">
        <v>0.09</v>
      </c>
      <c r="AI225">
        <v>6</v>
      </c>
      <c r="AL225">
        <v>67.395799999999994</v>
      </c>
      <c r="AQ225">
        <v>-0.31066458800000002</v>
      </c>
      <c r="AT225" t="e">
        <v>#N/A</v>
      </c>
    </row>
    <row r="226" spans="4:46">
      <c r="D226" t="e">
        <v>#N/A</v>
      </c>
      <c r="E226" t="s">
        <v>4308</v>
      </c>
      <c r="F226" t="s">
        <v>4325</v>
      </c>
      <c r="H226" t="s">
        <v>4326</v>
      </c>
      <c r="I226" t="s">
        <v>4827</v>
      </c>
      <c r="J226" t="s">
        <v>5090</v>
      </c>
      <c r="K226" t="e">
        <v>#N/A</v>
      </c>
      <c r="L226" t="e">
        <v>#N/A</v>
      </c>
      <c r="M226">
        <v>11</v>
      </c>
      <c r="O226">
        <v>68.012</v>
      </c>
      <c r="P226">
        <v>-167.86600000000001</v>
      </c>
      <c r="Q226">
        <v>7.34</v>
      </c>
      <c r="R226">
        <v>31.76</v>
      </c>
      <c r="S226">
        <v>291.17099999999999</v>
      </c>
      <c r="W226">
        <v>0.76400000000000001</v>
      </c>
      <c r="X226">
        <v>5</v>
      </c>
      <c r="Y226">
        <v>0.92800000000000005</v>
      </c>
      <c r="AA226">
        <v>0.51</v>
      </c>
      <c r="AB226">
        <v>12.46</v>
      </c>
      <c r="AE226">
        <v>0.36</v>
      </c>
      <c r="AF226">
        <v>0.64</v>
      </c>
      <c r="AI226">
        <v>5</v>
      </c>
      <c r="AL226">
        <v>93.380799999999994</v>
      </c>
      <c r="AQ226">
        <v>-1.083258974</v>
      </c>
      <c r="AT226" t="e">
        <v>#N/A</v>
      </c>
    </row>
    <row r="227" spans="4:46">
      <c r="D227" t="e">
        <v>#N/A</v>
      </c>
      <c r="E227" t="s">
        <v>4308</v>
      </c>
      <c r="F227" t="s">
        <v>4325</v>
      </c>
      <c r="H227" t="s">
        <v>4326</v>
      </c>
      <c r="I227" t="s">
        <v>4827</v>
      </c>
      <c r="J227" t="s">
        <v>5091</v>
      </c>
      <c r="K227" t="e">
        <v>#N/A</v>
      </c>
      <c r="L227" t="e">
        <v>#N/A</v>
      </c>
      <c r="M227">
        <v>30</v>
      </c>
      <c r="O227">
        <v>68.012</v>
      </c>
      <c r="P227">
        <v>-167.86600000000001</v>
      </c>
      <c r="Q227">
        <v>4.87</v>
      </c>
      <c r="R227">
        <v>32.119999999999997</v>
      </c>
      <c r="S227">
        <v>253.84299999999999</v>
      </c>
      <c r="W227">
        <v>0.52700000000000002</v>
      </c>
      <c r="X227">
        <v>3</v>
      </c>
      <c r="Y227">
        <v>0.77400000000000002</v>
      </c>
      <c r="AA227">
        <v>1.26</v>
      </c>
      <c r="AB227">
        <v>22.78</v>
      </c>
      <c r="AE227">
        <v>3.63</v>
      </c>
      <c r="AF227">
        <v>3.96</v>
      </c>
      <c r="AI227">
        <v>3</v>
      </c>
      <c r="AL227">
        <v>91.277699999999996</v>
      </c>
      <c r="AQ227">
        <v>-0.81489895000000001</v>
      </c>
      <c r="AT227" t="e">
        <v>#N/A</v>
      </c>
    </row>
    <row r="228" spans="4:46">
      <c r="D228" t="e">
        <v>#N/A</v>
      </c>
      <c r="E228" t="s">
        <v>4308</v>
      </c>
      <c r="F228" t="s">
        <v>4317</v>
      </c>
      <c r="H228" t="s">
        <v>4318</v>
      </c>
      <c r="I228" t="s">
        <v>4823</v>
      </c>
      <c r="J228" t="s">
        <v>5085</v>
      </c>
      <c r="K228" t="e">
        <v>#N/A</v>
      </c>
      <c r="L228" t="e">
        <v>#N/A</v>
      </c>
      <c r="M228">
        <v>10</v>
      </c>
      <c r="O228">
        <v>68.125</v>
      </c>
      <c r="P228">
        <v>-167.49799999999999</v>
      </c>
      <c r="Q228">
        <v>7.14</v>
      </c>
      <c r="R228">
        <v>32.020000000000003</v>
      </c>
      <c r="S228">
        <v>296.85199999999998</v>
      </c>
      <c r="W228">
        <v>0.83</v>
      </c>
      <c r="X228">
        <v>7</v>
      </c>
      <c r="Y228">
        <v>0.78100000000000003</v>
      </c>
      <c r="AA228">
        <v>0.54</v>
      </c>
      <c r="AB228">
        <v>12.1</v>
      </c>
      <c r="AE228">
        <v>0.91</v>
      </c>
      <c r="AF228">
        <v>0.78</v>
      </c>
      <c r="AI228">
        <v>7</v>
      </c>
      <c r="AL228">
        <v>93.657700000000006</v>
      </c>
      <c r="AQ228">
        <v>-1.6284535499999999</v>
      </c>
      <c r="AT228" t="e">
        <v>#N/A</v>
      </c>
    </row>
    <row r="229" spans="4:46">
      <c r="D229" t="e">
        <v>#N/A</v>
      </c>
      <c r="E229" t="s">
        <v>4308</v>
      </c>
      <c r="F229" t="s">
        <v>4317</v>
      </c>
      <c r="H229" t="s">
        <v>4318</v>
      </c>
      <c r="I229" t="s">
        <v>4823</v>
      </c>
      <c r="J229" t="s">
        <v>5086</v>
      </c>
      <c r="K229" t="e">
        <v>#N/A</v>
      </c>
      <c r="L229" t="e">
        <v>#N/A</v>
      </c>
      <c r="M229">
        <v>11</v>
      </c>
      <c r="O229">
        <v>68.125</v>
      </c>
      <c r="P229">
        <v>-167.49799999999999</v>
      </c>
      <c r="Q229">
        <v>7.17</v>
      </c>
      <c r="R229">
        <v>32.01</v>
      </c>
      <c r="S229">
        <v>296.21199999999999</v>
      </c>
      <c r="W229">
        <v>0.85399999999999998</v>
      </c>
      <c r="X229">
        <v>8</v>
      </c>
      <c r="AI229">
        <v>8</v>
      </c>
      <c r="AL229">
        <v>94.1434</v>
      </c>
      <c r="AT229" t="e">
        <v>#N/A</v>
      </c>
    </row>
    <row r="230" spans="4:46">
      <c r="D230" t="e">
        <v>#N/A</v>
      </c>
      <c r="E230" t="s">
        <v>4308</v>
      </c>
      <c r="F230" t="s">
        <v>4317</v>
      </c>
      <c r="H230" t="s">
        <v>4318</v>
      </c>
      <c r="I230" t="s">
        <v>4823</v>
      </c>
      <c r="J230" t="s">
        <v>5087</v>
      </c>
      <c r="K230" t="e">
        <v>#N/A</v>
      </c>
      <c r="L230" t="e">
        <v>#N/A</v>
      </c>
      <c r="M230">
        <v>2</v>
      </c>
      <c r="O230">
        <v>68.125</v>
      </c>
      <c r="P230">
        <v>-167.49799999999999</v>
      </c>
      <c r="Q230">
        <v>7.41</v>
      </c>
      <c r="R230">
        <v>31.94</v>
      </c>
      <c r="S230">
        <v>289.88799999999998</v>
      </c>
      <c r="W230">
        <v>0.64</v>
      </c>
      <c r="X230">
        <v>10</v>
      </c>
      <c r="AI230">
        <v>10</v>
      </c>
      <c r="AL230">
        <v>94.441900000000004</v>
      </c>
      <c r="AT230" t="e">
        <v>#N/A</v>
      </c>
    </row>
    <row r="231" spans="4:46">
      <c r="D231" t="e">
        <v>#N/A</v>
      </c>
      <c r="E231" t="s">
        <v>4308</v>
      </c>
      <c r="F231" t="s">
        <v>4317</v>
      </c>
      <c r="H231" t="s">
        <v>4318</v>
      </c>
      <c r="I231" t="s">
        <v>4823</v>
      </c>
      <c r="J231" t="s">
        <v>5088</v>
      </c>
      <c r="K231" t="e">
        <v>#N/A</v>
      </c>
      <c r="L231" t="e">
        <v>#N/A</v>
      </c>
      <c r="M231">
        <v>31</v>
      </c>
      <c r="O231">
        <v>68.125</v>
      </c>
      <c r="P231">
        <v>-167.49799999999999</v>
      </c>
      <c r="Q231">
        <v>5.93</v>
      </c>
      <c r="R231">
        <v>32.03</v>
      </c>
      <c r="S231">
        <v>267.87900000000002</v>
      </c>
      <c r="W231">
        <v>0.67700000000000005</v>
      </c>
      <c r="X231">
        <v>3</v>
      </c>
      <c r="Y231">
        <v>0.88</v>
      </c>
      <c r="AA231">
        <v>1</v>
      </c>
      <c r="AB231">
        <v>17.440000000000001</v>
      </c>
      <c r="AE231">
        <v>4.12</v>
      </c>
      <c r="AF231">
        <v>2.2599999999999998</v>
      </c>
      <c r="AI231">
        <v>3</v>
      </c>
      <c r="AL231">
        <v>71.736199999999997</v>
      </c>
      <c r="AQ231">
        <v>-1.653877131</v>
      </c>
      <c r="AT231" t="e">
        <v>#N/A</v>
      </c>
    </row>
    <row r="232" spans="4:46">
      <c r="D232" t="e">
        <v>#N/A</v>
      </c>
      <c r="E232" t="s">
        <v>4308</v>
      </c>
      <c r="F232" t="s">
        <v>4317</v>
      </c>
      <c r="H232" t="s">
        <v>4318</v>
      </c>
      <c r="I232" t="s">
        <v>4823</v>
      </c>
      <c r="J232" t="s">
        <v>5088</v>
      </c>
      <c r="K232" t="e">
        <v>#N/A</v>
      </c>
      <c r="L232" t="e">
        <v>#N/A</v>
      </c>
      <c r="M232">
        <v>31</v>
      </c>
      <c r="O232">
        <v>68.125</v>
      </c>
      <c r="P232">
        <v>-167.49799999999999</v>
      </c>
      <c r="Q232">
        <v>5.93</v>
      </c>
      <c r="R232">
        <v>32.03</v>
      </c>
      <c r="S232">
        <v>267.87900000000002</v>
      </c>
      <c r="W232">
        <v>0.67700000000000005</v>
      </c>
      <c r="X232">
        <v>4</v>
      </c>
      <c r="AI232">
        <v>4</v>
      </c>
      <c r="AL232">
        <v>71.736199999999997</v>
      </c>
      <c r="AT232" t="e">
        <v>#N/A</v>
      </c>
    </row>
    <row r="233" spans="4:46">
      <c r="D233" t="e">
        <v>#N/A</v>
      </c>
      <c r="E233" t="s">
        <v>4308</v>
      </c>
      <c r="F233" t="s">
        <v>4317</v>
      </c>
      <c r="H233" t="s">
        <v>4318</v>
      </c>
      <c r="I233" t="s">
        <v>4823</v>
      </c>
      <c r="J233" t="s">
        <v>5089</v>
      </c>
      <c r="K233" t="e">
        <v>#N/A</v>
      </c>
      <c r="L233" t="e">
        <v>#N/A</v>
      </c>
      <c r="M233">
        <v>45</v>
      </c>
      <c r="O233">
        <v>68.125</v>
      </c>
      <c r="P233">
        <v>-167.49799999999999</v>
      </c>
      <c r="Q233">
        <v>5.87</v>
      </c>
      <c r="R233">
        <v>32.03</v>
      </c>
      <c r="S233">
        <v>267.21800000000002</v>
      </c>
      <c r="W233">
        <v>0.97699999999999998</v>
      </c>
      <c r="X233">
        <v>2</v>
      </c>
      <c r="AI233">
        <v>2</v>
      </c>
      <c r="AL233">
        <v>72.167400000000001</v>
      </c>
      <c r="AT233" t="e">
        <v>#N/A</v>
      </c>
    </row>
    <row r="234" spans="4:46">
      <c r="D234" t="e">
        <v>#N/A</v>
      </c>
      <c r="E234" t="s">
        <v>4308</v>
      </c>
      <c r="F234" t="s">
        <v>4386</v>
      </c>
      <c r="H234" t="s">
        <v>4387</v>
      </c>
      <c r="I234" t="s">
        <v>4820</v>
      </c>
      <c r="J234" t="s">
        <v>5082</v>
      </c>
      <c r="K234" t="e">
        <v>#N/A</v>
      </c>
      <c r="L234" t="e">
        <v>#N/A</v>
      </c>
      <c r="M234">
        <v>10</v>
      </c>
      <c r="O234">
        <v>68.186000000000007</v>
      </c>
      <c r="P234">
        <v>-167.30699999999999</v>
      </c>
      <c r="Q234">
        <v>7.64</v>
      </c>
      <c r="R234">
        <v>31.78</v>
      </c>
      <c r="S234">
        <v>288.75700000000001</v>
      </c>
      <c r="W234">
        <v>2.093</v>
      </c>
      <c r="X234">
        <v>4</v>
      </c>
      <c r="Y234">
        <v>2.1120000000000001</v>
      </c>
      <c r="AA234">
        <v>0.48</v>
      </c>
      <c r="AB234">
        <v>12.1</v>
      </c>
      <c r="AE234">
        <v>0.51</v>
      </c>
      <c r="AF234">
        <v>0.33</v>
      </c>
      <c r="AI234">
        <v>4</v>
      </c>
      <c r="AL234">
        <v>86.076999999999998</v>
      </c>
      <c r="AQ234">
        <v>-1.214614144</v>
      </c>
      <c r="AT234" t="e">
        <v>#N/A</v>
      </c>
    </row>
    <row r="235" spans="4:46">
      <c r="D235" t="e">
        <v>#N/A</v>
      </c>
      <c r="E235" t="s">
        <v>4308</v>
      </c>
      <c r="F235" t="s">
        <v>4386</v>
      </c>
      <c r="H235" t="s">
        <v>4387</v>
      </c>
      <c r="I235" t="s">
        <v>4820</v>
      </c>
      <c r="J235" t="s">
        <v>5083</v>
      </c>
      <c r="K235" t="e">
        <v>#N/A</v>
      </c>
      <c r="L235" t="e">
        <v>#N/A</v>
      </c>
      <c r="M235">
        <v>21</v>
      </c>
      <c r="O235">
        <v>68.186000000000007</v>
      </c>
      <c r="P235">
        <v>-167.30699999999999</v>
      </c>
      <c r="Q235">
        <v>7.37</v>
      </c>
      <c r="R235">
        <v>31.9</v>
      </c>
      <c r="S235">
        <v>284.39499999999998</v>
      </c>
      <c r="W235">
        <v>1.1639999999999999</v>
      </c>
      <c r="X235">
        <v>3</v>
      </c>
      <c r="Y235">
        <v>1.056</v>
      </c>
      <c r="AA235">
        <v>0.57999999999999996</v>
      </c>
      <c r="AB235">
        <v>12.1</v>
      </c>
      <c r="AE235">
        <v>1.19</v>
      </c>
      <c r="AF235">
        <v>0.4</v>
      </c>
      <c r="AI235">
        <v>3</v>
      </c>
      <c r="AL235">
        <v>81.563199999999995</v>
      </c>
      <c r="AQ235">
        <v>-1.1468179279999999</v>
      </c>
      <c r="AT235" t="e">
        <v>#N/A</v>
      </c>
    </row>
    <row r="236" spans="4:46">
      <c r="D236" t="e">
        <v>#N/A</v>
      </c>
      <c r="E236" t="s">
        <v>4308</v>
      </c>
      <c r="F236" t="s">
        <v>4386</v>
      </c>
      <c r="H236" t="s">
        <v>4387</v>
      </c>
      <c r="I236" t="s">
        <v>4820</v>
      </c>
      <c r="J236" t="s">
        <v>5084</v>
      </c>
      <c r="K236" t="e">
        <v>#N/A</v>
      </c>
      <c r="L236" t="e">
        <v>#N/A</v>
      </c>
      <c r="M236">
        <v>30</v>
      </c>
      <c r="O236">
        <v>68.186000000000007</v>
      </c>
      <c r="P236">
        <v>-167.30699999999999</v>
      </c>
      <c r="Q236">
        <v>7.37</v>
      </c>
      <c r="R236">
        <v>31.9</v>
      </c>
      <c r="S236">
        <v>284.30900000000003</v>
      </c>
      <c r="W236">
        <v>0.98499999999999999</v>
      </c>
      <c r="X236">
        <v>2</v>
      </c>
      <c r="Y236">
        <v>1.3149999999999999</v>
      </c>
      <c r="AA236">
        <v>0.56999999999999995</v>
      </c>
      <c r="AB236">
        <v>11.39</v>
      </c>
      <c r="AE236">
        <v>1.69</v>
      </c>
      <c r="AF236">
        <v>0.44</v>
      </c>
      <c r="AI236">
        <v>2</v>
      </c>
      <c r="AL236">
        <v>78.700800000000001</v>
      </c>
      <c r="AQ236">
        <v>-0.75133999699999998</v>
      </c>
      <c r="AT236" t="e">
        <v>#N/A</v>
      </c>
    </row>
    <row r="237" spans="4:46">
      <c r="D237" t="e">
        <v>#N/A</v>
      </c>
      <c r="E237" t="s">
        <v>4308</v>
      </c>
      <c r="F237" t="s">
        <v>4378</v>
      </c>
      <c r="H237" t="s">
        <v>4379</v>
      </c>
      <c r="I237" t="s">
        <v>4816</v>
      </c>
      <c r="J237" t="s">
        <v>5080</v>
      </c>
      <c r="K237" t="e">
        <v>#N/A</v>
      </c>
      <c r="L237" t="e">
        <v>#N/A</v>
      </c>
      <c r="M237">
        <v>10</v>
      </c>
      <c r="O237">
        <v>68.242999999999995</v>
      </c>
      <c r="P237">
        <v>-167.124</v>
      </c>
      <c r="Q237">
        <v>8.34</v>
      </c>
      <c r="R237">
        <v>31.53</v>
      </c>
      <c r="S237">
        <v>284.11200000000002</v>
      </c>
      <c r="W237">
        <v>1.3009999999999999</v>
      </c>
      <c r="X237">
        <v>4</v>
      </c>
      <c r="Y237">
        <v>1.1200000000000001</v>
      </c>
      <c r="AA237">
        <v>0.41</v>
      </c>
      <c r="AB237">
        <v>13.52</v>
      </c>
      <c r="AE237">
        <v>0.61</v>
      </c>
      <c r="AF237">
        <v>0.39</v>
      </c>
      <c r="AI237">
        <v>4</v>
      </c>
      <c r="AL237">
        <v>89.008200000000002</v>
      </c>
      <c r="AQ237">
        <v>-1.503177158</v>
      </c>
      <c r="AT237" t="e">
        <v>#N/A</v>
      </c>
    </row>
    <row r="238" spans="4:46">
      <c r="D238" t="e">
        <v>#N/A</v>
      </c>
      <c r="E238" t="s">
        <v>4308</v>
      </c>
      <c r="F238" t="s">
        <v>4378</v>
      </c>
      <c r="H238" t="s">
        <v>4379</v>
      </c>
      <c r="I238" t="s">
        <v>4816</v>
      </c>
      <c r="J238" t="s">
        <v>5081</v>
      </c>
      <c r="K238" t="e">
        <v>#N/A</v>
      </c>
      <c r="L238" t="e">
        <v>#N/A</v>
      </c>
      <c r="M238">
        <v>29</v>
      </c>
      <c r="O238">
        <v>68.242999999999995</v>
      </c>
      <c r="P238">
        <v>-167.124</v>
      </c>
      <c r="Q238">
        <v>7.67</v>
      </c>
      <c r="R238">
        <v>31.65</v>
      </c>
      <c r="S238">
        <v>280.63900000000001</v>
      </c>
      <c r="W238">
        <v>0.58699999999999997</v>
      </c>
      <c r="X238">
        <v>2</v>
      </c>
      <c r="Y238">
        <v>0.69399999999999995</v>
      </c>
      <c r="AA238">
        <v>0.62</v>
      </c>
      <c r="AB238">
        <v>10.68</v>
      </c>
      <c r="AE238">
        <v>1.2</v>
      </c>
      <c r="AF238">
        <v>1.4</v>
      </c>
      <c r="AI238">
        <v>2</v>
      </c>
      <c r="AL238">
        <v>80.102199999999996</v>
      </c>
      <c r="AQ238">
        <v>-1.2507204750000001</v>
      </c>
      <c r="AT238" t="e">
        <v>#N/A</v>
      </c>
    </row>
    <row r="239" spans="4:46">
      <c r="D239" t="e">
        <v>#N/A</v>
      </c>
      <c r="E239" t="s">
        <v>4308</v>
      </c>
      <c r="F239" t="s">
        <v>4370</v>
      </c>
      <c r="H239" t="s">
        <v>4371</v>
      </c>
      <c r="I239" t="s">
        <v>4812</v>
      </c>
      <c r="J239" t="s">
        <v>5079</v>
      </c>
      <c r="K239" t="e">
        <v>#N/A</v>
      </c>
      <c r="L239" t="e">
        <v>#N/A</v>
      </c>
      <c r="M239">
        <v>22</v>
      </c>
      <c r="O239">
        <v>68.299000000000007</v>
      </c>
      <c r="P239">
        <v>-166.93600000000001</v>
      </c>
      <c r="Q239">
        <v>8.6300000000000008</v>
      </c>
      <c r="R239">
        <v>31.09</v>
      </c>
      <c r="S239">
        <v>278.49900000000002</v>
      </c>
      <c r="W239">
        <v>0.76200000000000001</v>
      </c>
      <c r="X239">
        <v>2</v>
      </c>
      <c r="Y239">
        <v>1.0429999999999999</v>
      </c>
      <c r="AA239">
        <v>0.56000000000000005</v>
      </c>
      <c r="AB239">
        <v>9.25</v>
      </c>
      <c r="AE239">
        <v>0.38</v>
      </c>
      <c r="AF239">
        <v>0.66</v>
      </c>
      <c r="AI239">
        <v>2</v>
      </c>
      <c r="AL239">
        <v>84.561499999999995</v>
      </c>
      <c r="AQ239">
        <v>-2.1389770850000001</v>
      </c>
      <c r="AT239" t="e">
        <v>#N/A</v>
      </c>
    </row>
    <row r="240" spans="4:46">
      <c r="D240" t="e">
        <v>#N/A</v>
      </c>
      <c r="E240" t="s">
        <v>4308</v>
      </c>
      <c r="F240" t="s">
        <v>4357</v>
      </c>
      <c r="H240" t="s">
        <v>4358</v>
      </c>
      <c r="I240" t="s">
        <v>4793</v>
      </c>
      <c r="J240" t="s">
        <v>5060</v>
      </c>
      <c r="K240" t="e">
        <v>#N/A</v>
      </c>
      <c r="L240" t="e">
        <v>#N/A</v>
      </c>
      <c r="M240">
        <v>16</v>
      </c>
      <c r="O240">
        <v>68.899000000000001</v>
      </c>
      <c r="P240">
        <v>-166.423</v>
      </c>
      <c r="Q240">
        <v>9.94</v>
      </c>
      <c r="R240">
        <v>30.16</v>
      </c>
      <c r="S240">
        <v>269.09699999999998</v>
      </c>
      <c r="W240">
        <v>0.85599999999999998</v>
      </c>
      <c r="X240">
        <v>2</v>
      </c>
      <c r="Y240">
        <v>1.718</v>
      </c>
      <c r="AA240">
        <v>0.57999999999999996</v>
      </c>
      <c r="AB240">
        <v>8.19</v>
      </c>
      <c r="AE240">
        <v>0.28000000000000003</v>
      </c>
      <c r="AF240">
        <v>0.12</v>
      </c>
      <c r="AI240">
        <v>2</v>
      </c>
      <c r="AL240">
        <v>91.749099999999999</v>
      </c>
      <c r="AT240" t="e">
        <v>#N/A</v>
      </c>
    </row>
    <row r="241" spans="4:46">
      <c r="D241" t="e">
        <v>#N/A</v>
      </c>
      <c r="E241" t="s">
        <v>4308</v>
      </c>
      <c r="F241" t="s">
        <v>4366</v>
      </c>
      <c r="H241" t="s">
        <v>4367</v>
      </c>
      <c r="I241" t="s">
        <v>4797</v>
      </c>
      <c r="J241" t="s">
        <v>5061</v>
      </c>
      <c r="K241" t="e">
        <v>#N/A</v>
      </c>
      <c r="L241" t="e">
        <v>#N/A</v>
      </c>
      <c r="M241">
        <v>10</v>
      </c>
      <c r="O241">
        <v>68.947999999999993</v>
      </c>
      <c r="P241">
        <v>-166.90799999999999</v>
      </c>
      <c r="Q241">
        <v>10.029999999999999</v>
      </c>
      <c r="R241">
        <v>30.12</v>
      </c>
      <c r="S241">
        <v>272.11200000000002</v>
      </c>
      <c r="W241">
        <v>0.80800000000000005</v>
      </c>
      <c r="X241">
        <v>7</v>
      </c>
      <c r="Y241">
        <v>1.004</v>
      </c>
      <c r="AA241">
        <v>0.56999999999999995</v>
      </c>
      <c r="AB241">
        <v>6.05</v>
      </c>
      <c r="AE241">
        <v>0.26</v>
      </c>
      <c r="AF241">
        <v>0.08</v>
      </c>
      <c r="AI241">
        <v>7</v>
      </c>
      <c r="AL241">
        <v>93.822599999999994</v>
      </c>
      <c r="AT241" t="e">
        <v>#N/A</v>
      </c>
    </row>
    <row r="242" spans="4:46">
      <c r="D242" t="e">
        <v>#N/A</v>
      </c>
      <c r="E242" t="s">
        <v>4308</v>
      </c>
      <c r="F242" t="s">
        <v>4366</v>
      </c>
      <c r="H242" t="s">
        <v>4367</v>
      </c>
      <c r="I242" t="s">
        <v>4797</v>
      </c>
      <c r="J242" t="s">
        <v>5061</v>
      </c>
      <c r="K242" t="e">
        <v>#N/A</v>
      </c>
      <c r="L242" t="e">
        <v>#N/A</v>
      </c>
      <c r="M242">
        <v>10</v>
      </c>
      <c r="O242">
        <v>68.947999999999993</v>
      </c>
      <c r="P242">
        <v>-166.90799999999999</v>
      </c>
      <c r="Q242">
        <v>10.029999999999999</v>
      </c>
      <c r="R242">
        <v>30.12</v>
      </c>
      <c r="S242">
        <v>272.11200000000002</v>
      </c>
      <c r="W242">
        <v>0.80800000000000005</v>
      </c>
      <c r="X242">
        <v>8</v>
      </c>
      <c r="AI242">
        <v>8</v>
      </c>
      <c r="AL242">
        <v>93.822599999999994</v>
      </c>
      <c r="AT242" t="e">
        <v>#N/A</v>
      </c>
    </row>
    <row r="243" spans="4:46">
      <c r="D243" t="e">
        <v>#N/A</v>
      </c>
      <c r="E243" t="s">
        <v>4308</v>
      </c>
      <c r="F243" t="s">
        <v>4366</v>
      </c>
      <c r="H243" t="s">
        <v>4367</v>
      </c>
      <c r="I243" t="s">
        <v>4797</v>
      </c>
      <c r="J243" t="s">
        <v>5062</v>
      </c>
      <c r="K243" t="e">
        <v>#N/A</v>
      </c>
      <c r="L243" t="e">
        <v>#N/A</v>
      </c>
      <c r="M243">
        <v>21</v>
      </c>
      <c r="O243">
        <v>68.947999999999993</v>
      </c>
      <c r="P243">
        <v>-166.90799999999999</v>
      </c>
      <c r="Q243">
        <v>8.17</v>
      </c>
      <c r="R243">
        <v>30.83</v>
      </c>
      <c r="S243">
        <v>268.245</v>
      </c>
      <c r="W243">
        <v>0.53</v>
      </c>
      <c r="X243">
        <v>5</v>
      </c>
      <c r="Y243">
        <v>0.94399999999999995</v>
      </c>
      <c r="AA243">
        <v>0.83</v>
      </c>
      <c r="AB243">
        <v>13.17</v>
      </c>
      <c r="AE243">
        <v>1.7</v>
      </c>
      <c r="AF243">
        <v>0.56999999999999995</v>
      </c>
      <c r="AI243">
        <v>5</v>
      </c>
      <c r="AL243">
        <v>80.514300000000006</v>
      </c>
      <c r="AT243" t="e">
        <v>#N/A</v>
      </c>
    </row>
    <row r="244" spans="4:46">
      <c r="D244" t="e">
        <v>#N/A</v>
      </c>
      <c r="E244" t="s">
        <v>4308</v>
      </c>
      <c r="F244" t="s">
        <v>4366</v>
      </c>
      <c r="H244" t="s">
        <v>4367</v>
      </c>
      <c r="I244" t="s">
        <v>4797</v>
      </c>
      <c r="J244" t="s">
        <v>5062</v>
      </c>
      <c r="K244" t="e">
        <v>#N/A</v>
      </c>
      <c r="L244" t="e">
        <v>#N/A</v>
      </c>
      <c r="M244">
        <v>21</v>
      </c>
      <c r="O244">
        <v>68.947999999999993</v>
      </c>
      <c r="P244">
        <v>-166.90799999999999</v>
      </c>
      <c r="Q244">
        <v>8.16</v>
      </c>
      <c r="R244">
        <v>30.85</v>
      </c>
      <c r="S244">
        <v>268.245</v>
      </c>
      <c r="W244">
        <v>0.53</v>
      </c>
      <c r="X244">
        <v>6</v>
      </c>
      <c r="AI244">
        <v>6</v>
      </c>
      <c r="AL244">
        <v>80.514300000000006</v>
      </c>
      <c r="AT244" t="e">
        <v>#N/A</v>
      </c>
    </row>
    <row r="245" spans="4:46">
      <c r="D245" t="e">
        <v>#N/A</v>
      </c>
      <c r="E245" t="s">
        <v>4308</v>
      </c>
      <c r="F245" t="s">
        <v>4366</v>
      </c>
      <c r="H245" t="s">
        <v>4367</v>
      </c>
      <c r="I245" t="s">
        <v>4797</v>
      </c>
      <c r="J245" t="s">
        <v>5063</v>
      </c>
      <c r="K245" t="e">
        <v>#N/A</v>
      </c>
      <c r="L245" t="e">
        <v>#N/A</v>
      </c>
      <c r="M245">
        <v>31</v>
      </c>
      <c r="O245">
        <v>68.947999999999993</v>
      </c>
      <c r="P245">
        <v>-166.90799999999999</v>
      </c>
      <c r="Q245">
        <v>7.36</v>
      </c>
      <c r="R245">
        <v>31.4</v>
      </c>
      <c r="S245">
        <v>267.16399999999999</v>
      </c>
      <c r="W245">
        <v>0.56699999999999995</v>
      </c>
      <c r="X245">
        <v>3</v>
      </c>
      <c r="Y245">
        <v>0.92800000000000005</v>
      </c>
      <c r="AA245">
        <v>0.86</v>
      </c>
      <c r="AB245">
        <v>11.03</v>
      </c>
      <c r="AE245">
        <v>2.31</v>
      </c>
      <c r="AF245">
        <v>0.85</v>
      </c>
      <c r="AI245">
        <v>3</v>
      </c>
      <c r="AL245">
        <v>68.195300000000003</v>
      </c>
      <c r="AT245" t="e">
        <v>#N/A</v>
      </c>
    </row>
    <row r="246" spans="4:46">
      <c r="D246" t="e">
        <v>#N/A</v>
      </c>
      <c r="E246" t="s">
        <v>4308</v>
      </c>
      <c r="F246" t="s">
        <v>4366</v>
      </c>
      <c r="H246" t="s">
        <v>4367</v>
      </c>
      <c r="I246" t="s">
        <v>4797</v>
      </c>
      <c r="J246" t="s">
        <v>5063</v>
      </c>
      <c r="K246" t="e">
        <v>#N/A</v>
      </c>
      <c r="L246" t="e">
        <v>#N/A</v>
      </c>
      <c r="M246">
        <v>31</v>
      </c>
      <c r="O246">
        <v>68.947999999999993</v>
      </c>
      <c r="P246">
        <v>-166.90799999999999</v>
      </c>
      <c r="Q246">
        <v>7.35</v>
      </c>
      <c r="R246">
        <v>31.4</v>
      </c>
      <c r="S246">
        <v>267.16399999999999</v>
      </c>
      <c r="W246">
        <v>0.56699999999999995</v>
      </c>
      <c r="X246">
        <v>4</v>
      </c>
      <c r="AI246">
        <v>4</v>
      </c>
      <c r="AL246">
        <v>68.195300000000003</v>
      </c>
      <c r="AT246" t="e">
        <v>#N/A</v>
      </c>
    </row>
    <row r="247" spans="4:46">
      <c r="D247" t="e">
        <v>#N/A</v>
      </c>
      <c r="E247" t="s">
        <v>4308</v>
      </c>
      <c r="F247" t="s">
        <v>4366</v>
      </c>
      <c r="H247" t="s">
        <v>4367</v>
      </c>
      <c r="I247" t="s">
        <v>4797</v>
      </c>
      <c r="J247" t="s">
        <v>5064</v>
      </c>
      <c r="K247" t="e">
        <v>#N/A</v>
      </c>
      <c r="L247" t="e">
        <v>#N/A</v>
      </c>
      <c r="M247">
        <v>4</v>
      </c>
      <c r="O247">
        <v>68.947999999999993</v>
      </c>
      <c r="P247">
        <v>-166.90799999999999</v>
      </c>
      <c r="Q247">
        <v>10.029999999999999</v>
      </c>
      <c r="R247">
        <v>30.12</v>
      </c>
      <c r="S247">
        <v>272.24799999999999</v>
      </c>
      <c r="W247">
        <v>0.84699999999999998</v>
      </c>
      <c r="X247">
        <v>9</v>
      </c>
      <c r="Y247">
        <v>1.0920000000000001</v>
      </c>
      <c r="AA247">
        <v>0.53</v>
      </c>
      <c r="AB247">
        <v>6.05</v>
      </c>
      <c r="AE247">
        <v>0.51</v>
      </c>
      <c r="AF247">
        <v>7.0000000000000007E-2</v>
      </c>
      <c r="AI247">
        <v>9</v>
      </c>
      <c r="AL247">
        <v>93.856899999999996</v>
      </c>
      <c r="AQ247">
        <v>-3.489833333</v>
      </c>
      <c r="AT247" t="e">
        <v>#N/A</v>
      </c>
    </row>
    <row r="248" spans="4:46">
      <c r="D248" t="e">
        <v>#N/A</v>
      </c>
      <c r="E248" t="s">
        <v>4308</v>
      </c>
      <c r="F248" t="s">
        <v>4366</v>
      </c>
      <c r="H248" t="s">
        <v>4367</v>
      </c>
      <c r="I248" t="s">
        <v>4797</v>
      </c>
      <c r="J248" t="s">
        <v>5064</v>
      </c>
      <c r="K248" t="e">
        <v>#N/A</v>
      </c>
      <c r="L248" t="e">
        <v>#N/A</v>
      </c>
      <c r="M248">
        <v>4</v>
      </c>
      <c r="O248">
        <v>68.947999999999993</v>
      </c>
      <c r="P248">
        <v>-166.90799999999999</v>
      </c>
      <c r="Q248">
        <v>10.029999999999999</v>
      </c>
      <c r="R248">
        <v>30.12</v>
      </c>
      <c r="S248">
        <v>272.24799999999999</v>
      </c>
      <c r="W248">
        <v>0.84699999999999998</v>
      </c>
      <c r="X248">
        <v>10</v>
      </c>
      <c r="AI248">
        <v>10</v>
      </c>
      <c r="AL248">
        <v>93.856899999999996</v>
      </c>
      <c r="AT248" t="e">
        <v>#N/A</v>
      </c>
    </row>
    <row r="249" spans="4:46">
      <c r="D249" t="e">
        <v>#N/A</v>
      </c>
      <c r="E249" t="s">
        <v>4308</v>
      </c>
      <c r="F249" t="s">
        <v>4408</v>
      </c>
      <c r="H249" t="s">
        <v>4409</v>
      </c>
      <c r="I249" t="s">
        <v>4808</v>
      </c>
      <c r="J249" t="s">
        <v>5077</v>
      </c>
      <c r="K249" t="e">
        <v>#N/A</v>
      </c>
      <c r="L249" t="e">
        <v>#N/A</v>
      </c>
      <c r="M249">
        <v>11</v>
      </c>
      <c r="O249">
        <v>69.034000000000006</v>
      </c>
      <c r="P249">
        <v>-168.893</v>
      </c>
      <c r="Q249">
        <v>7.36</v>
      </c>
      <c r="R249">
        <v>32.03</v>
      </c>
      <c r="S249">
        <v>298.50599999999997</v>
      </c>
      <c r="W249">
        <v>0.78200000000000003</v>
      </c>
      <c r="X249">
        <v>5</v>
      </c>
      <c r="Y249">
        <v>0.73599999999999999</v>
      </c>
      <c r="AA249">
        <v>0.4</v>
      </c>
      <c r="AB249">
        <v>3.56</v>
      </c>
      <c r="AE249">
        <v>0.42</v>
      </c>
      <c r="AF249">
        <v>0.12</v>
      </c>
      <c r="AI249">
        <v>5</v>
      </c>
      <c r="AL249">
        <v>94.190899999999999</v>
      </c>
      <c r="AT249" t="e">
        <v>#N/A</v>
      </c>
    </row>
    <row r="250" spans="4:46">
      <c r="D250" t="e">
        <v>#N/A</v>
      </c>
      <c r="E250" t="s">
        <v>4308</v>
      </c>
      <c r="F250" t="s">
        <v>4408</v>
      </c>
      <c r="H250" t="s">
        <v>4409</v>
      </c>
      <c r="I250" t="s">
        <v>4808</v>
      </c>
      <c r="J250" t="s">
        <v>5078</v>
      </c>
      <c r="K250" t="e">
        <v>#N/A</v>
      </c>
      <c r="L250" t="e">
        <v>#N/A</v>
      </c>
      <c r="M250">
        <v>30</v>
      </c>
      <c r="O250">
        <v>69.034000000000006</v>
      </c>
      <c r="P250">
        <v>-168.893</v>
      </c>
      <c r="Q250">
        <v>4.8899999999999997</v>
      </c>
      <c r="R250">
        <v>32.1</v>
      </c>
      <c r="S250">
        <v>268.577</v>
      </c>
      <c r="W250">
        <v>0.33200000000000002</v>
      </c>
      <c r="X250">
        <v>2</v>
      </c>
      <c r="Y250">
        <v>0.45200000000000001</v>
      </c>
      <c r="AA250">
        <v>1.27</v>
      </c>
      <c r="AB250">
        <v>11.03</v>
      </c>
      <c r="AE250">
        <v>3.81</v>
      </c>
      <c r="AF250">
        <v>1.89</v>
      </c>
      <c r="AI250">
        <v>2</v>
      </c>
      <c r="AL250">
        <v>96.191500000000005</v>
      </c>
      <c r="AT250" t="e">
        <v>#N/A</v>
      </c>
    </row>
    <row r="251" spans="4:46">
      <c r="D251" t="e">
        <v>#N/A</v>
      </c>
      <c r="E251" t="s">
        <v>4308</v>
      </c>
      <c r="F251" t="s">
        <v>4400</v>
      </c>
      <c r="H251" t="s">
        <v>4401</v>
      </c>
      <c r="I251" t="s">
        <v>4804</v>
      </c>
      <c r="J251" t="s">
        <v>5075</v>
      </c>
      <c r="K251" t="e">
        <v>#N/A</v>
      </c>
      <c r="L251" t="e">
        <v>#N/A</v>
      </c>
      <c r="M251">
        <v>10</v>
      </c>
      <c r="O251">
        <v>69.03</v>
      </c>
      <c r="P251">
        <v>-168.411</v>
      </c>
      <c r="Q251">
        <v>8.1300000000000008</v>
      </c>
      <c r="R251">
        <v>31.52</v>
      </c>
      <c r="S251">
        <v>286.57</v>
      </c>
      <c r="W251">
        <v>1.02</v>
      </c>
      <c r="X251">
        <v>4</v>
      </c>
      <c r="Y251">
        <v>1.1759999999999999</v>
      </c>
      <c r="AA251">
        <v>0.54</v>
      </c>
      <c r="AB251">
        <v>8.5399999999999991</v>
      </c>
      <c r="AE251">
        <v>0.3</v>
      </c>
      <c r="AF251">
        <v>0.09</v>
      </c>
      <c r="AI251">
        <v>4</v>
      </c>
      <c r="AL251">
        <v>93.666200000000003</v>
      </c>
      <c r="AT251" t="e">
        <v>#N/A</v>
      </c>
    </row>
    <row r="252" spans="4:46">
      <c r="D252" t="e">
        <v>#N/A</v>
      </c>
      <c r="E252" t="s">
        <v>4308</v>
      </c>
      <c r="F252" t="s">
        <v>4400</v>
      </c>
      <c r="H252" t="s">
        <v>4401</v>
      </c>
      <c r="I252" t="s">
        <v>4804</v>
      </c>
      <c r="J252" t="s">
        <v>5076</v>
      </c>
      <c r="K252" t="e">
        <v>#N/A</v>
      </c>
      <c r="L252" t="e">
        <v>#N/A</v>
      </c>
      <c r="M252">
        <v>29</v>
      </c>
      <c r="O252">
        <v>69.03</v>
      </c>
      <c r="P252">
        <v>-168.411</v>
      </c>
      <c r="Q252">
        <v>7.21</v>
      </c>
      <c r="R252">
        <v>31.78</v>
      </c>
      <c r="S252">
        <v>275.14699999999999</v>
      </c>
      <c r="W252">
        <v>0.27400000000000002</v>
      </c>
      <c r="X252">
        <v>2</v>
      </c>
      <c r="Y252">
        <v>0.40799999999999997</v>
      </c>
      <c r="AA252">
        <v>0.77</v>
      </c>
      <c r="AB252">
        <v>10.32</v>
      </c>
      <c r="AE252">
        <v>1.68</v>
      </c>
      <c r="AF252">
        <v>0.69</v>
      </c>
      <c r="AI252">
        <v>2</v>
      </c>
      <c r="AL252">
        <v>87.129599999999996</v>
      </c>
      <c r="AT252" t="e">
        <v>#N/A</v>
      </c>
    </row>
    <row r="253" spans="4:46">
      <c r="D253" t="e">
        <v>#N/A</v>
      </c>
      <c r="E253" t="s">
        <v>4308</v>
      </c>
      <c r="F253" t="s">
        <v>4392</v>
      </c>
      <c r="H253" t="s">
        <v>4393</v>
      </c>
      <c r="I253" t="s">
        <v>4800</v>
      </c>
      <c r="J253" t="s">
        <v>5072</v>
      </c>
      <c r="K253" t="e">
        <v>#N/A</v>
      </c>
      <c r="L253" t="e">
        <v>#N/A</v>
      </c>
      <c r="M253">
        <v>20</v>
      </c>
      <c r="O253">
        <v>69.028999999999996</v>
      </c>
      <c r="P253">
        <v>-167.934</v>
      </c>
      <c r="Q253">
        <v>7.13</v>
      </c>
      <c r="R253">
        <v>31.79</v>
      </c>
      <c r="S253">
        <v>278.77300000000002</v>
      </c>
      <c r="W253">
        <v>0.35599999999999998</v>
      </c>
      <c r="X253">
        <v>3</v>
      </c>
      <c r="Y253">
        <v>0.378</v>
      </c>
      <c r="AA253">
        <v>0.75</v>
      </c>
      <c r="AB253">
        <v>9.9600000000000009</v>
      </c>
      <c r="AE253">
        <v>2.13</v>
      </c>
      <c r="AF253">
        <v>0.69</v>
      </c>
      <c r="AI253">
        <v>3</v>
      </c>
      <c r="AL253">
        <v>90.172799999999995</v>
      </c>
      <c r="AT253" t="e">
        <v>#N/A</v>
      </c>
    </row>
    <row r="254" spans="4:46">
      <c r="D254" t="e">
        <v>#N/A</v>
      </c>
      <c r="E254" t="s">
        <v>4308</v>
      </c>
      <c r="F254" t="s">
        <v>4392</v>
      </c>
      <c r="H254" t="s">
        <v>4393</v>
      </c>
      <c r="I254" t="s">
        <v>4800</v>
      </c>
      <c r="J254" t="s">
        <v>5073</v>
      </c>
      <c r="K254" t="e">
        <v>#N/A</v>
      </c>
      <c r="L254" t="e">
        <v>#N/A</v>
      </c>
      <c r="M254">
        <v>3</v>
      </c>
      <c r="O254">
        <v>69.028999999999996</v>
      </c>
      <c r="P254">
        <v>-167.934</v>
      </c>
      <c r="Q254">
        <v>8.82</v>
      </c>
      <c r="R254">
        <v>31.01</v>
      </c>
      <c r="S254">
        <v>278.678</v>
      </c>
      <c r="W254">
        <v>0.622</v>
      </c>
      <c r="X254">
        <v>6</v>
      </c>
      <c r="AI254">
        <v>6</v>
      </c>
      <c r="AL254">
        <v>94.401700000000005</v>
      </c>
      <c r="AT254" t="e">
        <v>#N/A</v>
      </c>
    </row>
    <row r="255" spans="4:46">
      <c r="D255" t="e">
        <v>#N/A</v>
      </c>
      <c r="E255" t="s">
        <v>4308</v>
      </c>
      <c r="F255" t="s">
        <v>4392</v>
      </c>
      <c r="H255" t="s">
        <v>4393</v>
      </c>
      <c r="I255" t="s">
        <v>4800</v>
      </c>
      <c r="J255" t="s">
        <v>5074</v>
      </c>
      <c r="K255" t="e">
        <v>#N/A</v>
      </c>
      <c r="L255" t="e">
        <v>#N/A</v>
      </c>
      <c r="M255">
        <v>30</v>
      </c>
      <c r="O255">
        <v>69.028999999999996</v>
      </c>
      <c r="P255">
        <v>-167.934</v>
      </c>
      <c r="Q255">
        <v>6.99</v>
      </c>
      <c r="R255">
        <v>31.87</v>
      </c>
      <c r="S255">
        <v>282.15800000000002</v>
      </c>
      <c r="W255">
        <v>0.33900000000000002</v>
      </c>
      <c r="X255">
        <v>2</v>
      </c>
      <c r="Y255">
        <v>0.52800000000000002</v>
      </c>
      <c r="AA255">
        <v>0.79</v>
      </c>
      <c r="AB255">
        <v>9.9600000000000009</v>
      </c>
      <c r="AE255">
        <v>2.31</v>
      </c>
      <c r="AF255">
        <v>0.91</v>
      </c>
      <c r="AI255">
        <v>2</v>
      </c>
      <c r="AL255">
        <v>84.513400000000004</v>
      </c>
      <c r="AQ255">
        <v>-0.92181977699999995</v>
      </c>
      <c r="AT255" t="e">
        <v>#N/A</v>
      </c>
    </row>
    <row r="256" spans="4:46">
      <c r="D256" t="e">
        <v>#N/A</v>
      </c>
      <c r="E256" t="s">
        <v>4308</v>
      </c>
      <c r="F256" t="s">
        <v>5294</v>
      </c>
      <c r="H256" t="s">
        <v>5065</v>
      </c>
      <c r="I256" t="s">
        <v>5066</v>
      </c>
      <c r="J256" t="s">
        <v>5067</v>
      </c>
      <c r="K256" t="e">
        <v>#N/A</v>
      </c>
      <c r="L256" t="e">
        <v>#N/A</v>
      </c>
      <c r="M256">
        <v>21</v>
      </c>
      <c r="O256">
        <v>69</v>
      </c>
      <c r="P256">
        <v>-167.435</v>
      </c>
      <c r="Q256">
        <v>6.93</v>
      </c>
      <c r="R256">
        <v>31.93</v>
      </c>
      <c r="S256">
        <v>284.18799999999999</v>
      </c>
      <c r="W256">
        <v>0.29099999999999998</v>
      </c>
      <c r="X256">
        <v>3</v>
      </c>
      <c r="Y256">
        <v>0.45600000000000002</v>
      </c>
      <c r="AA256">
        <v>0.75</v>
      </c>
      <c r="AB256">
        <v>8.5399999999999991</v>
      </c>
      <c r="AE256">
        <v>1.7</v>
      </c>
      <c r="AF256">
        <v>0.6</v>
      </c>
      <c r="AI256">
        <v>3</v>
      </c>
      <c r="AL256">
        <v>87.050399999999996</v>
      </c>
      <c r="AT256" t="e">
        <v>#N/A</v>
      </c>
    </row>
    <row r="257" spans="4:46">
      <c r="D257" t="e">
        <v>#N/A</v>
      </c>
      <c r="E257" t="s">
        <v>4308</v>
      </c>
      <c r="F257" t="s">
        <v>5294</v>
      </c>
      <c r="H257" t="s">
        <v>5065</v>
      </c>
      <c r="I257" t="s">
        <v>5066</v>
      </c>
      <c r="J257" t="s">
        <v>5068</v>
      </c>
      <c r="K257" t="e">
        <v>#N/A</v>
      </c>
      <c r="L257" t="e">
        <v>#N/A</v>
      </c>
      <c r="M257">
        <v>30</v>
      </c>
      <c r="O257">
        <v>69</v>
      </c>
      <c r="P257">
        <v>-167.435</v>
      </c>
      <c r="Q257">
        <v>5.52</v>
      </c>
      <c r="R257">
        <v>32.06</v>
      </c>
      <c r="S257">
        <v>277.38099999999997</v>
      </c>
      <c r="W257">
        <v>0.19</v>
      </c>
      <c r="X257">
        <v>2</v>
      </c>
      <c r="Y257">
        <v>0.26300000000000001</v>
      </c>
      <c r="AA257">
        <v>0.99</v>
      </c>
      <c r="AB257">
        <v>9.9600000000000009</v>
      </c>
      <c r="AE257">
        <v>2.91</v>
      </c>
      <c r="AF257">
        <v>2.64</v>
      </c>
      <c r="AI257">
        <v>2</v>
      </c>
      <c r="AL257">
        <v>85.468800000000002</v>
      </c>
      <c r="AT257" t="e">
        <v>#N/A</v>
      </c>
    </row>
    <row r="258" spans="4:46">
      <c r="D258" t="e">
        <v>#N/A</v>
      </c>
      <c r="E258" t="s">
        <v>4308</v>
      </c>
      <c r="F258" t="s">
        <v>5294</v>
      </c>
      <c r="H258" t="s">
        <v>5065</v>
      </c>
      <c r="I258" t="s">
        <v>5066</v>
      </c>
      <c r="J258" t="s">
        <v>5069</v>
      </c>
      <c r="K258" t="e">
        <v>#N/A</v>
      </c>
      <c r="L258" t="e">
        <v>#N/A</v>
      </c>
      <c r="M258">
        <v>4</v>
      </c>
      <c r="O258">
        <v>69</v>
      </c>
      <c r="P258">
        <v>-167.435</v>
      </c>
      <c r="Q258">
        <v>9.11</v>
      </c>
      <c r="R258">
        <v>30.74</v>
      </c>
      <c r="S258">
        <v>273.17899999999997</v>
      </c>
      <c r="W258">
        <v>0.53600000000000003</v>
      </c>
      <c r="X258">
        <v>5</v>
      </c>
      <c r="Y258">
        <v>0.54800000000000004</v>
      </c>
      <c r="AA258">
        <v>0.55000000000000004</v>
      </c>
      <c r="AB258">
        <v>7.83</v>
      </c>
      <c r="AE258">
        <v>0.34</v>
      </c>
      <c r="AF258">
        <v>0.12</v>
      </c>
      <c r="AI258">
        <v>5</v>
      </c>
      <c r="AL258">
        <v>95.102400000000003</v>
      </c>
      <c r="AQ258">
        <v>-2.5485025970000001</v>
      </c>
      <c r="AT258" t="e">
        <v>#N/A</v>
      </c>
    </row>
    <row r="259" spans="4:46">
      <c r="D259" t="e">
        <v>#N/A</v>
      </c>
      <c r="E259" t="s">
        <v>4308</v>
      </c>
      <c r="F259" t="s">
        <v>5294</v>
      </c>
      <c r="H259" t="s">
        <v>5065</v>
      </c>
      <c r="I259" t="s">
        <v>5066</v>
      </c>
      <c r="J259" t="s">
        <v>5070</v>
      </c>
      <c r="K259" t="e">
        <v>#N/A</v>
      </c>
      <c r="L259" t="e">
        <v>#N/A</v>
      </c>
      <c r="M259">
        <v>42</v>
      </c>
      <c r="O259">
        <v>69</v>
      </c>
      <c r="P259">
        <v>-167.435</v>
      </c>
      <c r="Q259">
        <v>5.39</v>
      </c>
      <c r="R259">
        <v>32.06</v>
      </c>
      <c r="S259">
        <v>277.76</v>
      </c>
      <c r="W259">
        <v>0.21299999999999999</v>
      </c>
      <c r="X259">
        <v>1</v>
      </c>
      <c r="Y259">
        <v>0.28599999999999998</v>
      </c>
      <c r="AA259">
        <v>1.1100000000000001</v>
      </c>
      <c r="AB259">
        <v>11.39</v>
      </c>
      <c r="AE259">
        <v>3.45</v>
      </c>
      <c r="AF259">
        <v>2.4</v>
      </c>
      <c r="AI259">
        <v>1</v>
      </c>
      <c r="AL259">
        <v>80.537099999999995</v>
      </c>
      <c r="AQ259">
        <v>-1.292182181</v>
      </c>
      <c r="AT259" t="e">
        <v>#N/A</v>
      </c>
    </row>
    <row r="260" spans="4:46">
      <c r="D260" t="e">
        <v>#N/A</v>
      </c>
      <c r="E260" t="s">
        <v>4308</v>
      </c>
      <c r="F260" t="s">
        <v>5294</v>
      </c>
      <c r="H260" t="s">
        <v>5065</v>
      </c>
      <c r="I260" t="s">
        <v>5066</v>
      </c>
      <c r="J260" t="s">
        <v>5071</v>
      </c>
      <c r="K260" t="e">
        <v>#N/A</v>
      </c>
      <c r="L260" t="e">
        <v>#N/A</v>
      </c>
      <c r="M260">
        <v>9</v>
      </c>
      <c r="O260">
        <v>69</v>
      </c>
      <c r="P260">
        <v>-167.435</v>
      </c>
      <c r="Q260">
        <v>8.6999999999999993</v>
      </c>
      <c r="R260">
        <v>31.13</v>
      </c>
      <c r="S260">
        <v>276.70299999999997</v>
      </c>
      <c r="W260">
        <v>0.70399999999999996</v>
      </c>
      <c r="X260">
        <v>4</v>
      </c>
      <c r="Y260">
        <v>0.57599999999999996</v>
      </c>
      <c r="AA260">
        <v>0.5</v>
      </c>
      <c r="AB260">
        <v>6.76</v>
      </c>
      <c r="AE260">
        <v>0.3</v>
      </c>
      <c r="AF260">
        <v>0.19</v>
      </c>
      <c r="AI260">
        <v>4</v>
      </c>
      <c r="AL260">
        <v>94.607299999999995</v>
      </c>
      <c r="AT260" t="e">
        <v>#N/A</v>
      </c>
    </row>
    <row r="261" spans="4:46">
      <c r="D261" t="e">
        <v>#N/A</v>
      </c>
      <c r="E261" t="s">
        <v>4308</v>
      </c>
      <c r="F261" t="s">
        <v>4416</v>
      </c>
      <c r="H261" t="s">
        <v>4417</v>
      </c>
      <c r="I261" t="s">
        <v>5012</v>
      </c>
      <c r="J261" t="s">
        <v>5260</v>
      </c>
      <c r="K261" t="e">
        <v>#N/A</v>
      </c>
      <c r="L261" t="e">
        <v>#N/A</v>
      </c>
      <c r="M261">
        <v>10</v>
      </c>
      <c r="O261">
        <v>70.087000000000003</v>
      </c>
      <c r="P261">
        <v>-163.96</v>
      </c>
      <c r="Q261">
        <v>9.33</v>
      </c>
      <c r="R261">
        <v>30.72</v>
      </c>
      <c r="S261">
        <v>273.37099999999998</v>
      </c>
      <c r="W261">
        <v>1.107</v>
      </c>
      <c r="X261">
        <v>4</v>
      </c>
      <c r="Y261">
        <v>0.98799999999999999</v>
      </c>
      <c r="AA261">
        <v>0.48</v>
      </c>
      <c r="AB261">
        <v>7.83</v>
      </c>
      <c r="AE261">
        <v>1.02</v>
      </c>
      <c r="AF261">
        <v>7.0000000000000007E-2</v>
      </c>
      <c r="AI261">
        <v>4</v>
      </c>
      <c r="AL261">
        <v>90.760400000000004</v>
      </c>
      <c r="AT261" t="e">
        <v>#N/A</v>
      </c>
    </row>
    <row r="262" spans="4:46">
      <c r="D262" t="e">
        <v>#N/A</v>
      </c>
      <c r="E262" t="s">
        <v>4308</v>
      </c>
      <c r="F262" t="s">
        <v>4416</v>
      </c>
      <c r="H262" t="s">
        <v>4417</v>
      </c>
      <c r="I262" t="s">
        <v>5012</v>
      </c>
      <c r="J262" t="s">
        <v>5261</v>
      </c>
      <c r="K262" t="e">
        <v>#N/A</v>
      </c>
      <c r="L262" t="e">
        <v>#N/A</v>
      </c>
      <c r="M262">
        <v>21</v>
      </c>
      <c r="O262">
        <v>70.087000000000003</v>
      </c>
      <c r="P262">
        <v>-163.96</v>
      </c>
      <c r="Q262">
        <v>9.2899999999999991</v>
      </c>
      <c r="R262">
        <v>30.73</v>
      </c>
      <c r="S262">
        <v>272.32799999999997</v>
      </c>
      <c r="W262">
        <v>0.86899999999999999</v>
      </c>
      <c r="X262">
        <v>3</v>
      </c>
      <c r="Y262">
        <v>0.99199999999999999</v>
      </c>
      <c r="AA262">
        <v>0.46</v>
      </c>
      <c r="AB262">
        <v>7.83</v>
      </c>
      <c r="AE262">
        <v>0.33</v>
      </c>
      <c r="AF262">
        <v>0.14000000000000001</v>
      </c>
      <c r="AI262">
        <v>3</v>
      </c>
      <c r="AL262">
        <v>92.559200000000004</v>
      </c>
      <c r="AT262" t="e">
        <v>#N/A</v>
      </c>
    </row>
    <row r="263" spans="4:46">
      <c r="D263" t="e">
        <v>#N/A</v>
      </c>
      <c r="E263" t="s">
        <v>4308</v>
      </c>
      <c r="F263" t="s">
        <v>4416</v>
      </c>
      <c r="H263" t="s">
        <v>4417</v>
      </c>
      <c r="I263" t="s">
        <v>5012</v>
      </c>
      <c r="J263" t="s">
        <v>5262</v>
      </c>
      <c r="K263" t="e">
        <v>#N/A</v>
      </c>
      <c r="L263" t="e">
        <v>#N/A</v>
      </c>
      <c r="M263">
        <v>25</v>
      </c>
      <c r="O263">
        <v>70.087000000000003</v>
      </c>
      <c r="P263">
        <v>-163.96</v>
      </c>
      <c r="Q263">
        <v>6.52</v>
      </c>
      <c r="R263">
        <v>30.95</v>
      </c>
      <c r="S263">
        <v>244.886</v>
      </c>
      <c r="W263">
        <v>0.93</v>
      </c>
      <c r="X263">
        <v>2</v>
      </c>
      <c r="AI263">
        <v>2</v>
      </c>
      <c r="AL263">
        <v>76.392700000000005</v>
      </c>
      <c r="AT263" t="e">
        <v>#N/A</v>
      </c>
    </row>
    <row r="264" spans="4:46">
      <c r="D264" t="e">
        <v>#N/A</v>
      </c>
      <c r="E264" t="s">
        <v>4308</v>
      </c>
      <c r="F264" t="s">
        <v>4416</v>
      </c>
      <c r="H264" t="s">
        <v>4417</v>
      </c>
      <c r="I264" t="s">
        <v>5012</v>
      </c>
      <c r="J264" t="s">
        <v>5263</v>
      </c>
      <c r="K264" t="e">
        <v>#N/A</v>
      </c>
      <c r="L264" t="e">
        <v>#N/A</v>
      </c>
      <c r="M264">
        <v>5</v>
      </c>
      <c r="O264">
        <v>70.087000000000003</v>
      </c>
      <c r="P264">
        <v>-163.96</v>
      </c>
      <c r="Q264">
        <v>9.42</v>
      </c>
      <c r="R264">
        <v>30.72</v>
      </c>
      <c r="S264">
        <v>274.18200000000002</v>
      </c>
      <c r="W264">
        <v>0.90200000000000002</v>
      </c>
      <c r="X264">
        <v>5</v>
      </c>
      <c r="Y264">
        <v>0.89200000000000002</v>
      </c>
      <c r="AA264">
        <v>0.46</v>
      </c>
      <c r="AB264">
        <v>7.83</v>
      </c>
      <c r="AE264">
        <v>0.27</v>
      </c>
      <c r="AF264">
        <v>0.39</v>
      </c>
      <c r="AI264">
        <v>5</v>
      </c>
      <c r="AL264">
        <v>91.067899999999995</v>
      </c>
      <c r="AQ264">
        <v>-2.3691898490000001</v>
      </c>
      <c r="AT264" t="e">
        <v>#N/A</v>
      </c>
    </row>
    <row r="265" spans="4:46">
      <c r="D265" t="e">
        <v>#N/A</v>
      </c>
      <c r="E265" t="s">
        <v>4308</v>
      </c>
      <c r="F265" t="s">
        <v>4420</v>
      </c>
      <c r="H265" t="s">
        <v>4421</v>
      </c>
      <c r="I265" t="s">
        <v>5024</v>
      </c>
      <c r="J265" t="s">
        <v>5267</v>
      </c>
      <c r="K265" t="e">
        <v>#N/A</v>
      </c>
      <c r="L265" t="e">
        <v>#N/A</v>
      </c>
      <c r="M265">
        <v>10</v>
      </c>
      <c r="O265">
        <v>70.266999999999996</v>
      </c>
      <c r="P265">
        <v>-163.40799999999999</v>
      </c>
      <c r="Q265">
        <v>9.19</v>
      </c>
      <c r="R265">
        <v>30.73</v>
      </c>
      <c r="S265">
        <v>274.54000000000002</v>
      </c>
      <c r="W265">
        <v>1.0289999999999999</v>
      </c>
      <c r="X265">
        <v>3</v>
      </c>
      <c r="Y265">
        <v>0.89200000000000002</v>
      </c>
      <c r="AA265">
        <v>0.48</v>
      </c>
      <c r="AB265">
        <v>7.83</v>
      </c>
      <c r="AE265">
        <v>0.45</v>
      </c>
      <c r="AF265">
        <v>0.18</v>
      </c>
      <c r="AI265">
        <v>3</v>
      </c>
      <c r="AL265">
        <v>90.612899999999996</v>
      </c>
      <c r="AT265" t="e">
        <v>#N/A</v>
      </c>
    </row>
    <row r="266" spans="4:46">
      <c r="D266" t="e">
        <v>#N/A</v>
      </c>
      <c r="E266" t="s">
        <v>4308</v>
      </c>
      <c r="F266" t="s">
        <v>4420</v>
      </c>
      <c r="H266" t="s">
        <v>4421</v>
      </c>
      <c r="I266" t="s">
        <v>5024</v>
      </c>
      <c r="J266" t="s">
        <v>5268</v>
      </c>
      <c r="K266" t="e">
        <v>#N/A</v>
      </c>
      <c r="L266" t="e">
        <v>#N/A</v>
      </c>
      <c r="M266">
        <v>21</v>
      </c>
      <c r="O266">
        <v>70.266999999999996</v>
      </c>
      <c r="P266">
        <v>-163.40799999999999</v>
      </c>
      <c r="Q266">
        <v>9.06</v>
      </c>
      <c r="R266">
        <v>30.75</v>
      </c>
      <c r="S266">
        <v>272.23099999999999</v>
      </c>
      <c r="W266">
        <v>0.76100000000000001</v>
      </c>
      <c r="X266">
        <v>2</v>
      </c>
      <c r="Y266">
        <v>0.94</v>
      </c>
      <c r="AA266">
        <v>0.47</v>
      </c>
      <c r="AB266">
        <v>7.83</v>
      </c>
      <c r="AE266">
        <v>0.34</v>
      </c>
      <c r="AF266">
        <v>0.56000000000000005</v>
      </c>
      <c r="AI266">
        <v>2</v>
      </c>
      <c r="AL266">
        <v>92.331900000000005</v>
      </c>
      <c r="AT266" t="e">
        <v>#N/A</v>
      </c>
    </row>
    <row r="267" spans="4:46">
      <c r="D267" t="e">
        <v>#N/A</v>
      </c>
      <c r="E267" t="s">
        <v>4308</v>
      </c>
      <c r="F267" t="s">
        <v>4426</v>
      </c>
      <c r="H267" t="s">
        <v>4427</v>
      </c>
      <c r="I267" t="s">
        <v>5027</v>
      </c>
      <c r="J267" t="s">
        <v>5269</v>
      </c>
      <c r="K267" t="e">
        <v>#N/A</v>
      </c>
      <c r="L267" t="e">
        <v>#N/A</v>
      </c>
      <c r="M267">
        <v>10</v>
      </c>
      <c r="O267">
        <v>70.388999999999996</v>
      </c>
      <c r="P267">
        <v>-163.02199999999999</v>
      </c>
      <c r="Q267">
        <v>9.07</v>
      </c>
      <c r="R267">
        <v>30.77</v>
      </c>
      <c r="S267">
        <v>272.92200000000003</v>
      </c>
      <c r="W267">
        <v>1.099</v>
      </c>
      <c r="X267">
        <v>3</v>
      </c>
      <c r="Y267">
        <v>0.89600000000000002</v>
      </c>
      <c r="AA267">
        <v>0.49</v>
      </c>
      <c r="AB267">
        <v>8.19</v>
      </c>
      <c r="AE267">
        <v>0.31</v>
      </c>
      <c r="AF267">
        <v>0.19</v>
      </c>
      <c r="AI267">
        <v>3</v>
      </c>
      <c r="AL267">
        <v>91.363799999999998</v>
      </c>
      <c r="AT267" t="e">
        <v>#N/A</v>
      </c>
    </row>
    <row r="268" spans="4:46">
      <c r="D268" t="e">
        <v>#N/A</v>
      </c>
      <c r="E268" t="s">
        <v>4308</v>
      </c>
      <c r="F268" t="s">
        <v>4426</v>
      </c>
      <c r="H268" t="s">
        <v>4427</v>
      </c>
      <c r="I268" t="s">
        <v>5027</v>
      </c>
      <c r="J268" t="s">
        <v>5270</v>
      </c>
      <c r="K268" t="e">
        <v>#N/A</v>
      </c>
      <c r="L268" t="e">
        <v>#N/A</v>
      </c>
      <c r="M268">
        <v>20</v>
      </c>
      <c r="O268">
        <v>70.388999999999996</v>
      </c>
      <c r="P268">
        <v>-163.02199999999999</v>
      </c>
      <c r="Q268">
        <v>7.94</v>
      </c>
      <c r="R268">
        <v>30.86</v>
      </c>
      <c r="S268">
        <v>240.99799999999999</v>
      </c>
      <c r="W268">
        <v>0.67900000000000005</v>
      </c>
      <c r="X268">
        <v>2</v>
      </c>
      <c r="Y268">
        <v>0.85599999999999998</v>
      </c>
      <c r="AA268">
        <v>0.73</v>
      </c>
      <c r="AB268">
        <v>14.23</v>
      </c>
      <c r="AE268">
        <v>1.54</v>
      </c>
      <c r="AF268">
        <v>0.59</v>
      </c>
      <c r="AI268">
        <v>2</v>
      </c>
      <c r="AL268">
        <v>85.77</v>
      </c>
      <c r="AT268" t="e">
        <v>#N/A</v>
      </c>
    </row>
    <row r="269" spans="4:46">
      <c r="D269" t="e">
        <v>#N/A</v>
      </c>
      <c r="E269" t="s">
        <v>4308</v>
      </c>
      <c r="F269" t="s">
        <v>5295</v>
      </c>
      <c r="H269" t="s">
        <v>5271</v>
      </c>
      <c r="I269" t="s">
        <v>5272</v>
      </c>
      <c r="J269" t="s">
        <v>5273</v>
      </c>
      <c r="K269" t="e">
        <v>#N/A</v>
      </c>
      <c r="L269" t="e">
        <v>#N/A</v>
      </c>
      <c r="M269">
        <v>10</v>
      </c>
      <c r="O269">
        <v>70.509</v>
      </c>
      <c r="P269">
        <v>-162.64400000000001</v>
      </c>
      <c r="Q269">
        <v>8.99</v>
      </c>
      <c r="R269">
        <v>30.82</v>
      </c>
      <c r="S269">
        <v>272.41000000000003</v>
      </c>
      <c r="W269">
        <v>0.84399999999999997</v>
      </c>
      <c r="X269">
        <v>3</v>
      </c>
      <c r="Y269">
        <v>0.78400000000000003</v>
      </c>
      <c r="AA269">
        <v>0.49</v>
      </c>
      <c r="AB269">
        <v>7.83</v>
      </c>
      <c r="AE269">
        <v>1.25</v>
      </c>
      <c r="AF269">
        <v>0.38</v>
      </c>
      <c r="AI269">
        <v>3</v>
      </c>
      <c r="AL269">
        <v>91.265000000000001</v>
      </c>
      <c r="AT269" t="e">
        <v>#N/A</v>
      </c>
    </row>
    <row r="270" spans="4:46">
      <c r="D270" t="e">
        <v>#N/A</v>
      </c>
      <c r="E270" t="s">
        <v>4308</v>
      </c>
      <c r="F270" t="s">
        <v>5295</v>
      </c>
      <c r="H270" t="s">
        <v>5271</v>
      </c>
      <c r="I270" t="s">
        <v>5272</v>
      </c>
      <c r="J270" t="s">
        <v>5274</v>
      </c>
      <c r="K270" t="e">
        <v>#N/A</v>
      </c>
      <c r="L270" t="e">
        <v>#N/A</v>
      </c>
      <c r="M270">
        <v>21</v>
      </c>
      <c r="O270">
        <v>70.509</v>
      </c>
      <c r="P270">
        <v>-162.64400000000001</v>
      </c>
      <c r="Q270">
        <v>8.43</v>
      </c>
      <c r="R270">
        <v>31.02</v>
      </c>
      <c r="S270">
        <v>267.065</v>
      </c>
      <c r="W270">
        <v>0.98199999999999998</v>
      </c>
      <c r="X270">
        <v>2</v>
      </c>
      <c r="Y270">
        <v>0.97599999999999998</v>
      </c>
      <c r="AA270">
        <v>0.48</v>
      </c>
      <c r="AB270">
        <v>8.19</v>
      </c>
      <c r="AE270">
        <v>0.51</v>
      </c>
      <c r="AF270">
        <v>4.3499999999999996</v>
      </c>
      <c r="AI270">
        <v>2</v>
      </c>
      <c r="AL270">
        <v>92.378399999999999</v>
      </c>
      <c r="AT270" t="e">
        <v>#N/A</v>
      </c>
    </row>
    <row r="271" spans="4:46">
      <c r="D271" t="e">
        <v>#N/A</v>
      </c>
      <c r="E271" t="s">
        <v>4308</v>
      </c>
      <c r="F271" t="s">
        <v>5295</v>
      </c>
      <c r="H271" t="s">
        <v>5271</v>
      </c>
      <c r="I271" t="s">
        <v>5272</v>
      </c>
      <c r="J271" t="s">
        <v>5275</v>
      </c>
      <c r="K271" t="e">
        <v>#N/A</v>
      </c>
      <c r="L271" t="e">
        <v>#N/A</v>
      </c>
      <c r="M271">
        <v>32</v>
      </c>
      <c r="O271">
        <v>70.509</v>
      </c>
      <c r="P271">
        <v>-162.64400000000001</v>
      </c>
      <c r="Q271">
        <v>6.29</v>
      </c>
      <c r="R271">
        <v>31.09</v>
      </c>
      <c r="S271">
        <v>246.34</v>
      </c>
      <c r="W271">
        <v>0.8</v>
      </c>
      <c r="X271">
        <v>1</v>
      </c>
      <c r="Y271">
        <v>0.88</v>
      </c>
      <c r="AA271">
        <v>0.67</v>
      </c>
      <c r="AB271">
        <v>13.17</v>
      </c>
      <c r="AE271">
        <v>2.85</v>
      </c>
      <c r="AF271">
        <v>2.76</v>
      </c>
      <c r="AI271">
        <v>1</v>
      </c>
      <c r="AL271">
        <v>82.136600000000001</v>
      </c>
      <c r="AQ271">
        <v>-2.8908333329999998</v>
      </c>
      <c r="AT271" t="e">
        <v>#N/A</v>
      </c>
    </row>
    <row r="272" spans="4:46">
      <c r="D272" t="e">
        <v>#N/A</v>
      </c>
      <c r="E272" t="s">
        <v>4308</v>
      </c>
      <c r="F272" t="s">
        <v>5295</v>
      </c>
      <c r="H272" t="s">
        <v>5271</v>
      </c>
      <c r="I272" t="s">
        <v>5272</v>
      </c>
      <c r="J272" t="s">
        <v>5276</v>
      </c>
      <c r="K272" t="e">
        <v>#N/A</v>
      </c>
      <c r="L272" t="e">
        <v>#N/A</v>
      </c>
      <c r="M272">
        <v>5</v>
      </c>
      <c r="O272">
        <v>70.509</v>
      </c>
      <c r="P272">
        <v>-162.64400000000001</v>
      </c>
      <c r="Q272">
        <v>8.99</v>
      </c>
      <c r="R272">
        <v>30.82</v>
      </c>
      <c r="S272">
        <v>272.49099999999999</v>
      </c>
      <c r="W272">
        <v>0.748</v>
      </c>
      <c r="X272">
        <v>4</v>
      </c>
      <c r="Y272">
        <v>0.68400000000000005</v>
      </c>
      <c r="AA272">
        <v>0.46</v>
      </c>
      <c r="AB272">
        <v>8.19</v>
      </c>
      <c r="AE272">
        <v>0.28000000000000003</v>
      </c>
      <c r="AF272">
        <v>0.27</v>
      </c>
      <c r="AI272">
        <v>4</v>
      </c>
      <c r="AL272">
        <v>91.162000000000006</v>
      </c>
      <c r="AQ272">
        <v>-3.1030000000000002</v>
      </c>
      <c r="AT272" t="e">
        <v>#N/A</v>
      </c>
    </row>
    <row r="273" spans="4:46">
      <c r="D273" t="e">
        <v>#N/A</v>
      </c>
      <c r="E273" t="s">
        <v>4308</v>
      </c>
      <c r="F273" t="s">
        <v>5295</v>
      </c>
      <c r="H273" t="s">
        <v>5271</v>
      </c>
      <c r="I273" t="s">
        <v>5272</v>
      </c>
      <c r="J273" t="s">
        <v>5276</v>
      </c>
      <c r="K273" t="e">
        <v>#N/A</v>
      </c>
      <c r="L273" t="e">
        <v>#N/A</v>
      </c>
      <c r="M273">
        <v>5</v>
      </c>
      <c r="O273">
        <v>70.509</v>
      </c>
      <c r="P273">
        <v>-162.64400000000001</v>
      </c>
      <c r="Q273">
        <v>8.99</v>
      </c>
      <c r="R273">
        <v>30.82</v>
      </c>
      <c r="S273">
        <v>272.49099999999999</v>
      </c>
      <c r="W273">
        <v>0.748</v>
      </c>
      <c r="X273">
        <v>5</v>
      </c>
      <c r="AI273">
        <v>5</v>
      </c>
      <c r="AL273">
        <v>91.162000000000006</v>
      </c>
      <c r="AT273" t="e">
        <v>#N/A</v>
      </c>
    </row>
    <row r="274" spans="4:46">
      <c r="D274" t="e">
        <v>#N/A</v>
      </c>
      <c r="E274" t="s">
        <v>4308</v>
      </c>
      <c r="F274" t="s">
        <v>4432</v>
      </c>
      <c r="H274" t="s">
        <v>4433</v>
      </c>
      <c r="I274" t="s">
        <v>5030</v>
      </c>
      <c r="J274" t="s">
        <v>5277</v>
      </c>
      <c r="K274" t="e">
        <v>#N/A</v>
      </c>
      <c r="L274" t="e">
        <v>#N/A</v>
      </c>
      <c r="M274">
        <v>10</v>
      </c>
      <c r="O274">
        <v>70.626999999999995</v>
      </c>
      <c r="P274">
        <v>-162.249</v>
      </c>
      <c r="Q274">
        <v>8.6199999999999992</v>
      </c>
      <c r="R274">
        <v>31.03</v>
      </c>
      <c r="S274">
        <v>275.73</v>
      </c>
      <c r="W274">
        <v>0.93</v>
      </c>
      <c r="X274">
        <v>3</v>
      </c>
      <c r="Y274">
        <v>0.84</v>
      </c>
      <c r="AA274">
        <v>0.46</v>
      </c>
      <c r="AB274">
        <v>7.83</v>
      </c>
      <c r="AE274">
        <v>0.39</v>
      </c>
      <c r="AF274">
        <v>0.26</v>
      </c>
      <c r="AI274">
        <v>3</v>
      </c>
      <c r="AL274">
        <v>90.767300000000006</v>
      </c>
      <c r="AT274" t="e">
        <v>#N/A</v>
      </c>
    </row>
    <row r="275" spans="4:46">
      <c r="D275" t="e">
        <v>#N/A</v>
      </c>
      <c r="E275" t="s">
        <v>4308</v>
      </c>
      <c r="F275" t="s">
        <v>4432</v>
      </c>
      <c r="H275" t="s">
        <v>4433</v>
      </c>
      <c r="I275" t="s">
        <v>5030</v>
      </c>
      <c r="J275" t="s">
        <v>5278</v>
      </c>
      <c r="K275" t="e">
        <v>#N/A</v>
      </c>
      <c r="L275" t="e">
        <v>#N/A</v>
      </c>
      <c r="M275">
        <v>20</v>
      </c>
      <c r="O275">
        <v>70.626999999999995</v>
      </c>
      <c r="P275">
        <v>-162.249</v>
      </c>
      <c r="Q275">
        <v>8.1</v>
      </c>
      <c r="R275">
        <v>31.11</v>
      </c>
      <c r="S275">
        <v>272.28199999999998</v>
      </c>
      <c r="W275">
        <v>1.2849999999999999</v>
      </c>
      <c r="X275">
        <v>2</v>
      </c>
      <c r="Y275">
        <v>0.76800000000000002</v>
      </c>
      <c r="AA275">
        <v>0.47</v>
      </c>
      <c r="AB275">
        <v>7.83</v>
      </c>
      <c r="AE275">
        <v>0.25</v>
      </c>
      <c r="AF275">
        <v>0.68</v>
      </c>
      <c r="AI275">
        <v>2</v>
      </c>
      <c r="AL275">
        <v>91.1631</v>
      </c>
      <c r="AT275" t="e">
        <v>#N/A</v>
      </c>
    </row>
    <row r="276" spans="4:46">
      <c r="D276" t="e">
        <v>#N/A</v>
      </c>
      <c r="E276" t="s">
        <v>4308</v>
      </c>
      <c r="F276" t="s">
        <v>4438</v>
      </c>
      <c r="H276" t="s">
        <v>4439</v>
      </c>
      <c r="I276" t="s">
        <v>5033</v>
      </c>
      <c r="J276" t="s">
        <v>5279</v>
      </c>
      <c r="K276" t="e">
        <v>#N/A</v>
      </c>
      <c r="L276" t="e">
        <v>#N/A</v>
      </c>
      <c r="M276">
        <v>11</v>
      </c>
      <c r="O276">
        <v>70.725999999999999</v>
      </c>
      <c r="P276">
        <v>-161.94</v>
      </c>
      <c r="Q276">
        <v>8.6199999999999992</v>
      </c>
      <c r="R276">
        <v>31.02</v>
      </c>
      <c r="S276">
        <v>278.44600000000003</v>
      </c>
      <c r="W276">
        <v>0.879</v>
      </c>
      <c r="X276">
        <v>4</v>
      </c>
      <c r="Y276">
        <v>0.78</v>
      </c>
      <c r="AA276">
        <v>0.45</v>
      </c>
      <c r="AB276">
        <v>7.12</v>
      </c>
      <c r="AE276">
        <v>0.34</v>
      </c>
      <c r="AF276">
        <v>0.32</v>
      </c>
      <c r="AI276">
        <v>4</v>
      </c>
      <c r="AL276">
        <v>91.297799999999995</v>
      </c>
      <c r="AT276" t="e">
        <v>#N/A</v>
      </c>
    </row>
    <row r="277" spans="4:46">
      <c r="D277" t="e">
        <v>#N/A</v>
      </c>
      <c r="E277" t="s">
        <v>4308</v>
      </c>
      <c r="F277" t="s">
        <v>4438</v>
      </c>
      <c r="H277" t="s">
        <v>4439</v>
      </c>
      <c r="I277" t="s">
        <v>5033</v>
      </c>
      <c r="J277" t="s">
        <v>5280</v>
      </c>
      <c r="K277" t="e">
        <v>#N/A</v>
      </c>
      <c r="L277" t="e">
        <v>#N/A</v>
      </c>
      <c r="M277">
        <v>31</v>
      </c>
      <c r="O277">
        <v>70.725999999999999</v>
      </c>
      <c r="P277">
        <v>-161.94</v>
      </c>
      <c r="Q277">
        <v>5.25</v>
      </c>
      <c r="R277">
        <v>31.45</v>
      </c>
      <c r="S277">
        <v>255.52600000000001</v>
      </c>
      <c r="W277">
        <v>0.6</v>
      </c>
      <c r="X277">
        <v>2</v>
      </c>
      <c r="Y277">
        <v>0.72399999999999998</v>
      </c>
      <c r="AA277">
        <v>0.99</v>
      </c>
      <c r="AB277">
        <v>17.079999999999998</v>
      </c>
      <c r="AE277">
        <v>2.81</v>
      </c>
      <c r="AF277">
        <v>1.35</v>
      </c>
      <c r="AI277">
        <v>2</v>
      </c>
      <c r="AL277">
        <v>72.033199999999994</v>
      </c>
      <c r="AT277" t="e">
        <v>#N/A</v>
      </c>
    </row>
    <row r="278" spans="4:46">
      <c r="D278" t="e">
        <v>#N/A</v>
      </c>
      <c r="E278" t="s">
        <v>4308</v>
      </c>
      <c r="F278" t="s">
        <v>4446</v>
      </c>
      <c r="H278" t="s">
        <v>4447</v>
      </c>
      <c r="I278" t="s">
        <v>5037</v>
      </c>
      <c r="J278" t="s">
        <v>5281</v>
      </c>
      <c r="K278" t="e">
        <v>#N/A</v>
      </c>
      <c r="L278" t="e">
        <v>#N/A</v>
      </c>
      <c r="M278">
        <v>11</v>
      </c>
      <c r="O278">
        <v>70.843999999999994</v>
      </c>
      <c r="P278">
        <v>-161.53800000000001</v>
      </c>
      <c r="Q278">
        <v>8.73</v>
      </c>
      <c r="R278">
        <v>30.73</v>
      </c>
      <c r="S278">
        <v>279.50099999999998</v>
      </c>
      <c r="W278">
        <v>0.79300000000000004</v>
      </c>
      <c r="X278">
        <v>4</v>
      </c>
      <c r="Y278">
        <v>0.79200000000000004</v>
      </c>
      <c r="AA278">
        <v>0.43</v>
      </c>
      <c r="AB278">
        <v>6.41</v>
      </c>
      <c r="AE278">
        <v>0.31</v>
      </c>
      <c r="AF278">
        <v>0.16</v>
      </c>
      <c r="AI278">
        <v>4</v>
      </c>
      <c r="AL278">
        <v>91.397099999999995</v>
      </c>
      <c r="AT278" t="e">
        <v>#N/A</v>
      </c>
    </row>
    <row r="279" spans="4:46">
      <c r="D279" t="e">
        <v>#N/A</v>
      </c>
      <c r="E279" t="s">
        <v>4308</v>
      </c>
      <c r="F279" t="s">
        <v>4446</v>
      </c>
      <c r="H279" t="s">
        <v>4447</v>
      </c>
      <c r="I279" t="s">
        <v>5037</v>
      </c>
      <c r="J279" t="s">
        <v>5282</v>
      </c>
      <c r="K279" t="e">
        <v>#N/A</v>
      </c>
      <c r="L279" t="e">
        <v>#N/A</v>
      </c>
      <c r="M279">
        <v>31</v>
      </c>
      <c r="O279">
        <v>70.843999999999994</v>
      </c>
      <c r="P279">
        <v>-161.53800000000001</v>
      </c>
      <c r="Q279">
        <v>4.92</v>
      </c>
      <c r="R279">
        <v>31.64</v>
      </c>
      <c r="S279">
        <v>268.75900000000001</v>
      </c>
      <c r="W279">
        <v>0.77200000000000002</v>
      </c>
      <c r="X279">
        <v>2</v>
      </c>
      <c r="Y279">
        <v>0.92800000000000005</v>
      </c>
      <c r="AA279">
        <v>0.97</v>
      </c>
      <c r="AB279">
        <v>13.52</v>
      </c>
      <c r="AE279">
        <v>1.86</v>
      </c>
      <c r="AF279">
        <v>0.96</v>
      </c>
      <c r="AI279">
        <v>2</v>
      </c>
      <c r="AL279">
        <v>71.163499999999999</v>
      </c>
      <c r="AT279" t="e">
        <v>#N/A</v>
      </c>
    </row>
    <row r="280" spans="4:46">
      <c r="D280" t="e">
        <v>#N/A</v>
      </c>
      <c r="E280" t="s">
        <v>4308</v>
      </c>
      <c r="F280" t="s">
        <v>4454</v>
      </c>
      <c r="H280" t="s">
        <v>4455</v>
      </c>
      <c r="I280" t="s">
        <v>5041</v>
      </c>
      <c r="J280" t="s">
        <v>5283</v>
      </c>
      <c r="K280" t="e">
        <v>#N/A</v>
      </c>
      <c r="L280" t="e">
        <v>#N/A</v>
      </c>
      <c r="M280">
        <v>11</v>
      </c>
      <c r="O280">
        <v>70.959999999999994</v>
      </c>
      <c r="P280">
        <v>-161.13800000000001</v>
      </c>
      <c r="Q280">
        <v>8.6999999999999993</v>
      </c>
      <c r="R280">
        <v>30.43</v>
      </c>
      <c r="S280">
        <v>279.94099999999997</v>
      </c>
      <c r="W280">
        <v>0.84699999999999998</v>
      </c>
      <c r="X280">
        <v>4</v>
      </c>
      <c r="Y280">
        <v>0.75600000000000001</v>
      </c>
      <c r="AA280">
        <v>0.45</v>
      </c>
      <c r="AB280">
        <v>6.41</v>
      </c>
      <c r="AE280">
        <v>0.63</v>
      </c>
      <c r="AF280">
        <v>0.12</v>
      </c>
      <c r="AI280">
        <v>4</v>
      </c>
      <c r="AL280">
        <v>91.658699999999996</v>
      </c>
      <c r="AT280" t="e">
        <v>#N/A</v>
      </c>
    </row>
    <row r="281" spans="4:46">
      <c r="D281" t="e">
        <v>#N/A</v>
      </c>
      <c r="E281" t="s">
        <v>4308</v>
      </c>
      <c r="F281" t="s">
        <v>4454</v>
      </c>
      <c r="H281" t="s">
        <v>4455</v>
      </c>
      <c r="I281" t="s">
        <v>5041</v>
      </c>
      <c r="J281" t="s">
        <v>5284</v>
      </c>
      <c r="K281" t="e">
        <v>#N/A</v>
      </c>
      <c r="L281" t="e">
        <v>#N/A</v>
      </c>
      <c r="M281">
        <v>30</v>
      </c>
      <c r="O281">
        <v>70.959999999999994</v>
      </c>
      <c r="P281">
        <v>-161.13800000000001</v>
      </c>
      <c r="Q281">
        <v>2.74</v>
      </c>
      <c r="R281">
        <v>31.57</v>
      </c>
      <c r="S281">
        <v>300.57499999999999</v>
      </c>
      <c r="W281">
        <v>0.67200000000000004</v>
      </c>
      <c r="X281">
        <v>2</v>
      </c>
      <c r="Y281">
        <v>0.83599999999999997</v>
      </c>
      <c r="AA281">
        <v>0.95</v>
      </c>
      <c r="AB281">
        <v>14.23</v>
      </c>
      <c r="AE281">
        <v>3.23</v>
      </c>
      <c r="AF281">
        <v>1.27</v>
      </c>
      <c r="AI281">
        <v>2</v>
      </c>
      <c r="AL281">
        <v>71.205200000000005</v>
      </c>
      <c r="AT281" t="e">
        <v>#N/A</v>
      </c>
    </row>
    <row r="282" spans="4:46">
      <c r="D282" t="e">
        <v>#N/A</v>
      </c>
      <c r="E282" t="s">
        <v>4308</v>
      </c>
      <c r="F282" t="s">
        <v>4462</v>
      </c>
      <c r="H282" t="s">
        <v>4463</v>
      </c>
      <c r="I282" t="s">
        <v>5045</v>
      </c>
      <c r="J282" t="s">
        <v>5285</v>
      </c>
      <c r="K282" t="e">
        <v>#N/A</v>
      </c>
      <c r="L282" t="e">
        <v>#N/A</v>
      </c>
      <c r="M282">
        <v>34</v>
      </c>
      <c r="O282">
        <v>71.075000000000003</v>
      </c>
      <c r="P282">
        <v>-160.73500000000001</v>
      </c>
      <c r="Q282">
        <v>1.25</v>
      </c>
      <c r="R282">
        <v>32.15</v>
      </c>
      <c r="S282">
        <v>313.88499999999999</v>
      </c>
      <c r="W282">
        <v>0.56599999999999995</v>
      </c>
      <c r="X282">
        <v>3</v>
      </c>
      <c r="Y282">
        <v>0.73199999999999998</v>
      </c>
      <c r="AA282">
        <v>0.97</v>
      </c>
      <c r="AB282">
        <v>11.39</v>
      </c>
      <c r="AE282">
        <v>1.67</v>
      </c>
      <c r="AF282">
        <v>0.7</v>
      </c>
      <c r="AI282">
        <v>3</v>
      </c>
      <c r="AL282">
        <v>83.087699999999998</v>
      </c>
      <c r="AT282" t="e">
        <v>#N/A</v>
      </c>
    </row>
    <row r="283" spans="4:46">
      <c r="D283" t="e">
        <v>#N/A</v>
      </c>
      <c r="E283" t="s">
        <v>4308</v>
      </c>
      <c r="F283" t="s">
        <v>4462</v>
      </c>
      <c r="H283" t="s">
        <v>4463</v>
      </c>
      <c r="I283" t="s">
        <v>5045</v>
      </c>
      <c r="J283" t="s">
        <v>5286</v>
      </c>
      <c r="K283" t="e">
        <v>#N/A</v>
      </c>
      <c r="L283" t="e">
        <v>#N/A</v>
      </c>
      <c r="M283">
        <v>41</v>
      </c>
      <c r="O283">
        <v>71.075000000000003</v>
      </c>
      <c r="P283">
        <v>-160.73500000000001</v>
      </c>
      <c r="Q283">
        <v>1.26</v>
      </c>
      <c r="R283">
        <v>32.15</v>
      </c>
      <c r="S283">
        <v>313.02499999999998</v>
      </c>
      <c r="W283">
        <v>0.51700000000000002</v>
      </c>
      <c r="X283">
        <v>2</v>
      </c>
      <c r="Y283">
        <v>0.72</v>
      </c>
      <c r="AA283">
        <v>1.01</v>
      </c>
      <c r="AB283">
        <v>11.03</v>
      </c>
      <c r="AE283">
        <v>1.8</v>
      </c>
      <c r="AF283">
        <v>1.1299999999999999</v>
      </c>
      <c r="AI283">
        <v>2</v>
      </c>
      <c r="AL283">
        <v>82.227000000000004</v>
      </c>
      <c r="AT283" t="e">
        <v>#N/A</v>
      </c>
    </row>
    <row r="284" spans="4:46">
      <c r="D284" t="e">
        <v>#N/A</v>
      </c>
      <c r="E284" t="s">
        <v>4308</v>
      </c>
      <c r="F284" t="s">
        <v>4462</v>
      </c>
      <c r="H284" t="s">
        <v>4463</v>
      </c>
      <c r="I284" t="s">
        <v>5045</v>
      </c>
      <c r="J284" t="s">
        <v>5287</v>
      </c>
      <c r="K284" t="e">
        <v>#N/A</v>
      </c>
      <c r="L284" t="e">
        <v>#N/A</v>
      </c>
      <c r="M284">
        <v>9</v>
      </c>
      <c r="O284">
        <v>71.075000000000003</v>
      </c>
      <c r="P284">
        <v>-160.73500000000001</v>
      </c>
      <c r="Q284">
        <v>8.0399999999999991</v>
      </c>
      <c r="R284">
        <v>30.49</v>
      </c>
      <c r="S284">
        <v>282.22399999999999</v>
      </c>
      <c r="W284">
        <v>0.53100000000000003</v>
      </c>
      <c r="X284">
        <v>5</v>
      </c>
      <c r="Y284">
        <v>0.26400000000000001</v>
      </c>
      <c r="AA284">
        <v>0.46</v>
      </c>
      <c r="AB284">
        <v>5.69</v>
      </c>
      <c r="AE284">
        <v>0.5</v>
      </c>
      <c r="AF284">
        <v>0.21</v>
      </c>
      <c r="AI284">
        <v>5</v>
      </c>
      <c r="AL284">
        <v>93.190100000000001</v>
      </c>
      <c r="AT284" t="e">
        <v>#N/A</v>
      </c>
    </row>
    <row r="285" spans="4:46">
      <c r="D285" t="e">
        <v>#N/A</v>
      </c>
      <c r="E285" t="s">
        <v>4308</v>
      </c>
      <c r="F285" t="s">
        <v>4470</v>
      </c>
      <c r="H285" t="s">
        <v>4471</v>
      </c>
      <c r="I285" t="s">
        <v>4933</v>
      </c>
      <c r="J285" t="s">
        <v>5178</v>
      </c>
      <c r="K285" t="e">
        <v>#N/A</v>
      </c>
      <c r="L285" t="e">
        <v>#N/A</v>
      </c>
      <c r="M285">
        <v>10</v>
      </c>
      <c r="O285">
        <v>70.891999999999996</v>
      </c>
      <c r="P285">
        <v>-159.393</v>
      </c>
      <c r="Q285">
        <v>7.59</v>
      </c>
      <c r="R285">
        <v>30.89</v>
      </c>
      <c r="S285">
        <v>279.86099999999999</v>
      </c>
      <c r="W285">
        <v>1.0229999999999999</v>
      </c>
      <c r="X285">
        <v>2</v>
      </c>
      <c r="Y285">
        <v>1.3919999999999999</v>
      </c>
      <c r="AA285">
        <v>0.57999999999999996</v>
      </c>
      <c r="AB285">
        <v>8.19</v>
      </c>
      <c r="AE285">
        <v>1.1200000000000001</v>
      </c>
      <c r="AF285">
        <v>0.28000000000000003</v>
      </c>
      <c r="AI285">
        <v>2</v>
      </c>
      <c r="AL285">
        <v>69.691299999999998</v>
      </c>
      <c r="AT285" t="e">
        <v>#N/A</v>
      </c>
    </row>
    <row r="286" spans="4:46">
      <c r="D286" t="e">
        <v>#N/A</v>
      </c>
      <c r="E286" t="s">
        <v>4308</v>
      </c>
      <c r="F286" t="s">
        <v>4470</v>
      </c>
      <c r="H286" t="s">
        <v>4471</v>
      </c>
      <c r="I286" t="s">
        <v>4933</v>
      </c>
      <c r="J286" t="s">
        <v>5179</v>
      </c>
      <c r="K286" t="e">
        <v>#N/A</v>
      </c>
      <c r="L286" t="e">
        <v>#N/A</v>
      </c>
      <c r="M286">
        <v>3</v>
      </c>
      <c r="O286">
        <v>70.891999999999996</v>
      </c>
      <c r="P286">
        <v>-159.393</v>
      </c>
      <c r="Q286">
        <v>7.59</v>
      </c>
      <c r="R286">
        <v>30.89</v>
      </c>
      <c r="S286">
        <v>280.32900000000001</v>
      </c>
      <c r="W286">
        <v>0.97599999999999998</v>
      </c>
      <c r="X286">
        <v>3</v>
      </c>
      <c r="Y286">
        <v>1.464</v>
      </c>
      <c r="AA286">
        <v>0.55000000000000004</v>
      </c>
      <c r="AB286">
        <v>8.19</v>
      </c>
      <c r="AE286">
        <v>0.28999999999999998</v>
      </c>
      <c r="AF286">
        <v>0.21</v>
      </c>
      <c r="AI286">
        <v>3</v>
      </c>
      <c r="AL286">
        <v>69.601500000000001</v>
      </c>
      <c r="AQ286">
        <v>-1.7571882430000001</v>
      </c>
      <c r="AT286" t="e">
        <v>#N/A</v>
      </c>
    </row>
    <row r="287" spans="4:46">
      <c r="D287" t="e">
        <v>#N/A</v>
      </c>
      <c r="E287" t="s">
        <v>4308</v>
      </c>
      <c r="F287" t="s">
        <v>4476</v>
      </c>
      <c r="H287" t="s">
        <v>4477</v>
      </c>
      <c r="I287" t="s">
        <v>4957</v>
      </c>
      <c r="J287" t="s">
        <v>5193</v>
      </c>
      <c r="K287" t="e">
        <v>#N/A</v>
      </c>
      <c r="L287" t="e">
        <v>#N/A</v>
      </c>
      <c r="M287">
        <v>11</v>
      </c>
      <c r="O287">
        <v>70.932000000000002</v>
      </c>
      <c r="P287">
        <v>-159.50399999999999</v>
      </c>
      <c r="Q287">
        <v>8.16</v>
      </c>
      <c r="R287">
        <v>30.58</v>
      </c>
      <c r="S287">
        <v>280.065</v>
      </c>
      <c r="W287">
        <v>1.159</v>
      </c>
      <c r="X287">
        <v>4</v>
      </c>
      <c r="Y287">
        <v>1.5680000000000001</v>
      </c>
      <c r="AA287">
        <v>0.52</v>
      </c>
      <c r="AB287">
        <v>7.83</v>
      </c>
      <c r="AE287">
        <v>0.26</v>
      </c>
      <c r="AF287">
        <v>0.21</v>
      </c>
      <c r="AI287">
        <v>4</v>
      </c>
      <c r="AL287">
        <v>79.036299999999997</v>
      </c>
      <c r="AT287" t="e">
        <v>#N/A</v>
      </c>
    </row>
    <row r="288" spans="4:46">
      <c r="D288" t="e">
        <v>#N/A</v>
      </c>
      <c r="E288" t="s">
        <v>4308</v>
      </c>
      <c r="F288" t="s">
        <v>4476</v>
      </c>
      <c r="H288" t="s">
        <v>4477</v>
      </c>
      <c r="I288" t="s">
        <v>4957</v>
      </c>
      <c r="J288" t="s">
        <v>5194</v>
      </c>
      <c r="K288" t="e">
        <v>#N/A</v>
      </c>
      <c r="L288" t="e">
        <v>#N/A</v>
      </c>
      <c r="M288">
        <v>20</v>
      </c>
      <c r="O288">
        <v>70.932000000000002</v>
      </c>
      <c r="P288">
        <v>-159.50399999999999</v>
      </c>
      <c r="Q288">
        <v>7.82</v>
      </c>
      <c r="R288">
        <v>31.04</v>
      </c>
      <c r="S288">
        <v>259.67500000000001</v>
      </c>
      <c r="W288">
        <v>0.56599999999999995</v>
      </c>
      <c r="X288">
        <v>3</v>
      </c>
      <c r="Y288">
        <v>1.3440000000000001</v>
      </c>
      <c r="AA288">
        <v>0.64</v>
      </c>
      <c r="AB288">
        <v>10.68</v>
      </c>
      <c r="AE288">
        <v>0.6</v>
      </c>
      <c r="AF288">
        <v>0.23</v>
      </c>
      <c r="AI288">
        <v>3</v>
      </c>
      <c r="AL288">
        <v>85.401200000000003</v>
      </c>
      <c r="AT288" t="e">
        <v>#N/A</v>
      </c>
    </row>
    <row r="289" spans="4:46">
      <c r="D289" t="e">
        <v>#N/A</v>
      </c>
      <c r="E289" t="s">
        <v>4308</v>
      </c>
      <c r="F289" t="s">
        <v>4484</v>
      </c>
      <c r="H289" t="s">
        <v>4485</v>
      </c>
      <c r="I289" t="s">
        <v>4961</v>
      </c>
      <c r="J289" t="s">
        <v>5195</v>
      </c>
      <c r="K289" t="e">
        <v>#N/A</v>
      </c>
      <c r="L289" t="e">
        <v>#N/A</v>
      </c>
      <c r="M289">
        <v>10</v>
      </c>
      <c r="O289">
        <v>71.063000000000002</v>
      </c>
      <c r="P289">
        <v>-159.88200000000001</v>
      </c>
      <c r="Q289">
        <v>6.88</v>
      </c>
      <c r="R289">
        <v>30.7</v>
      </c>
      <c r="S289">
        <v>295.161</v>
      </c>
      <c r="W289">
        <v>0.44400000000000001</v>
      </c>
      <c r="X289">
        <v>6</v>
      </c>
      <c r="Y289">
        <v>0.45600000000000002</v>
      </c>
      <c r="AA289">
        <v>0.43</v>
      </c>
      <c r="AB289">
        <v>5.69</v>
      </c>
      <c r="AE289">
        <v>0.28999999999999998</v>
      </c>
      <c r="AF289">
        <v>0.14000000000000001</v>
      </c>
      <c r="AI289">
        <v>6</v>
      </c>
      <c r="AL289">
        <v>94.161799999999999</v>
      </c>
      <c r="AT289" t="e">
        <v>#N/A</v>
      </c>
    </row>
    <row r="290" spans="4:46">
      <c r="D290" t="e">
        <v>#N/A</v>
      </c>
      <c r="E290" t="s">
        <v>4308</v>
      </c>
      <c r="F290" t="s">
        <v>4484</v>
      </c>
      <c r="H290" t="s">
        <v>4485</v>
      </c>
      <c r="I290" t="s">
        <v>4961</v>
      </c>
      <c r="J290" t="s">
        <v>5196</v>
      </c>
      <c r="K290" t="e">
        <v>#N/A</v>
      </c>
      <c r="L290" t="e">
        <v>#N/A</v>
      </c>
      <c r="M290">
        <v>21</v>
      </c>
      <c r="O290">
        <v>71.063000000000002</v>
      </c>
      <c r="P290">
        <v>-159.88200000000001</v>
      </c>
      <c r="Q290">
        <v>-0.84</v>
      </c>
      <c r="R290">
        <v>31.96</v>
      </c>
      <c r="S290">
        <v>463.78399999999999</v>
      </c>
      <c r="W290">
        <v>0.42199999999999999</v>
      </c>
      <c r="X290">
        <v>5</v>
      </c>
      <c r="Y290">
        <v>0.54</v>
      </c>
      <c r="AA290">
        <v>0.76</v>
      </c>
      <c r="AB290">
        <v>18.510000000000002</v>
      </c>
      <c r="AE290">
        <v>1.86</v>
      </c>
      <c r="AF290">
        <v>0.26</v>
      </c>
      <c r="AI290">
        <v>5</v>
      </c>
      <c r="AL290">
        <v>94.906400000000005</v>
      </c>
      <c r="AT290" t="e">
        <v>#N/A</v>
      </c>
    </row>
    <row r="291" spans="4:46">
      <c r="D291" t="e">
        <v>#N/A</v>
      </c>
      <c r="E291" t="s">
        <v>4308</v>
      </c>
      <c r="F291" t="s">
        <v>4484</v>
      </c>
      <c r="H291" t="s">
        <v>4485</v>
      </c>
      <c r="I291" t="s">
        <v>4961</v>
      </c>
      <c r="J291" t="s">
        <v>5197</v>
      </c>
      <c r="K291" t="e">
        <v>#N/A</v>
      </c>
      <c r="L291" t="e">
        <v>#N/A</v>
      </c>
      <c r="M291">
        <v>31</v>
      </c>
      <c r="O291">
        <v>71.063000000000002</v>
      </c>
      <c r="P291">
        <v>-159.88200000000001</v>
      </c>
      <c r="Q291">
        <v>-1.6</v>
      </c>
      <c r="R291">
        <v>32.4</v>
      </c>
      <c r="S291">
        <v>238.482</v>
      </c>
      <c r="W291">
        <v>1.3260000000000001</v>
      </c>
      <c r="X291">
        <v>3</v>
      </c>
      <c r="Y291">
        <v>3.0760000000000001</v>
      </c>
      <c r="AA291">
        <v>1.95</v>
      </c>
      <c r="AB291">
        <v>37.72</v>
      </c>
      <c r="AE291">
        <v>3.55</v>
      </c>
      <c r="AF291">
        <v>13.79</v>
      </c>
      <c r="AI291">
        <v>3</v>
      </c>
      <c r="AL291">
        <v>83.456100000000006</v>
      </c>
      <c r="AT291" t="e">
        <v>#N/A</v>
      </c>
    </row>
    <row r="292" spans="4:46">
      <c r="D292" t="e">
        <v>#N/A</v>
      </c>
      <c r="E292" t="s">
        <v>4308</v>
      </c>
      <c r="F292" t="s">
        <v>4484</v>
      </c>
      <c r="H292" t="s">
        <v>4485</v>
      </c>
      <c r="I292" t="s">
        <v>4961</v>
      </c>
      <c r="J292" t="s">
        <v>5198</v>
      </c>
      <c r="K292" t="e">
        <v>#N/A</v>
      </c>
      <c r="L292" t="e">
        <v>#N/A</v>
      </c>
      <c r="M292">
        <v>40</v>
      </c>
      <c r="O292">
        <v>71.063000000000002</v>
      </c>
      <c r="P292">
        <v>-159.88200000000001</v>
      </c>
      <c r="Q292">
        <v>-1.61</v>
      </c>
      <c r="R292">
        <v>32.42</v>
      </c>
      <c r="S292">
        <v>234.005</v>
      </c>
      <c r="W292">
        <v>0.81799999999999995</v>
      </c>
      <c r="X292">
        <v>2</v>
      </c>
      <c r="Y292">
        <v>1.8320000000000001</v>
      </c>
      <c r="AA292">
        <v>1.95</v>
      </c>
      <c r="AB292">
        <v>38.79</v>
      </c>
      <c r="AE292">
        <v>3.46</v>
      </c>
      <c r="AF292">
        <v>13.36</v>
      </c>
      <c r="AI292">
        <v>2</v>
      </c>
      <c r="AL292">
        <v>84.18</v>
      </c>
      <c r="AT292" t="e">
        <v>#N/A</v>
      </c>
    </row>
    <row r="293" spans="4:46">
      <c r="D293" t="e">
        <v>#N/A</v>
      </c>
      <c r="E293" t="s">
        <v>4308</v>
      </c>
      <c r="F293" t="s">
        <v>4492</v>
      </c>
      <c r="H293" t="s">
        <v>4493</v>
      </c>
      <c r="I293" t="s">
        <v>5014</v>
      </c>
      <c r="J293" t="s">
        <v>5264</v>
      </c>
      <c r="K293" t="e">
        <v>#N/A</v>
      </c>
      <c r="L293" t="e">
        <v>#N/A</v>
      </c>
      <c r="M293">
        <v>11</v>
      </c>
      <c r="O293">
        <v>71.192999999999998</v>
      </c>
      <c r="P293">
        <v>-160.27000000000001</v>
      </c>
      <c r="Q293">
        <v>0.44</v>
      </c>
      <c r="R293">
        <v>31.14</v>
      </c>
      <c r="S293">
        <v>513.029</v>
      </c>
      <c r="W293">
        <v>0.27400000000000002</v>
      </c>
      <c r="X293">
        <v>5</v>
      </c>
      <c r="Y293">
        <v>0.27600000000000002</v>
      </c>
      <c r="AA293">
        <v>0.31</v>
      </c>
      <c r="AB293">
        <v>9.9600000000000009</v>
      </c>
      <c r="AE293">
        <v>0.33</v>
      </c>
      <c r="AF293">
        <v>0.27</v>
      </c>
      <c r="AI293">
        <v>5</v>
      </c>
      <c r="AL293">
        <v>96.091099999999997</v>
      </c>
      <c r="AT293" t="e">
        <v>#N/A</v>
      </c>
    </row>
    <row r="294" spans="4:46">
      <c r="D294" t="e">
        <v>#N/A</v>
      </c>
      <c r="E294" t="s">
        <v>4308</v>
      </c>
      <c r="F294" t="s">
        <v>4492</v>
      </c>
      <c r="H294" t="s">
        <v>4493</v>
      </c>
      <c r="I294" t="s">
        <v>5014</v>
      </c>
      <c r="J294" t="s">
        <v>5265</v>
      </c>
      <c r="K294" t="e">
        <v>#N/A</v>
      </c>
      <c r="L294" t="e">
        <v>#N/A</v>
      </c>
      <c r="M294">
        <v>20</v>
      </c>
      <c r="O294">
        <v>71.192999999999998</v>
      </c>
      <c r="P294">
        <v>-160.27000000000001</v>
      </c>
      <c r="Q294">
        <v>-0.99</v>
      </c>
      <c r="R294">
        <v>31.95</v>
      </c>
      <c r="S294">
        <v>442.49200000000002</v>
      </c>
      <c r="W294">
        <v>0.78300000000000003</v>
      </c>
      <c r="X294">
        <v>4</v>
      </c>
      <c r="Y294">
        <v>0.432</v>
      </c>
      <c r="AA294">
        <v>0.62</v>
      </c>
      <c r="AB294">
        <v>23.31</v>
      </c>
      <c r="AE294">
        <v>0.97</v>
      </c>
      <c r="AF294">
        <v>0.67</v>
      </c>
      <c r="AI294">
        <v>4</v>
      </c>
      <c r="AL294">
        <v>93.569500000000005</v>
      </c>
      <c r="AT294" t="e">
        <v>#N/A</v>
      </c>
    </row>
    <row r="295" spans="4:46">
      <c r="D295" t="e">
        <v>#N/A</v>
      </c>
      <c r="E295" t="s">
        <v>4308</v>
      </c>
      <c r="F295" t="s">
        <v>4492</v>
      </c>
      <c r="H295" t="s">
        <v>4493</v>
      </c>
      <c r="I295" t="s">
        <v>5014</v>
      </c>
      <c r="J295" t="s">
        <v>5266</v>
      </c>
      <c r="K295" t="e">
        <v>#N/A</v>
      </c>
      <c r="L295" t="e">
        <v>#N/A</v>
      </c>
      <c r="M295">
        <v>42</v>
      </c>
      <c r="O295">
        <v>71.192999999999998</v>
      </c>
      <c r="P295">
        <v>-160.27000000000001</v>
      </c>
      <c r="Q295">
        <v>-1.65</v>
      </c>
      <c r="R295">
        <v>32.47</v>
      </c>
      <c r="S295">
        <v>229.85900000000001</v>
      </c>
      <c r="W295">
        <v>1.0209999999999999</v>
      </c>
      <c r="X295">
        <v>2</v>
      </c>
      <c r="Y295">
        <v>2.008</v>
      </c>
      <c r="AA295">
        <v>2.12</v>
      </c>
      <c r="AB295">
        <v>46.26</v>
      </c>
      <c r="AE295">
        <v>4.0599999999999996</v>
      </c>
      <c r="AF295">
        <v>17.57</v>
      </c>
      <c r="AI295">
        <v>2</v>
      </c>
      <c r="AL295">
        <v>78.936999999999998</v>
      </c>
      <c r="AQ295">
        <v>-0.98297833999999995</v>
      </c>
      <c r="AT295" t="e">
        <v>#N/A</v>
      </c>
    </row>
    <row r="296" spans="4:46">
      <c r="D296" t="e">
        <v>#N/A</v>
      </c>
      <c r="E296" t="s">
        <v>4308</v>
      </c>
      <c r="F296" t="s">
        <v>4515</v>
      </c>
      <c r="H296" t="s">
        <v>4516</v>
      </c>
      <c r="I296" t="s">
        <v>4965</v>
      </c>
      <c r="J296" t="s">
        <v>5199</v>
      </c>
      <c r="K296" t="e">
        <v>#N/A</v>
      </c>
      <c r="L296" t="e">
        <v>#N/A</v>
      </c>
      <c r="M296">
        <v>10</v>
      </c>
      <c r="O296">
        <v>71.323999999999998</v>
      </c>
      <c r="P296">
        <v>-160.65600000000001</v>
      </c>
      <c r="Q296">
        <v>3.15</v>
      </c>
      <c r="R296">
        <v>29.78</v>
      </c>
      <c r="S296">
        <v>437.28699999999998</v>
      </c>
      <c r="W296">
        <v>0.33500000000000002</v>
      </c>
      <c r="X296">
        <v>4</v>
      </c>
      <c r="Y296">
        <v>0.27</v>
      </c>
      <c r="AA296">
        <v>0.22</v>
      </c>
      <c r="AB296">
        <v>5.69</v>
      </c>
      <c r="AE296">
        <v>0.55000000000000004</v>
      </c>
      <c r="AF296">
        <v>0.16</v>
      </c>
      <c r="AI296">
        <v>4</v>
      </c>
      <c r="AL296">
        <v>94.458799999999997</v>
      </c>
      <c r="AT296" t="e">
        <v>#N/A</v>
      </c>
    </row>
    <row r="297" spans="4:46">
      <c r="D297" t="e">
        <v>#N/A</v>
      </c>
      <c r="E297" t="s">
        <v>4308</v>
      </c>
      <c r="F297" t="s">
        <v>4515</v>
      </c>
      <c r="H297" t="s">
        <v>4516</v>
      </c>
      <c r="I297" t="s">
        <v>4965</v>
      </c>
      <c r="J297" t="s">
        <v>5200</v>
      </c>
      <c r="K297" t="e">
        <v>#N/A</v>
      </c>
      <c r="L297" t="e">
        <v>#N/A</v>
      </c>
      <c r="M297">
        <v>20</v>
      </c>
      <c r="O297">
        <v>71.323999999999998</v>
      </c>
      <c r="P297">
        <v>-160.65600000000001</v>
      </c>
      <c r="Q297">
        <v>-0.69</v>
      </c>
      <c r="R297">
        <v>31.86</v>
      </c>
      <c r="S297">
        <v>460.15</v>
      </c>
      <c r="W297">
        <v>0.496</v>
      </c>
      <c r="X297">
        <v>3</v>
      </c>
      <c r="Y297">
        <v>0.221</v>
      </c>
      <c r="AA297">
        <v>0.57999999999999996</v>
      </c>
      <c r="AB297">
        <v>22.06</v>
      </c>
      <c r="AE297">
        <v>0.68</v>
      </c>
      <c r="AF297">
        <v>0.27</v>
      </c>
      <c r="AI297">
        <v>3</v>
      </c>
      <c r="AL297">
        <v>94.050299999999993</v>
      </c>
      <c r="AT297" t="e">
        <v>#N/A</v>
      </c>
    </row>
    <row r="298" spans="4:46">
      <c r="D298" t="e">
        <v>#N/A</v>
      </c>
      <c r="E298" t="s">
        <v>4308</v>
      </c>
      <c r="F298" t="s">
        <v>4523</v>
      </c>
      <c r="H298" t="s">
        <v>4524</v>
      </c>
      <c r="I298" t="s">
        <v>4969</v>
      </c>
      <c r="J298" t="s">
        <v>5201</v>
      </c>
      <c r="K298" t="e">
        <v>#N/A</v>
      </c>
      <c r="L298" t="e">
        <v>#N/A</v>
      </c>
      <c r="M298">
        <v>10</v>
      </c>
      <c r="O298">
        <v>71.454999999999998</v>
      </c>
      <c r="P298">
        <v>-161.03800000000001</v>
      </c>
      <c r="Q298">
        <v>4.1500000000000004</v>
      </c>
      <c r="R298">
        <v>29.09</v>
      </c>
      <c r="S298">
        <v>350.38400000000001</v>
      </c>
      <c r="W298">
        <v>0.30599999999999999</v>
      </c>
      <c r="X298">
        <v>5</v>
      </c>
      <c r="Y298">
        <v>0.23899999999999999</v>
      </c>
      <c r="AA298">
        <v>0.2</v>
      </c>
      <c r="AB298">
        <v>4.63</v>
      </c>
      <c r="AE298">
        <v>0.85</v>
      </c>
      <c r="AF298">
        <v>0.34</v>
      </c>
      <c r="AI298">
        <v>5</v>
      </c>
      <c r="AL298">
        <v>95.617099999999994</v>
      </c>
      <c r="AT298" t="e">
        <v>#N/A</v>
      </c>
    </row>
    <row r="299" spans="4:46">
      <c r="D299" t="e">
        <v>#N/A</v>
      </c>
      <c r="E299" t="s">
        <v>4308</v>
      </c>
      <c r="F299" t="s">
        <v>4523</v>
      </c>
      <c r="H299" t="s">
        <v>4524</v>
      </c>
      <c r="I299" t="s">
        <v>4969</v>
      </c>
      <c r="J299" t="s">
        <v>5202</v>
      </c>
      <c r="K299" t="e">
        <v>#N/A</v>
      </c>
      <c r="L299" t="e">
        <v>#N/A</v>
      </c>
      <c r="M299">
        <v>20</v>
      </c>
      <c r="O299">
        <v>71.454999999999998</v>
      </c>
      <c r="P299">
        <v>-161.03800000000001</v>
      </c>
      <c r="Q299">
        <v>-1.08</v>
      </c>
      <c r="R299">
        <v>32.07</v>
      </c>
      <c r="S299">
        <v>425.29899999999998</v>
      </c>
      <c r="W299">
        <v>0.73</v>
      </c>
      <c r="X299">
        <v>4</v>
      </c>
      <c r="Y299">
        <v>0.74</v>
      </c>
      <c r="AA299">
        <v>0.76</v>
      </c>
      <c r="AB299">
        <v>23.49</v>
      </c>
      <c r="AE299">
        <v>1.1299999999999999</v>
      </c>
      <c r="AF299">
        <v>0.36</v>
      </c>
      <c r="AI299">
        <v>4</v>
      </c>
      <c r="AL299">
        <v>94.077299999999994</v>
      </c>
      <c r="AT299" t="e">
        <v>#N/A</v>
      </c>
    </row>
    <row r="300" spans="4:46">
      <c r="D300" t="e">
        <v>#N/A</v>
      </c>
      <c r="E300" t="s">
        <v>4308</v>
      </c>
      <c r="F300" t="s">
        <v>4523</v>
      </c>
      <c r="H300" t="s">
        <v>4524</v>
      </c>
      <c r="I300" t="s">
        <v>4969</v>
      </c>
      <c r="J300" t="s">
        <v>5203</v>
      </c>
      <c r="K300" t="e">
        <v>#N/A</v>
      </c>
      <c r="L300" t="e">
        <v>#N/A</v>
      </c>
      <c r="M300">
        <v>30</v>
      </c>
      <c r="O300">
        <v>71.454999999999998</v>
      </c>
      <c r="P300">
        <v>-161.03800000000001</v>
      </c>
      <c r="Q300">
        <v>-1.57</v>
      </c>
      <c r="R300">
        <v>32.36</v>
      </c>
      <c r="S300">
        <v>243.934</v>
      </c>
      <c r="W300">
        <v>2.0249999999999999</v>
      </c>
      <c r="X300">
        <v>2</v>
      </c>
      <c r="Y300">
        <v>4.5599999999999996</v>
      </c>
      <c r="AA300">
        <v>1.91</v>
      </c>
      <c r="AB300">
        <v>35.229999999999997</v>
      </c>
      <c r="AE300">
        <v>3.25</v>
      </c>
      <c r="AF300">
        <v>12.5</v>
      </c>
      <c r="AI300">
        <v>2</v>
      </c>
      <c r="AL300">
        <v>85.506900000000002</v>
      </c>
      <c r="AT300" t="e">
        <v>#N/A</v>
      </c>
    </row>
    <row r="301" spans="4:46">
      <c r="D301" t="e">
        <v>#N/A</v>
      </c>
      <c r="E301" t="s">
        <v>4308</v>
      </c>
      <c r="F301" t="s">
        <v>4531</v>
      </c>
      <c r="H301" t="s">
        <v>4532</v>
      </c>
      <c r="I301" t="s">
        <v>4973</v>
      </c>
      <c r="J301" t="s">
        <v>5204</v>
      </c>
      <c r="K301" t="e">
        <v>#N/A</v>
      </c>
      <c r="L301" t="e">
        <v>#N/A</v>
      </c>
      <c r="M301">
        <v>10</v>
      </c>
      <c r="O301">
        <v>71.587999999999994</v>
      </c>
      <c r="P301">
        <v>-161.40100000000001</v>
      </c>
      <c r="Q301">
        <v>4.5599999999999996</v>
      </c>
      <c r="R301">
        <v>28.45</v>
      </c>
      <c r="S301">
        <v>333.52100000000002</v>
      </c>
      <c r="W301">
        <v>0.34399999999999997</v>
      </c>
      <c r="X301">
        <v>4</v>
      </c>
      <c r="Y301">
        <v>0.224</v>
      </c>
      <c r="AA301">
        <v>0.2</v>
      </c>
      <c r="AB301">
        <v>4.2699999999999996</v>
      </c>
      <c r="AE301">
        <v>0.6</v>
      </c>
      <c r="AF301">
        <v>1.99</v>
      </c>
      <c r="AI301">
        <v>4</v>
      </c>
      <c r="AL301">
        <v>96.009699999999995</v>
      </c>
      <c r="AT301" t="e">
        <v>#N/A</v>
      </c>
    </row>
    <row r="302" spans="4:46">
      <c r="D302" t="e">
        <v>#N/A</v>
      </c>
      <c r="E302" t="s">
        <v>4308</v>
      </c>
      <c r="F302" t="s">
        <v>4531</v>
      </c>
      <c r="H302" t="s">
        <v>4532</v>
      </c>
      <c r="I302" t="s">
        <v>4973</v>
      </c>
      <c r="J302" t="s">
        <v>5205</v>
      </c>
      <c r="K302" t="e">
        <v>#N/A</v>
      </c>
      <c r="L302" t="e">
        <v>#N/A</v>
      </c>
      <c r="M302">
        <v>21</v>
      </c>
      <c r="O302">
        <v>71.587999999999994</v>
      </c>
      <c r="P302">
        <v>-161.40100000000001</v>
      </c>
      <c r="Q302">
        <v>-0.53</v>
      </c>
      <c r="R302">
        <v>31.7</v>
      </c>
      <c r="S302">
        <v>438.13499999999999</v>
      </c>
      <c r="W302">
        <v>0.41199999999999998</v>
      </c>
      <c r="X302">
        <v>3</v>
      </c>
      <c r="Y302">
        <v>0.246</v>
      </c>
      <c r="AA302">
        <v>0.57999999999999996</v>
      </c>
      <c r="AB302">
        <v>24.91</v>
      </c>
      <c r="AE302">
        <v>0.31</v>
      </c>
      <c r="AF302">
        <v>1.01</v>
      </c>
      <c r="AI302">
        <v>3</v>
      </c>
      <c r="AL302">
        <v>94.254300000000001</v>
      </c>
      <c r="AT302" t="e">
        <v>#N/A</v>
      </c>
    </row>
    <row r="303" spans="4:46">
      <c r="D303" t="e">
        <v>#N/A</v>
      </c>
      <c r="E303" t="s">
        <v>4308</v>
      </c>
      <c r="F303" t="s">
        <v>5296</v>
      </c>
      <c r="H303" t="s">
        <v>5053</v>
      </c>
      <c r="I303" t="s">
        <v>5054</v>
      </c>
      <c r="J303" t="s">
        <v>5055</v>
      </c>
      <c r="K303" t="e">
        <v>#N/A</v>
      </c>
      <c r="L303" t="e">
        <v>#N/A</v>
      </c>
      <c r="M303">
        <v>10</v>
      </c>
      <c r="O303">
        <v>71.599000000000004</v>
      </c>
      <c r="P303">
        <v>-161.506</v>
      </c>
      <c r="Q303">
        <v>4.79</v>
      </c>
      <c r="R303">
        <v>28.39</v>
      </c>
      <c r="S303">
        <v>325.31799999999998</v>
      </c>
      <c r="W303">
        <v>0.27400000000000002</v>
      </c>
      <c r="X303">
        <v>4</v>
      </c>
      <c r="Y303">
        <v>0.19</v>
      </c>
      <c r="AA303">
        <v>0.21</v>
      </c>
      <c r="AB303">
        <v>4.2699999999999996</v>
      </c>
      <c r="AE303">
        <v>1.02</v>
      </c>
      <c r="AF303">
        <v>0.26</v>
      </c>
      <c r="AI303">
        <v>4</v>
      </c>
      <c r="AL303">
        <v>96.048299999999998</v>
      </c>
      <c r="AT303" t="e">
        <v>#N/A</v>
      </c>
    </row>
    <row r="304" spans="4:46">
      <c r="D304" t="e">
        <v>#N/A</v>
      </c>
      <c r="E304" t="s">
        <v>4308</v>
      </c>
      <c r="F304" t="s">
        <v>5296</v>
      </c>
      <c r="H304" t="s">
        <v>5053</v>
      </c>
      <c r="I304" t="s">
        <v>5054</v>
      </c>
      <c r="J304" t="s">
        <v>5056</v>
      </c>
      <c r="K304" t="e">
        <v>#N/A</v>
      </c>
      <c r="L304" t="e">
        <v>#N/A</v>
      </c>
      <c r="M304">
        <v>20</v>
      </c>
      <c r="O304">
        <v>71.599000000000004</v>
      </c>
      <c r="P304">
        <v>-161.506</v>
      </c>
      <c r="Q304">
        <v>-0.69</v>
      </c>
      <c r="R304">
        <v>31.75</v>
      </c>
      <c r="S304">
        <v>433.42899999999997</v>
      </c>
      <c r="W304">
        <v>0.58799999999999997</v>
      </c>
      <c r="X304">
        <v>3</v>
      </c>
      <c r="Y304">
        <v>0.54800000000000004</v>
      </c>
      <c r="AA304">
        <v>0.47</v>
      </c>
      <c r="AB304">
        <v>19.22</v>
      </c>
      <c r="AE304">
        <v>0.4</v>
      </c>
      <c r="AF304">
        <v>0.37</v>
      </c>
      <c r="AI304">
        <v>3</v>
      </c>
      <c r="AL304">
        <v>92.337699999999998</v>
      </c>
      <c r="AT304" t="e">
        <v>#N/A</v>
      </c>
    </row>
    <row r="305" spans="4:46">
      <c r="D305" t="e">
        <v>#N/A</v>
      </c>
      <c r="E305" t="s">
        <v>4308</v>
      </c>
      <c r="F305" t="s">
        <v>5296</v>
      </c>
      <c r="H305" t="s">
        <v>5053</v>
      </c>
      <c r="I305" t="s">
        <v>5054</v>
      </c>
      <c r="J305" t="s">
        <v>5057</v>
      </c>
      <c r="K305" t="e">
        <v>#N/A</v>
      </c>
      <c r="L305" t="e">
        <v>#N/A</v>
      </c>
      <c r="M305">
        <v>32</v>
      </c>
      <c r="O305">
        <v>71.599000000000004</v>
      </c>
      <c r="P305">
        <v>-161.506</v>
      </c>
      <c r="Q305">
        <v>-1.43</v>
      </c>
      <c r="R305">
        <v>32.130000000000003</v>
      </c>
      <c r="S305">
        <v>345.02300000000002</v>
      </c>
      <c r="W305">
        <v>7.7169999999999996</v>
      </c>
      <c r="X305">
        <v>2</v>
      </c>
      <c r="Y305">
        <v>14.88</v>
      </c>
      <c r="AA305">
        <v>1.1000000000000001</v>
      </c>
      <c r="AB305">
        <v>17.79</v>
      </c>
      <c r="AE305">
        <v>0.54</v>
      </c>
      <c r="AF305">
        <v>7.43</v>
      </c>
      <c r="AI305">
        <v>2</v>
      </c>
      <c r="AL305">
        <v>63.771900000000002</v>
      </c>
      <c r="AT305" t="e">
        <v>#N/A</v>
      </c>
    </row>
    <row r="306" spans="4:46">
      <c r="D306" t="e">
        <v>#N/A</v>
      </c>
      <c r="E306" t="s">
        <v>4308</v>
      </c>
      <c r="F306" t="s">
        <v>5296</v>
      </c>
      <c r="H306" t="s">
        <v>5053</v>
      </c>
      <c r="I306" t="s">
        <v>5054</v>
      </c>
      <c r="J306" t="s">
        <v>5058</v>
      </c>
      <c r="K306" t="e">
        <v>#N/A</v>
      </c>
      <c r="L306" t="e">
        <v>#N/A</v>
      </c>
      <c r="M306">
        <v>42</v>
      </c>
      <c r="O306">
        <v>71.599000000000004</v>
      </c>
      <c r="P306">
        <v>-161.506</v>
      </c>
      <c r="Q306">
        <v>-1.57</v>
      </c>
      <c r="R306">
        <v>32.340000000000003</v>
      </c>
      <c r="S306">
        <v>231.89</v>
      </c>
      <c r="W306">
        <v>0.80500000000000005</v>
      </c>
      <c r="X306">
        <v>1</v>
      </c>
      <c r="Y306">
        <v>1.66</v>
      </c>
      <c r="AA306">
        <v>1.87</v>
      </c>
      <c r="AB306">
        <v>40.39</v>
      </c>
      <c r="AE306">
        <v>4.3899999999999997</v>
      </c>
      <c r="AF306">
        <v>14.93</v>
      </c>
      <c r="AI306">
        <v>1</v>
      </c>
      <c r="AL306">
        <v>55.877899999999997</v>
      </c>
      <c r="AT306" t="e">
        <v>#N/A</v>
      </c>
    </row>
    <row r="307" spans="4:46">
      <c r="D307" t="e">
        <v>#N/A</v>
      </c>
      <c r="E307" t="s">
        <v>4308</v>
      </c>
      <c r="F307" t="s">
        <v>5296</v>
      </c>
      <c r="H307" t="s">
        <v>5053</v>
      </c>
      <c r="I307" t="s">
        <v>5054</v>
      </c>
      <c r="J307" t="s">
        <v>5059</v>
      </c>
      <c r="K307" t="e">
        <v>#N/A</v>
      </c>
      <c r="L307" t="e">
        <v>#N/A</v>
      </c>
      <c r="M307">
        <v>5</v>
      </c>
      <c r="O307">
        <v>71.599000000000004</v>
      </c>
      <c r="P307">
        <v>-161.506</v>
      </c>
      <c r="Q307">
        <v>4.5599999999999996</v>
      </c>
      <c r="R307">
        <v>27.57</v>
      </c>
      <c r="S307">
        <v>325.73099999999999</v>
      </c>
      <c r="W307">
        <v>0.35399999999999998</v>
      </c>
      <c r="X307">
        <v>5</v>
      </c>
      <c r="Y307">
        <v>0.309</v>
      </c>
      <c r="AA307">
        <v>0.35</v>
      </c>
      <c r="AB307">
        <v>2.4900000000000002</v>
      </c>
      <c r="AE307">
        <v>0.99</v>
      </c>
      <c r="AF307">
        <v>0.3</v>
      </c>
      <c r="AI307">
        <v>5</v>
      </c>
      <c r="AL307">
        <v>94.650599999999997</v>
      </c>
      <c r="AT307" t="e">
        <v>#N/A</v>
      </c>
    </row>
    <row r="308" spans="4:46">
      <c r="D308" t="e">
        <v>#N/A</v>
      </c>
      <c r="E308" t="s">
        <v>4308</v>
      </c>
      <c r="F308" t="s">
        <v>4558</v>
      </c>
      <c r="H308" t="s">
        <v>4559</v>
      </c>
      <c r="I308" t="s">
        <v>4977</v>
      </c>
      <c r="J308" t="s">
        <v>5206</v>
      </c>
      <c r="K308" t="e">
        <v>#N/A</v>
      </c>
      <c r="L308" t="e">
        <v>#N/A</v>
      </c>
      <c r="M308">
        <v>11</v>
      </c>
      <c r="O308">
        <v>71.718999999999994</v>
      </c>
      <c r="P308">
        <v>-161.773</v>
      </c>
      <c r="Q308">
        <v>4.22</v>
      </c>
      <c r="R308">
        <v>28.45</v>
      </c>
      <c r="S308">
        <v>366.77800000000002</v>
      </c>
      <c r="W308">
        <v>0.64300000000000002</v>
      </c>
      <c r="X308">
        <v>4</v>
      </c>
      <c r="Y308">
        <v>0.3</v>
      </c>
      <c r="AA308">
        <v>0.18</v>
      </c>
      <c r="AB308">
        <v>2.85</v>
      </c>
      <c r="AE308">
        <v>0.28000000000000003</v>
      </c>
      <c r="AF308">
        <v>0.21</v>
      </c>
      <c r="AI308">
        <v>4</v>
      </c>
      <c r="AL308">
        <v>92.144900000000007</v>
      </c>
      <c r="AT308" t="e">
        <v>#N/A</v>
      </c>
    </row>
    <row r="309" spans="4:46">
      <c r="D309" t="e">
        <v>#N/A</v>
      </c>
      <c r="E309" t="s">
        <v>4308</v>
      </c>
      <c r="F309" t="s">
        <v>4558</v>
      </c>
      <c r="H309" t="s">
        <v>4559</v>
      </c>
      <c r="I309" t="s">
        <v>4977</v>
      </c>
      <c r="J309" t="s">
        <v>5207</v>
      </c>
      <c r="K309" t="e">
        <v>#N/A</v>
      </c>
      <c r="L309" t="e">
        <v>#N/A</v>
      </c>
      <c r="M309">
        <v>20</v>
      </c>
      <c r="O309">
        <v>71.718999999999994</v>
      </c>
      <c r="P309">
        <v>-161.773</v>
      </c>
      <c r="Q309">
        <v>-0.92</v>
      </c>
      <c r="R309">
        <v>31.84</v>
      </c>
      <c r="S309">
        <v>423.952</v>
      </c>
      <c r="W309">
        <v>0.86</v>
      </c>
      <c r="X309">
        <v>3</v>
      </c>
      <c r="Y309">
        <v>0.5</v>
      </c>
      <c r="AA309">
        <v>0.59</v>
      </c>
      <c r="AB309">
        <v>22.06</v>
      </c>
      <c r="AE309">
        <v>0.4</v>
      </c>
      <c r="AF309">
        <v>0.37</v>
      </c>
      <c r="AI309">
        <v>3</v>
      </c>
      <c r="AL309">
        <v>91.772900000000007</v>
      </c>
      <c r="AT309" t="e">
        <v>#N/A</v>
      </c>
    </row>
    <row r="310" spans="4:46">
      <c r="D310" t="e">
        <v>#N/A</v>
      </c>
      <c r="E310" t="s">
        <v>4308</v>
      </c>
      <c r="F310" t="s">
        <v>4566</v>
      </c>
      <c r="H310" t="s">
        <v>4567</v>
      </c>
      <c r="I310" t="s">
        <v>4981</v>
      </c>
      <c r="J310" t="s">
        <v>5208</v>
      </c>
      <c r="K310" t="e">
        <v>#N/A</v>
      </c>
      <c r="L310" t="e">
        <v>#N/A</v>
      </c>
      <c r="M310">
        <v>10</v>
      </c>
      <c r="O310">
        <v>71.850999999999999</v>
      </c>
      <c r="P310">
        <v>-162.15799999999999</v>
      </c>
      <c r="Q310">
        <v>4</v>
      </c>
      <c r="R310">
        <v>29.73</v>
      </c>
      <c r="S310">
        <v>391.23</v>
      </c>
      <c r="W310">
        <v>0.624</v>
      </c>
      <c r="X310">
        <v>5</v>
      </c>
      <c r="Y310">
        <v>0.46400000000000002</v>
      </c>
      <c r="AA310">
        <v>0.21</v>
      </c>
      <c r="AB310">
        <v>3.56</v>
      </c>
      <c r="AE310">
        <v>0.27</v>
      </c>
      <c r="AF310">
        <v>0.25</v>
      </c>
      <c r="AI310">
        <v>5</v>
      </c>
      <c r="AL310">
        <v>92.168099999999995</v>
      </c>
      <c r="AT310" t="e">
        <v>#N/A</v>
      </c>
    </row>
    <row r="311" spans="4:46">
      <c r="D311" t="e">
        <v>#N/A</v>
      </c>
      <c r="E311" t="s">
        <v>4308</v>
      </c>
      <c r="F311" t="s">
        <v>4566</v>
      </c>
      <c r="H311" t="s">
        <v>4567</v>
      </c>
      <c r="I311" t="s">
        <v>4981</v>
      </c>
      <c r="J311" t="s">
        <v>5209</v>
      </c>
      <c r="K311" t="e">
        <v>#N/A</v>
      </c>
      <c r="L311" t="e">
        <v>#N/A</v>
      </c>
      <c r="M311">
        <v>20</v>
      </c>
      <c r="O311">
        <v>71.850999999999999</v>
      </c>
      <c r="P311">
        <v>-162.15799999999999</v>
      </c>
      <c r="Q311">
        <v>-0.89</v>
      </c>
      <c r="R311">
        <v>31.76</v>
      </c>
      <c r="S311">
        <v>423.85</v>
      </c>
      <c r="W311">
        <v>1.17</v>
      </c>
      <c r="X311">
        <v>4</v>
      </c>
      <c r="Y311">
        <v>0.30199999999999999</v>
      </c>
      <c r="AA311">
        <v>0.66</v>
      </c>
      <c r="AB311">
        <v>22.78</v>
      </c>
      <c r="AE311">
        <v>0.33</v>
      </c>
      <c r="AF311">
        <v>0.14000000000000001</v>
      </c>
      <c r="AI311">
        <v>4</v>
      </c>
      <c r="AL311">
        <v>90.253699999999995</v>
      </c>
      <c r="AT311" t="e">
        <v>#N/A</v>
      </c>
    </row>
    <row r="312" spans="4:46">
      <c r="D312" t="e">
        <v>#N/A</v>
      </c>
      <c r="E312" t="s">
        <v>4308</v>
      </c>
      <c r="F312" t="s">
        <v>4566</v>
      </c>
      <c r="H312" t="s">
        <v>4567</v>
      </c>
      <c r="I312" t="s">
        <v>4981</v>
      </c>
      <c r="J312" t="s">
        <v>5210</v>
      </c>
      <c r="K312" t="e">
        <v>#N/A</v>
      </c>
      <c r="L312" t="e">
        <v>#N/A</v>
      </c>
      <c r="M312">
        <v>30</v>
      </c>
      <c r="O312">
        <v>71.850999999999999</v>
      </c>
      <c r="P312">
        <v>-162.15799999999999</v>
      </c>
      <c r="Q312">
        <v>-1.44</v>
      </c>
      <c r="R312">
        <v>32.119999999999997</v>
      </c>
      <c r="S312">
        <v>319.399</v>
      </c>
      <c r="W312">
        <v>4.2110000000000003</v>
      </c>
      <c r="X312">
        <v>2</v>
      </c>
      <c r="Y312">
        <v>5.96</v>
      </c>
      <c r="AA312">
        <v>1.36</v>
      </c>
      <c r="AB312">
        <v>22.42</v>
      </c>
      <c r="AE312">
        <v>1.55</v>
      </c>
      <c r="AF312">
        <v>7.14</v>
      </c>
      <c r="AI312">
        <v>2</v>
      </c>
      <c r="AL312">
        <v>70.330600000000004</v>
      </c>
      <c r="AT312" t="e">
        <v>#N/A</v>
      </c>
    </row>
    <row r="313" spans="4:46">
      <c r="D313" t="e">
        <v>#N/A</v>
      </c>
      <c r="E313" t="s">
        <v>4308</v>
      </c>
      <c r="F313" t="s">
        <v>4539</v>
      </c>
      <c r="H313" t="s">
        <v>4540</v>
      </c>
      <c r="I313" t="s">
        <v>4936</v>
      </c>
      <c r="J313" t="s">
        <v>5180</v>
      </c>
      <c r="K313" t="e">
        <v>#N/A</v>
      </c>
      <c r="L313" t="e">
        <v>#N/A</v>
      </c>
      <c r="M313">
        <v>10</v>
      </c>
      <c r="O313">
        <v>71.98</v>
      </c>
      <c r="P313">
        <v>-162.541</v>
      </c>
      <c r="Q313">
        <v>4.34</v>
      </c>
      <c r="R313">
        <v>27.66</v>
      </c>
      <c r="S313">
        <v>336.19299999999998</v>
      </c>
      <c r="W313">
        <v>0.80500000000000005</v>
      </c>
      <c r="X313">
        <v>3</v>
      </c>
      <c r="Y313">
        <v>0.47599999999999998</v>
      </c>
      <c r="AA313">
        <v>0.14000000000000001</v>
      </c>
      <c r="AB313">
        <v>2.85</v>
      </c>
      <c r="AE313">
        <v>0.6</v>
      </c>
      <c r="AF313">
        <v>0.28000000000000003</v>
      </c>
      <c r="AI313">
        <v>3</v>
      </c>
      <c r="AL313">
        <v>91.281400000000005</v>
      </c>
      <c r="AT313" t="e">
        <v>#N/A</v>
      </c>
    </row>
    <row r="314" spans="4:46">
      <c r="D314" t="e">
        <v>#N/A</v>
      </c>
      <c r="E314" t="s">
        <v>4308</v>
      </c>
      <c r="F314" t="s">
        <v>4539</v>
      </c>
      <c r="H314" t="s">
        <v>4540</v>
      </c>
      <c r="I314" t="s">
        <v>4936</v>
      </c>
      <c r="J314" t="s">
        <v>5181</v>
      </c>
      <c r="K314" t="e">
        <v>#N/A</v>
      </c>
      <c r="L314" t="e">
        <v>#N/A</v>
      </c>
      <c r="M314">
        <v>20</v>
      </c>
      <c r="O314">
        <v>71.98</v>
      </c>
      <c r="P314">
        <v>-162.541</v>
      </c>
      <c r="Q314">
        <v>-0.8</v>
      </c>
      <c r="R314">
        <v>31.9</v>
      </c>
      <c r="S314">
        <v>424.40800000000002</v>
      </c>
      <c r="W314">
        <v>3.5779999999999998</v>
      </c>
      <c r="X314">
        <v>2</v>
      </c>
      <c r="Y314">
        <v>4.8</v>
      </c>
      <c r="AA314">
        <v>0.52</v>
      </c>
      <c r="AB314">
        <v>17.79</v>
      </c>
      <c r="AE314">
        <v>1.42</v>
      </c>
      <c r="AF314">
        <v>0.74</v>
      </c>
      <c r="AI314">
        <v>2</v>
      </c>
      <c r="AL314">
        <v>81.555300000000003</v>
      </c>
      <c r="AT314" t="e">
        <v>#N/A</v>
      </c>
    </row>
    <row r="315" spans="4:46">
      <c r="D315" t="e">
        <v>#N/A</v>
      </c>
      <c r="E315" t="s">
        <v>4308</v>
      </c>
      <c r="F315" t="s">
        <v>4545</v>
      </c>
      <c r="H315" t="s">
        <v>4546</v>
      </c>
      <c r="I315" t="s">
        <v>4939</v>
      </c>
      <c r="J315" t="s">
        <v>5182</v>
      </c>
      <c r="K315" t="e">
        <v>#N/A</v>
      </c>
      <c r="L315" t="e">
        <v>#N/A</v>
      </c>
      <c r="M315">
        <v>20</v>
      </c>
      <c r="O315">
        <v>72.108999999999995</v>
      </c>
      <c r="P315">
        <v>-162.92400000000001</v>
      </c>
      <c r="Q315">
        <v>4.51</v>
      </c>
      <c r="R315">
        <v>31.59</v>
      </c>
      <c r="S315">
        <v>334.83</v>
      </c>
      <c r="W315">
        <v>0.43099999999999999</v>
      </c>
      <c r="X315">
        <v>3</v>
      </c>
      <c r="Y315">
        <v>0.371</v>
      </c>
      <c r="AA315">
        <v>0.49</v>
      </c>
      <c r="AB315">
        <v>4.9800000000000004</v>
      </c>
      <c r="AE315">
        <v>0.5</v>
      </c>
      <c r="AF315">
        <v>0.39</v>
      </c>
      <c r="AI315">
        <v>3</v>
      </c>
      <c r="AL315">
        <v>95.089200000000005</v>
      </c>
      <c r="AT315" t="e">
        <v>#N/A</v>
      </c>
    </row>
    <row r="316" spans="4:46">
      <c r="D316" t="e">
        <v>#N/A</v>
      </c>
      <c r="E316" t="s">
        <v>4308</v>
      </c>
      <c r="F316" t="s">
        <v>4545</v>
      </c>
      <c r="H316" t="s">
        <v>4546</v>
      </c>
      <c r="I316" t="s">
        <v>4939</v>
      </c>
      <c r="J316" t="s">
        <v>5183</v>
      </c>
      <c r="K316" t="e">
        <v>#N/A</v>
      </c>
      <c r="L316" t="e">
        <v>#N/A</v>
      </c>
      <c r="M316">
        <v>30</v>
      </c>
      <c r="O316">
        <v>72.108999999999995</v>
      </c>
      <c r="P316">
        <v>-162.92400000000001</v>
      </c>
      <c r="Q316">
        <v>0.23</v>
      </c>
      <c r="R316">
        <v>32.21</v>
      </c>
      <c r="S316">
        <v>317.10300000000001</v>
      </c>
      <c r="W316">
        <v>0.64700000000000002</v>
      </c>
      <c r="X316">
        <v>2</v>
      </c>
      <c r="Y316">
        <v>0.752</v>
      </c>
      <c r="AA316">
        <v>1.35</v>
      </c>
      <c r="AB316">
        <v>13.52</v>
      </c>
      <c r="AE316">
        <v>3.59</v>
      </c>
      <c r="AF316">
        <v>1.64</v>
      </c>
      <c r="AI316">
        <v>2</v>
      </c>
      <c r="AL316">
        <v>84.386600000000001</v>
      </c>
      <c r="AT316" t="e">
        <v>#N/A</v>
      </c>
    </row>
    <row r="317" spans="4:46">
      <c r="D317" t="e">
        <v>#N/A</v>
      </c>
      <c r="E317" t="s">
        <v>4308</v>
      </c>
      <c r="F317" t="s">
        <v>4545</v>
      </c>
      <c r="H317" t="s">
        <v>4546</v>
      </c>
      <c r="I317" t="s">
        <v>4939</v>
      </c>
      <c r="J317" t="s">
        <v>5184</v>
      </c>
      <c r="K317" t="e">
        <v>#N/A</v>
      </c>
      <c r="L317" t="e">
        <v>#N/A</v>
      </c>
      <c r="M317">
        <v>9</v>
      </c>
      <c r="O317">
        <v>72.108999999999995</v>
      </c>
      <c r="P317">
        <v>-162.92400000000001</v>
      </c>
      <c r="Q317">
        <v>5.57</v>
      </c>
      <c r="R317">
        <v>30.52</v>
      </c>
      <c r="S317">
        <v>306.99700000000001</v>
      </c>
      <c r="W317">
        <v>0.44400000000000001</v>
      </c>
      <c r="X317">
        <v>5</v>
      </c>
      <c r="Y317">
        <v>0.28000000000000003</v>
      </c>
      <c r="AA317">
        <v>0.28000000000000003</v>
      </c>
      <c r="AB317">
        <v>3.56</v>
      </c>
      <c r="AE317">
        <v>0.32</v>
      </c>
      <c r="AF317">
        <v>0.25</v>
      </c>
      <c r="AI317">
        <v>5</v>
      </c>
      <c r="AL317">
        <v>93.731200000000001</v>
      </c>
      <c r="AT317" t="e">
        <v>#N/A</v>
      </c>
    </row>
    <row r="318" spans="4:46">
      <c r="D318" t="e">
        <v>#N/A</v>
      </c>
      <c r="E318" t="s">
        <v>4308</v>
      </c>
      <c r="F318" t="s">
        <v>4574</v>
      </c>
      <c r="H318" t="s">
        <v>4575</v>
      </c>
      <c r="I318" t="s">
        <v>4946</v>
      </c>
      <c r="J318" t="s">
        <v>5185</v>
      </c>
      <c r="K318" t="e">
        <v>#N/A</v>
      </c>
      <c r="L318" t="e">
        <v>#N/A</v>
      </c>
      <c r="M318">
        <v>10</v>
      </c>
      <c r="O318">
        <v>72.239000000000004</v>
      </c>
      <c r="P318">
        <v>-163.31700000000001</v>
      </c>
      <c r="Q318">
        <v>6.46</v>
      </c>
      <c r="R318">
        <v>31.29</v>
      </c>
      <c r="S318">
        <v>295.98599999999999</v>
      </c>
      <c r="W318">
        <v>0.33500000000000002</v>
      </c>
      <c r="X318">
        <v>5</v>
      </c>
      <c r="Y318">
        <v>0.32200000000000001</v>
      </c>
      <c r="AA318">
        <v>0.43</v>
      </c>
      <c r="AB318">
        <v>4.9800000000000004</v>
      </c>
      <c r="AE318">
        <v>0.61</v>
      </c>
      <c r="AF318">
        <v>0.16</v>
      </c>
      <c r="AI318">
        <v>5</v>
      </c>
      <c r="AL318">
        <v>94.661199999999994</v>
      </c>
      <c r="AT318" t="e">
        <v>#N/A</v>
      </c>
    </row>
    <row r="319" spans="4:46">
      <c r="D319" t="e">
        <v>#N/A</v>
      </c>
      <c r="E319" t="s">
        <v>4308</v>
      </c>
      <c r="F319" t="s">
        <v>4574</v>
      </c>
      <c r="H319" t="s">
        <v>4575</v>
      </c>
      <c r="I319" t="s">
        <v>4946</v>
      </c>
      <c r="J319" t="s">
        <v>5186</v>
      </c>
      <c r="K319" t="e">
        <v>#N/A</v>
      </c>
      <c r="L319" t="e">
        <v>#N/A</v>
      </c>
      <c r="M319">
        <v>20</v>
      </c>
      <c r="O319">
        <v>72.239000000000004</v>
      </c>
      <c r="P319">
        <v>-163.31700000000001</v>
      </c>
      <c r="Q319">
        <v>6.22</v>
      </c>
      <c r="R319">
        <v>31.39</v>
      </c>
      <c r="S319">
        <v>298.59800000000001</v>
      </c>
      <c r="W319">
        <v>0.45700000000000002</v>
      </c>
      <c r="X319">
        <v>4</v>
      </c>
      <c r="Y319">
        <v>0.32900000000000001</v>
      </c>
      <c r="AA319">
        <v>0.39</v>
      </c>
      <c r="AB319">
        <v>4.9800000000000004</v>
      </c>
      <c r="AE319">
        <v>0.67</v>
      </c>
      <c r="AF319">
        <v>0.22</v>
      </c>
      <c r="AI319">
        <v>4</v>
      </c>
      <c r="AL319">
        <v>95.078699999999998</v>
      </c>
      <c r="AT319" t="e">
        <v>#N/A</v>
      </c>
    </row>
    <row r="320" spans="4:46">
      <c r="D320" t="e">
        <v>#N/A</v>
      </c>
      <c r="E320" t="s">
        <v>4308</v>
      </c>
      <c r="F320" t="s">
        <v>4574</v>
      </c>
      <c r="H320" t="s">
        <v>4575</v>
      </c>
      <c r="I320" t="s">
        <v>4946</v>
      </c>
      <c r="J320" t="s">
        <v>5187</v>
      </c>
      <c r="K320" t="e">
        <v>#N/A</v>
      </c>
      <c r="L320" t="e">
        <v>#N/A</v>
      </c>
      <c r="M320">
        <v>30</v>
      </c>
      <c r="O320">
        <v>72.239000000000004</v>
      </c>
      <c r="P320">
        <v>-163.31700000000001</v>
      </c>
      <c r="Q320">
        <v>0.49</v>
      </c>
      <c r="R320">
        <v>32.15</v>
      </c>
      <c r="S320">
        <v>323.03800000000001</v>
      </c>
      <c r="W320">
        <v>0.52900000000000003</v>
      </c>
      <c r="X320">
        <v>2</v>
      </c>
      <c r="Y320">
        <v>0.76</v>
      </c>
      <c r="AA320">
        <v>0.93</v>
      </c>
      <c r="AB320">
        <v>15.66</v>
      </c>
      <c r="AE320">
        <v>3.15</v>
      </c>
      <c r="AF320">
        <v>1.76</v>
      </c>
      <c r="AI320">
        <v>2</v>
      </c>
      <c r="AL320">
        <v>78.214100000000002</v>
      </c>
      <c r="AT320" t="e">
        <v>#N/A</v>
      </c>
    </row>
    <row r="321" spans="4:46">
      <c r="D321" t="e">
        <v>#N/A</v>
      </c>
      <c r="E321" t="s">
        <v>4308</v>
      </c>
      <c r="F321" t="s">
        <v>4582</v>
      </c>
      <c r="H321" t="s">
        <v>4583</v>
      </c>
      <c r="I321" t="s">
        <v>4950</v>
      </c>
      <c r="J321" t="s">
        <v>5188</v>
      </c>
      <c r="K321" t="e">
        <v>#N/A</v>
      </c>
      <c r="L321" t="e">
        <v>#N/A</v>
      </c>
      <c r="M321">
        <v>10</v>
      </c>
      <c r="O321">
        <v>72.364999999999995</v>
      </c>
      <c r="P321">
        <v>-163.72200000000001</v>
      </c>
      <c r="Q321">
        <v>7.17</v>
      </c>
      <c r="R321">
        <v>31.35</v>
      </c>
      <c r="S321">
        <v>287.05</v>
      </c>
      <c r="W321">
        <v>0.41199999999999998</v>
      </c>
      <c r="X321">
        <v>4</v>
      </c>
      <c r="Y321">
        <v>0.28199999999999997</v>
      </c>
      <c r="AA321">
        <v>0.39</v>
      </c>
      <c r="AB321">
        <v>4.63</v>
      </c>
      <c r="AE321">
        <v>0.6</v>
      </c>
      <c r="AF321">
        <v>0.2</v>
      </c>
      <c r="AI321">
        <v>4</v>
      </c>
      <c r="AL321">
        <v>94.902699999999996</v>
      </c>
      <c r="AT321" t="e">
        <v>#N/A</v>
      </c>
    </row>
    <row r="322" spans="4:46">
      <c r="D322" t="e">
        <v>#N/A</v>
      </c>
      <c r="E322" t="s">
        <v>4308</v>
      </c>
      <c r="F322" t="s">
        <v>4582</v>
      </c>
      <c r="H322" t="s">
        <v>4583</v>
      </c>
      <c r="I322" t="s">
        <v>4950</v>
      </c>
      <c r="J322" t="s">
        <v>5189</v>
      </c>
      <c r="K322" t="e">
        <v>#N/A</v>
      </c>
      <c r="L322" t="e">
        <v>#N/A</v>
      </c>
      <c r="M322">
        <v>20</v>
      </c>
      <c r="O322">
        <v>72.364999999999995</v>
      </c>
      <c r="P322">
        <v>-163.72200000000001</v>
      </c>
      <c r="Q322">
        <v>5.85</v>
      </c>
      <c r="R322">
        <v>31.58</v>
      </c>
      <c r="S322">
        <v>320.822</v>
      </c>
      <c r="W322">
        <v>1.0009999999999999</v>
      </c>
      <c r="X322">
        <v>3</v>
      </c>
      <c r="Y322">
        <v>0.61599999999999999</v>
      </c>
      <c r="AA322">
        <v>0.38</v>
      </c>
      <c r="AB322">
        <v>4.2699999999999996</v>
      </c>
      <c r="AE322">
        <v>0.88</v>
      </c>
      <c r="AF322">
        <v>0.26</v>
      </c>
      <c r="AI322">
        <v>3</v>
      </c>
      <c r="AL322">
        <v>94.209400000000002</v>
      </c>
      <c r="AT322" t="e">
        <v>#N/A</v>
      </c>
    </row>
    <row r="323" spans="4:46">
      <c r="D323" t="e">
        <v>#N/A</v>
      </c>
      <c r="E323" t="s">
        <v>4308</v>
      </c>
      <c r="F323" t="s">
        <v>4582</v>
      </c>
      <c r="H323" t="s">
        <v>4583</v>
      </c>
      <c r="I323" t="s">
        <v>4950</v>
      </c>
      <c r="J323" t="s">
        <v>5190</v>
      </c>
      <c r="K323" t="e">
        <v>#N/A</v>
      </c>
      <c r="L323" t="e">
        <v>#N/A</v>
      </c>
      <c r="M323">
        <v>30</v>
      </c>
      <c r="O323">
        <v>72.364999999999995</v>
      </c>
      <c r="P323">
        <v>-163.72200000000001</v>
      </c>
      <c r="Q323">
        <v>0.16</v>
      </c>
      <c r="R323">
        <v>32.270000000000003</v>
      </c>
      <c r="S323">
        <v>348.75099999999998</v>
      </c>
      <c r="W323">
        <v>0.182</v>
      </c>
      <c r="X323">
        <v>2</v>
      </c>
      <c r="Y323">
        <v>0.16900000000000001</v>
      </c>
      <c r="AA323">
        <v>0.92</v>
      </c>
      <c r="AB323">
        <v>9.9600000000000009</v>
      </c>
      <c r="AE323">
        <v>2.72</v>
      </c>
      <c r="AF323">
        <v>2.04</v>
      </c>
      <c r="AI323">
        <v>2</v>
      </c>
      <c r="AL323">
        <v>90.689099999999996</v>
      </c>
      <c r="AT323" t="e">
        <v>#N/A</v>
      </c>
    </row>
    <row r="324" spans="4:46">
      <c r="D324" t="e">
        <v>#N/A</v>
      </c>
      <c r="E324" t="s">
        <v>4308</v>
      </c>
      <c r="F324" t="s">
        <v>4588</v>
      </c>
      <c r="H324" t="s">
        <v>4589</v>
      </c>
      <c r="I324" t="s">
        <v>4953</v>
      </c>
      <c r="J324" t="s">
        <v>5191</v>
      </c>
      <c r="K324" t="e">
        <v>#N/A</v>
      </c>
      <c r="L324" t="e">
        <v>#N/A</v>
      </c>
      <c r="M324">
        <v>20</v>
      </c>
      <c r="O324">
        <v>72.497</v>
      </c>
      <c r="P324">
        <v>-164.10300000000001</v>
      </c>
      <c r="Q324">
        <v>0.83</v>
      </c>
      <c r="R324">
        <v>32.229999999999997</v>
      </c>
      <c r="S324">
        <v>403.57600000000002</v>
      </c>
      <c r="W324">
        <v>0.34899999999999998</v>
      </c>
      <c r="X324">
        <v>5</v>
      </c>
      <c r="Y324">
        <v>0.29299999999999998</v>
      </c>
      <c r="AA324">
        <v>0.61</v>
      </c>
      <c r="AB324">
        <v>4.63</v>
      </c>
      <c r="AE324">
        <v>0.25</v>
      </c>
      <c r="AF324">
        <v>0.37</v>
      </c>
      <c r="AI324">
        <v>5</v>
      </c>
      <c r="AL324">
        <v>96.164000000000001</v>
      </c>
      <c r="AT324" t="e">
        <v>#N/A</v>
      </c>
    </row>
    <row r="325" spans="4:46">
      <c r="D325" t="e">
        <v>#N/A</v>
      </c>
      <c r="E325" t="s">
        <v>4308</v>
      </c>
      <c r="F325" t="s">
        <v>4588</v>
      </c>
      <c r="H325" t="s">
        <v>4589</v>
      </c>
      <c r="I325" t="s">
        <v>4953</v>
      </c>
      <c r="J325" t="s">
        <v>5192</v>
      </c>
      <c r="K325" t="e">
        <v>#N/A</v>
      </c>
      <c r="L325" t="e">
        <v>#N/A</v>
      </c>
      <c r="M325">
        <v>5</v>
      </c>
      <c r="O325">
        <v>72.497</v>
      </c>
      <c r="P325">
        <v>-164.10300000000001</v>
      </c>
      <c r="Q325">
        <v>5.47</v>
      </c>
      <c r="R325">
        <v>30.99</v>
      </c>
      <c r="S325">
        <v>307.19</v>
      </c>
      <c r="W325">
        <v>0.38100000000000001</v>
      </c>
      <c r="X325">
        <v>7</v>
      </c>
      <c r="Y325">
        <v>9.1999999999999998E-2</v>
      </c>
      <c r="AA325">
        <v>0.41</v>
      </c>
      <c r="AB325">
        <v>4.63</v>
      </c>
      <c r="AE325">
        <v>0.84</v>
      </c>
      <c r="AF325">
        <v>0.25</v>
      </c>
      <c r="AI325">
        <v>7</v>
      </c>
      <c r="AL325">
        <v>94.511099999999999</v>
      </c>
      <c r="AQ325">
        <v>-1.44</v>
      </c>
      <c r="AT325" t="e">
        <v>#N/A</v>
      </c>
    </row>
    <row r="326" spans="4:46">
      <c r="D326" t="e">
        <v>#N/A</v>
      </c>
      <c r="E326" t="s">
        <v>4308</v>
      </c>
      <c r="F326" t="s">
        <v>5297</v>
      </c>
      <c r="H326" t="s">
        <v>5151</v>
      </c>
      <c r="I326" t="s">
        <v>5152</v>
      </c>
      <c r="J326" t="s">
        <v>5153</v>
      </c>
      <c r="K326" t="e">
        <v>#N/A</v>
      </c>
      <c r="L326" t="e">
        <v>#N/A</v>
      </c>
      <c r="M326">
        <v>10</v>
      </c>
      <c r="O326">
        <v>72.12</v>
      </c>
      <c r="P326">
        <v>-165.35900000000001</v>
      </c>
      <c r="Q326">
        <v>7.32</v>
      </c>
      <c r="R326">
        <v>31.43</v>
      </c>
      <c r="S326">
        <v>286.59699999999998</v>
      </c>
      <c r="W326">
        <v>0.504</v>
      </c>
      <c r="X326">
        <v>4</v>
      </c>
      <c r="Y326">
        <v>0.33300000000000002</v>
      </c>
      <c r="AA326">
        <v>1.53</v>
      </c>
      <c r="AB326">
        <v>4.2699999999999996</v>
      </c>
      <c r="AE326">
        <v>0.28000000000000003</v>
      </c>
      <c r="AF326">
        <v>0.14000000000000001</v>
      </c>
      <c r="AI326">
        <v>4</v>
      </c>
      <c r="AL326">
        <v>93.735900000000001</v>
      </c>
      <c r="AT326" t="e">
        <v>#N/A</v>
      </c>
    </row>
    <row r="327" spans="4:46">
      <c r="D327" t="e">
        <v>#N/A</v>
      </c>
      <c r="E327" t="s">
        <v>4308</v>
      </c>
      <c r="F327" t="s">
        <v>5297</v>
      </c>
      <c r="H327" t="s">
        <v>5151</v>
      </c>
      <c r="I327" t="s">
        <v>5152</v>
      </c>
      <c r="J327" t="s">
        <v>5154</v>
      </c>
      <c r="K327" t="e">
        <v>#N/A</v>
      </c>
      <c r="L327" t="e">
        <v>#N/A</v>
      </c>
      <c r="M327">
        <v>20</v>
      </c>
      <c r="O327">
        <v>72.12</v>
      </c>
      <c r="P327">
        <v>-165.35900000000001</v>
      </c>
      <c r="Q327">
        <v>6.96</v>
      </c>
      <c r="R327">
        <v>31.65</v>
      </c>
      <c r="S327">
        <v>291.62099999999998</v>
      </c>
      <c r="W327">
        <v>0.68799999999999994</v>
      </c>
      <c r="X327">
        <v>3</v>
      </c>
      <c r="Y327">
        <v>0.76800000000000002</v>
      </c>
      <c r="AA327">
        <v>0.48</v>
      </c>
      <c r="AB327">
        <v>3.91</v>
      </c>
      <c r="AE327">
        <v>0.61</v>
      </c>
      <c r="AF327">
        <v>0.19</v>
      </c>
      <c r="AI327">
        <v>3</v>
      </c>
      <c r="AL327">
        <v>93.060599999999994</v>
      </c>
      <c r="AT327" t="e">
        <v>#N/A</v>
      </c>
    </row>
    <row r="328" spans="4:46">
      <c r="D328" t="e">
        <v>#N/A</v>
      </c>
      <c r="E328" t="s">
        <v>4308</v>
      </c>
      <c r="F328" t="s">
        <v>5297</v>
      </c>
      <c r="H328" t="s">
        <v>5151</v>
      </c>
      <c r="I328" t="s">
        <v>5152</v>
      </c>
      <c r="J328" t="s">
        <v>5155</v>
      </c>
      <c r="K328" t="e">
        <v>#N/A</v>
      </c>
      <c r="L328" t="e">
        <v>#N/A</v>
      </c>
      <c r="M328">
        <v>31</v>
      </c>
      <c r="O328">
        <v>72.12</v>
      </c>
      <c r="P328">
        <v>-165.35900000000001</v>
      </c>
      <c r="Q328">
        <v>1.86</v>
      </c>
      <c r="R328">
        <v>32.22</v>
      </c>
      <c r="S328">
        <v>315.58499999999998</v>
      </c>
      <c r="W328">
        <v>0.88900000000000001</v>
      </c>
      <c r="X328">
        <v>2</v>
      </c>
      <c r="Y328">
        <v>1.276</v>
      </c>
      <c r="AA328">
        <v>1.1499999999999999</v>
      </c>
      <c r="AB328">
        <v>15.66</v>
      </c>
      <c r="AE328">
        <v>3.24</v>
      </c>
      <c r="AF328">
        <v>3.59</v>
      </c>
      <c r="AI328">
        <v>2</v>
      </c>
      <c r="AL328">
        <v>74.517899999999997</v>
      </c>
      <c r="AT328" t="e">
        <v>#N/A</v>
      </c>
    </row>
    <row r="329" spans="4:46">
      <c r="D329" t="e">
        <v>#N/A</v>
      </c>
      <c r="E329" t="s">
        <v>4308</v>
      </c>
      <c r="F329" t="s">
        <v>5297</v>
      </c>
      <c r="H329" t="s">
        <v>5151</v>
      </c>
      <c r="I329" t="s">
        <v>5152</v>
      </c>
      <c r="J329" t="s">
        <v>5156</v>
      </c>
      <c r="K329" t="e">
        <v>#N/A</v>
      </c>
      <c r="L329" t="e">
        <v>#N/A</v>
      </c>
      <c r="M329">
        <v>40</v>
      </c>
      <c r="O329">
        <v>72.12</v>
      </c>
      <c r="P329">
        <v>-165.35900000000001</v>
      </c>
      <c r="Q329">
        <v>1.63</v>
      </c>
      <c r="R329">
        <v>32.229999999999997</v>
      </c>
      <c r="S329">
        <v>318.05599999999998</v>
      </c>
      <c r="W329">
        <v>0.28299999999999997</v>
      </c>
      <c r="X329">
        <v>1</v>
      </c>
      <c r="Y329">
        <v>0.41599999999999998</v>
      </c>
      <c r="AA329">
        <v>1.22</v>
      </c>
      <c r="AB329">
        <v>16.73</v>
      </c>
      <c r="AE329">
        <v>3.84</v>
      </c>
      <c r="AF329">
        <v>3.71</v>
      </c>
      <c r="AI329">
        <v>1</v>
      </c>
      <c r="AL329">
        <v>63.5901</v>
      </c>
      <c r="AQ329">
        <v>-1.620093285</v>
      </c>
      <c r="AT329" t="e">
        <v>#N/A</v>
      </c>
    </row>
    <row r="330" spans="4:46">
      <c r="D330" t="e">
        <v>#N/A</v>
      </c>
      <c r="E330" t="s">
        <v>4308</v>
      </c>
      <c r="F330" t="s">
        <v>5297</v>
      </c>
      <c r="H330" t="s">
        <v>5151</v>
      </c>
      <c r="I330" t="s">
        <v>5152</v>
      </c>
      <c r="J330" t="s">
        <v>5157</v>
      </c>
      <c r="K330" t="e">
        <v>#N/A</v>
      </c>
      <c r="L330" t="e">
        <v>#N/A</v>
      </c>
      <c r="M330">
        <v>5</v>
      </c>
      <c r="O330">
        <v>72.12</v>
      </c>
      <c r="P330">
        <v>-165.35900000000001</v>
      </c>
      <c r="Q330">
        <v>7.31</v>
      </c>
      <c r="R330">
        <v>31.42</v>
      </c>
      <c r="S330">
        <v>286.36900000000003</v>
      </c>
      <c r="W330">
        <v>0.504</v>
      </c>
      <c r="X330">
        <v>5</v>
      </c>
      <c r="Y330">
        <v>0.39300000000000002</v>
      </c>
      <c r="AA330">
        <v>0.47</v>
      </c>
      <c r="AB330">
        <v>4.2699999999999996</v>
      </c>
      <c r="AE330">
        <v>0.24</v>
      </c>
      <c r="AF330">
        <v>0.14000000000000001</v>
      </c>
      <c r="AI330">
        <v>5</v>
      </c>
      <c r="AL330">
        <v>93.794600000000003</v>
      </c>
      <c r="AQ330">
        <v>-1.620093285</v>
      </c>
      <c r="AT330" t="e">
        <v>#N/A</v>
      </c>
    </row>
    <row r="331" spans="4:46">
      <c r="D331" t="e">
        <v>#N/A</v>
      </c>
      <c r="E331" t="s">
        <v>4308</v>
      </c>
      <c r="F331" t="s">
        <v>4612</v>
      </c>
      <c r="H331" t="s">
        <v>4613</v>
      </c>
      <c r="I331" t="s">
        <v>4900</v>
      </c>
      <c r="J331" t="s">
        <v>5148</v>
      </c>
      <c r="K331" t="e">
        <v>#N/A</v>
      </c>
      <c r="L331" t="e">
        <v>#N/A</v>
      </c>
      <c r="M331">
        <v>20</v>
      </c>
      <c r="O331">
        <v>71.994</v>
      </c>
      <c r="P331">
        <v>-164.95400000000001</v>
      </c>
      <c r="Q331">
        <v>4.16</v>
      </c>
      <c r="R331">
        <v>31.97</v>
      </c>
      <c r="S331">
        <v>325.00799999999998</v>
      </c>
      <c r="W331">
        <v>0.93600000000000005</v>
      </c>
      <c r="X331">
        <v>3</v>
      </c>
      <c r="Y331">
        <v>0.80400000000000005</v>
      </c>
      <c r="AA331">
        <v>0.59</v>
      </c>
      <c r="AB331">
        <v>6.05</v>
      </c>
      <c r="AE331">
        <v>0.7</v>
      </c>
      <c r="AF331">
        <v>0.27</v>
      </c>
      <c r="AI331">
        <v>3</v>
      </c>
      <c r="AL331">
        <v>93.898700000000005</v>
      </c>
      <c r="AT331" t="e">
        <v>#N/A</v>
      </c>
    </row>
    <row r="332" spans="4:46">
      <c r="D332" t="e">
        <v>#N/A</v>
      </c>
      <c r="E332" t="s">
        <v>4308</v>
      </c>
      <c r="F332" t="s">
        <v>4612</v>
      </c>
      <c r="H332" t="s">
        <v>4613</v>
      </c>
      <c r="I332" t="s">
        <v>4900</v>
      </c>
      <c r="J332" t="s">
        <v>5149</v>
      </c>
      <c r="K332" t="e">
        <v>#N/A</v>
      </c>
      <c r="L332" t="e">
        <v>#N/A</v>
      </c>
      <c r="M332">
        <v>31</v>
      </c>
      <c r="O332">
        <v>71.994</v>
      </c>
      <c r="P332">
        <v>-164.95400000000001</v>
      </c>
      <c r="Q332">
        <v>1.6</v>
      </c>
      <c r="R332">
        <v>32.07</v>
      </c>
      <c r="S332">
        <v>299.34800000000001</v>
      </c>
      <c r="W332">
        <v>0.82299999999999995</v>
      </c>
      <c r="X332">
        <v>2</v>
      </c>
      <c r="Y332">
        <v>0.94</v>
      </c>
      <c r="AA332">
        <v>1.05</v>
      </c>
      <c r="AB332">
        <v>17.079999999999998</v>
      </c>
      <c r="AE332">
        <v>2.34</v>
      </c>
      <c r="AF332">
        <v>1.67</v>
      </c>
      <c r="AI332">
        <v>2</v>
      </c>
      <c r="AL332">
        <v>81.966399999999993</v>
      </c>
      <c r="AT332" t="e">
        <v>#N/A</v>
      </c>
    </row>
    <row r="333" spans="4:46">
      <c r="D333" t="e">
        <v>#N/A</v>
      </c>
      <c r="E333" t="s">
        <v>4308</v>
      </c>
      <c r="F333" t="s">
        <v>4612</v>
      </c>
      <c r="H333" t="s">
        <v>4613</v>
      </c>
      <c r="I333" t="s">
        <v>4900</v>
      </c>
      <c r="J333" t="s">
        <v>5150</v>
      </c>
      <c r="K333" t="e">
        <v>#N/A</v>
      </c>
      <c r="L333" t="e">
        <v>#N/A</v>
      </c>
      <c r="M333">
        <v>9</v>
      </c>
      <c r="O333">
        <v>71.994</v>
      </c>
      <c r="P333">
        <v>-164.95400000000001</v>
      </c>
      <c r="Q333">
        <v>7.07</v>
      </c>
      <c r="R333">
        <v>31.19</v>
      </c>
      <c r="S333">
        <v>288.51499999999999</v>
      </c>
      <c r="W333">
        <v>0.45900000000000002</v>
      </c>
      <c r="X333">
        <v>4</v>
      </c>
      <c r="Y333">
        <v>0.41199999999999998</v>
      </c>
      <c r="AA333">
        <v>0.51</v>
      </c>
      <c r="AB333">
        <v>5.69</v>
      </c>
      <c r="AE333">
        <v>0.22</v>
      </c>
      <c r="AF333">
        <v>0.35</v>
      </c>
      <c r="AI333">
        <v>4</v>
      </c>
      <c r="AL333">
        <v>93.657200000000003</v>
      </c>
      <c r="AT333" t="e">
        <v>#N/A</v>
      </c>
    </row>
    <row r="334" spans="4:46">
      <c r="D334" t="e">
        <v>#N/A</v>
      </c>
      <c r="E334" t="s">
        <v>4308</v>
      </c>
      <c r="F334" t="s">
        <v>4604</v>
      </c>
      <c r="H334" t="s">
        <v>4605</v>
      </c>
      <c r="I334" t="s">
        <v>4895</v>
      </c>
      <c r="J334" t="s">
        <v>5147</v>
      </c>
      <c r="K334" t="e">
        <v>#N/A</v>
      </c>
      <c r="L334" t="e">
        <v>#N/A</v>
      </c>
      <c r="M334">
        <v>9</v>
      </c>
      <c r="O334">
        <v>71.870999999999995</v>
      </c>
      <c r="P334">
        <v>-164.55600000000001</v>
      </c>
      <c r="Q334">
        <v>6.68</v>
      </c>
      <c r="R334">
        <v>31.38</v>
      </c>
      <c r="S334">
        <v>293.10300000000001</v>
      </c>
      <c r="W334">
        <v>0.41099999999999998</v>
      </c>
      <c r="X334">
        <v>3</v>
      </c>
      <c r="Y334">
        <v>0.36899999999999999</v>
      </c>
      <c r="AA334">
        <v>0.51</v>
      </c>
      <c r="AB334">
        <v>5.69</v>
      </c>
      <c r="AE334">
        <v>0.4</v>
      </c>
      <c r="AF334">
        <v>0.69</v>
      </c>
      <c r="AI334">
        <v>3</v>
      </c>
      <c r="AL334">
        <v>94.003799999999998</v>
      </c>
      <c r="AT334" t="e">
        <v>#N/A</v>
      </c>
    </row>
    <row r="335" spans="4:46">
      <c r="D335" t="e">
        <v>#N/A</v>
      </c>
      <c r="E335" t="s">
        <v>4308</v>
      </c>
      <c r="F335" t="s">
        <v>4596</v>
      </c>
      <c r="H335" t="s">
        <v>4597</v>
      </c>
      <c r="I335" t="s">
        <v>4891</v>
      </c>
      <c r="J335" t="s">
        <v>5146</v>
      </c>
      <c r="K335" t="e">
        <v>#N/A</v>
      </c>
      <c r="L335" t="e">
        <v>#N/A</v>
      </c>
      <c r="M335">
        <v>10</v>
      </c>
      <c r="O335">
        <v>71.745000000000005</v>
      </c>
      <c r="P335">
        <v>-164.166</v>
      </c>
      <c r="Q335">
        <v>5.99</v>
      </c>
      <c r="R335">
        <v>31.08</v>
      </c>
      <c r="S335">
        <v>298.17899999999997</v>
      </c>
      <c r="W335">
        <v>0.35699999999999998</v>
      </c>
      <c r="X335">
        <v>3</v>
      </c>
      <c r="Y335">
        <v>0.30199999999999999</v>
      </c>
      <c r="AA335">
        <v>0.4</v>
      </c>
      <c r="AB335">
        <v>4.2699999999999996</v>
      </c>
      <c r="AE335">
        <v>0.25</v>
      </c>
      <c r="AF335">
        <v>0.3</v>
      </c>
      <c r="AI335">
        <v>3</v>
      </c>
      <c r="AL335">
        <v>94.683400000000006</v>
      </c>
      <c r="AT335" t="e">
        <v>#N/A</v>
      </c>
    </row>
    <row r="336" spans="4:46">
      <c r="D336" t="e">
        <v>#N/A</v>
      </c>
      <c r="E336" t="s">
        <v>4308</v>
      </c>
      <c r="F336" t="s">
        <v>5298</v>
      </c>
      <c r="H336" t="s">
        <v>5138</v>
      </c>
      <c r="I336" t="s">
        <v>5139</v>
      </c>
      <c r="J336" t="s">
        <v>5140</v>
      </c>
      <c r="K336" t="e">
        <v>#N/A</v>
      </c>
      <c r="L336" t="e">
        <v>#N/A</v>
      </c>
      <c r="M336">
        <v>20</v>
      </c>
      <c r="O336">
        <v>71.617000000000004</v>
      </c>
      <c r="P336">
        <v>-163.76599999999999</v>
      </c>
      <c r="Q336">
        <v>6.16</v>
      </c>
      <c r="R336">
        <v>31.63</v>
      </c>
      <c r="S336">
        <v>300.69400000000002</v>
      </c>
      <c r="W336">
        <v>0.49399999999999999</v>
      </c>
      <c r="X336">
        <v>6</v>
      </c>
      <c r="Y336">
        <v>0.379</v>
      </c>
      <c r="AA336">
        <v>1.1499999999999999</v>
      </c>
      <c r="AB336">
        <v>3.91</v>
      </c>
      <c r="AE336">
        <v>0.32</v>
      </c>
      <c r="AF336">
        <v>0.14000000000000001</v>
      </c>
      <c r="AI336">
        <v>6</v>
      </c>
      <c r="AL336">
        <v>83.429100000000005</v>
      </c>
      <c r="AT336" t="e">
        <v>#N/A</v>
      </c>
    </row>
    <row r="337" spans="4:46">
      <c r="D337" t="e">
        <v>#N/A</v>
      </c>
      <c r="E337" t="s">
        <v>4308</v>
      </c>
      <c r="F337" t="s">
        <v>5298</v>
      </c>
      <c r="H337" t="s">
        <v>5138</v>
      </c>
      <c r="I337" t="s">
        <v>5139</v>
      </c>
      <c r="J337" t="s">
        <v>5141</v>
      </c>
      <c r="K337" t="e">
        <v>#N/A</v>
      </c>
      <c r="L337" t="e">
        <v>#N/A</v>
      </c>
      <c r="M337">
        <v>30</v>
      </c>
      <c r="O337">
        <v>71.617000000000004</v>
      </c>
      <c r="P337">
        <v>-163.76599999999999</v>
      </c>
      <c r="Q337">
        <v>0.73</v>
      </c>
      <c r="R337">
        <v>32.21</v>
      </c>
      <c r="S337">
        <v>320.75599999999997</v>
      </c>
      <c r="W337">
        <v>1.208</v>
      </c>
      <c r="X337">
        <v>5</v>
      </c>
      <c r="Y337">
        <v>1.72</v>
      </c>
      <c r="AA337">
        <v>1.1299999999999999</v>
      </c>
      <c r="AB337">
        <v>13.17</v>
      </c>
      <c r="AE337">
        <v>1.87</v>
      </c>
      <c r="AF337">
        <v>1.34</v>
      </c>
      <c r="AI337">
        <v>5</v>
      </c>
      <c r="AL337">
        <v>81.488799999999998</v>
      </c>
      <c r="AT337" t="e">
        <v>#N/A</v>
      </c>
    </row>
    <row r="338" spans="4:46">
      <c r="D338" t="e">
        <v>#N/A</v>
      </c>
      <c r="E338" t="s">
        <v>4308</v>
      </c>
      <c r="F338" t="s">
        <v>5298</v>
      </c>
      <c r="H338" t="s">
        <v>5138</v>
      </c>
      <c r="I338" t="s">
        <v>5139</v>
      </c>
      <c r="J338" t="s">
        <v>5142</v>
      </c>
      <c r="K338" t="e">
        <v>#N/A</v>
      </c>
      <c r="L338" t="e">
        <v>#N/A</v>
      </c>
      <c r="M338">
        <v>36</v>
      </c>
      <c r="O338">
        <v>71.617000000000004</v>
      </c>
      <c r="P338">
        <v>-163.76599999999999</v>
      </c>
      <c r="Q338">
        <v>0.71</v>
      </c>
      <c r="R338">
        <v>32.21</v>
      </c>
      <c r="S338">
        <v>320.233</v>
      </c>
      <c r="W338">
        <v>0.98599999999999999</v>
      </c>
      <c r="X338">
        <v>4</v>
      </c>
      <c r="Y338">
        <v>1.792</v>
      </c>
      <c r="AA338">
        <v>1.24</v>
      </c>
      <c r="AB338">
        <v>13.52</v>
      </c>
      <c r="AE338">
        <v>2.2999999999999998</v>
      </c>
      <c r="AF338">
        <v>1.41</v>
      </c>
      <c r="AI338">
        <v>4</v>
      </c>
      <c r="AL338">
        <v>78.025999999999996</v>
      </c>
      <c r="AQ338">
        <v>-0.77223126799999997</v>
      </c>
      <c r="AT338" t="e">
        <v>#N/A</v>
      </c>
    </row>
    <row r="339" spans="4:46">
      <c r="D339" t="e">
        <v>#N/A</v>
      </c>
      <c r="E339" t="s">
        <v>4308</v>
      </c>
      <c r="F339" t="s">
        <v>5298</v>
      </c>
      <c r="H339" t="s">
        <v>5138</v>
      </c>
      <c r="I339" t="s">
        <v>5139</v>
      </c>
      <c r="J339" t="s">
        <v>5143</v>
      </c>
      <c r="K339" t="e">
        <v>#N/A</v>
      </c>
      <c r="L339" t="e">
        <v>#N/A</v>
      </c>
      <c r="M339">
        <v>37</v>
      </c>
      <c r="O339">
        <v>71.617000000000004</v>
      </c>
      <c r="P339">
        <v>-163.76599999999999</v>
      </c>
      <c r="Q339">
        <v>0.72</v>
      </c>
      <c r="R339">
        <v>32.21</v>
      </c>
      <c r="S339">
        <v>318.88299999999998</v>
      </c>
      <c r="W339">
        <v>1.1200000000000001</v>
      </c>
      <c r="X339">
        <v>1</v>
      </c>
      <c r="AI339">
        <v>1</v>
      </c>
      <c r="AL339">
        <v>76.435400000000001</v>
      </c>
      <c r="AT339" t="e">
        <v>#N/A</v>
      </c>
    </row>
    <row r="340" spans="4:46">
      <c r="D340" t="e">
        <v>#N/A</v>
      </c>
      <c r="E340" t="s">
        <v>4308</v>
      </c>
      <c r="F340" t="s">
        <v>5298</v>
      </c>
      <c r="H340" t="s">
        <v>5138</v>
      </c>
      <c r="I340" t="s">
        <v>5139</v>
      </c>
      <c r="J340" t="s">
        <v>5143</v>
      </c>
      <c r="K340" t="e">
        <v>#N/A</v>
      </c>
      <c r="L340" t="e">
        <v>#N/A</v>
      </c>
      <c r="M340">
        <v>37</v>
      </c>
      <c r="O340">
        <v>71.617000000000004</v>
      </c>
      <c r="P340">
        <v>-163.76599999999999</v>
      </c>
      <c r="Q340">
        <v>0.71</v>
      </c>
      <c r="R340">
        <v>32.21</v>
      </c>
      <c r="S340">
        <v>318.88299999999998</v>
      </c>
      <c r="W340">
        <v>1.1200000000000001</v>
      </c>
      <c r="X340">
        <v>2</v>
      </c>
      <c r="AI340">
        <v>2</v>
      </c>
      <c r="AL340">
        <v>76.435400000000001</v>
      </c>
      <c r="AT340" t="e">
        <v>#N/A</v>
      </c>
    </row>
    <row r="341" spans="4:46">
      <c r="D341" t="e">
        <v>#N/A</v>
      </c>
      <c r="E341" t="s">
        <v>4308</v>
      </c>
      <c r="F341" t="s">
        <v>5298</v>
      </c>
      <c r="H341" t="s">
        <v>5138</v>
      </c>
      <c r="I341" t="s">
        <v>5139</v>
      </c>
      <c r="J341" t="s">
        <v>5143</v>
      </c>
      <c r="K341" t="e">
        <v>#N/A</v>
      </c>
      <c r="L341" t="e">
        <v>#N/A</v>
      </c>
      <c r="M341">
        <v>37</v>
      </c>
      <c r="O341">
        <v>71.617000000000004</v>
      </c>
      <c r="P341">
        <v>-163.76599999999999</v>
      </c>
      <c r="Q341">
        <v>0.71</v>
      </c>
      <c r="R341">
        <v>32.21</v>
      </c>
      <c r="S341">
        <v>318.88299999999998</v>
      </c>
      <c r="W341">
        <v>1.1200000000000001</v>
      </c>
      <c r="X341">
        <v>3</v>
      </c>
      <c r="AI341">
        <v>3</v>
      </c>
      <c r="AL341">
        <v>76.435400000000001</v>
      </c>
      <c r="AT341" t="e">
        <v>#N/A</v>
      </c>
    </row>
    <row r="342" spans="4:46">
      <c r="D342" t="e">
        <v>#N/A</v>
      </c>
      <c r="E342" t="s">
        <v>4308</v>
      </c>
      <c r="F342" t="s">
        <v>5298</v>
      </c>
      <c r="H342" t="s">
        <v>5138</v>
      </c>
      <c r="I342" t="s">
        <v>5139</v>
      </c>
      <c r="J342" t="s">
        <v>5144</v>
      </c>
      <c r="K342" t="e">
        <v>#N/A</v>
      </c>
      <c r="L342" t="e">
        <v>#N/A</v>
      </c>
      <c r="M342">
        <v>4</v>
      </c>
      <c r="O342">
        <v>71.617000000000004</v>
      </c>
      <c r="P342">
        <v>-163.76599999999999</v>
      </c>
      <c r="Q342">
        <v>5.51</v>
      </c>
      <c r="R342">
        <v>30.03</v>
      </c>
      <c r="S342">
        <v>301.65600000000001</v>
      </c>
      <c r="W342">
        <v>0.25800000000000001</v>
      </c>
      <c r="X342">
        <v>8</v>
      </c>
      <c r="Y342">
        <v>0.21099999999999999</v>
      </c>
      <c r="AA342">
        <v>0.27</v>
      </c>
      <c r="AB342">
        <v>3.56</v>
      </c>
      <c r="AE342">
        <v>0.28999999999999998</v>
      </c>
      <c r="AF342">
        <v>0.2</v>
      </c>
      <c r="AI342">
        <v>8</v>
      </c>
      <c r="AL342">
        <v>94.753600000000006</v>
      </c>
      <c r="AQ342">
        <v>-1.1897968400000001</v>
      </c>
      <c r="AT342" t="e">
        <v>#N/A</v>
      </c>
    </row>
    <row r="343" spans="4:46">
      <c r="D343" t="e">
        <v>#N/A</v>
      </c>
      <c r="E343" t="s">
        <v>4308</v>
      </c>
      <c r="F343" t="s">
        <v>5298</v>
      </c>
      <c r="H343" t="s">
        <v>5138</v>
      </c>
      <c r="I343" t="s">
        <v>5139</v>
      </c>
      <c r="J343" t="s">
        <v>5145</v>
      </c>
      <c r="K343" t="e">
        <v>#N/A</v>
      </c>
      <c r="L343" t="e">
        <v>#N/A</v>
      </c>
      <c r="M343">
        <v>9</v>
      </c>
      <c r="O343">
        <v>71.617000000000004</v>
      </c>
      <c r="P343">
        <v>-163.76599999999999</v>
      </c>
      <c r="Q343">
        <v>5.86</v>
      </c>
      <c r="R343">
        <v>30.99</v>
      </c>
      <c r="S343">
        <v>301.65800000000002</v>
      </c>
      <c r="W343">
        <v>0.317</v>
      </c>
      <c r="X343">
        <v>7</v>
      </c>
      <c r="Y343">
        <v>0.216</v>
      </c>
      <c r="AA343">
        <v>0.36</v>
      </c>
      <c r="AB343">
        <v>3.56</v>
      </c>
      <c r="AE343">
        <v>0.62</v>
      </c>
      <c r="AF343">
        <v>0.28000000000000003</v>
      </c>
      <c r="AI343">
        <v>7</v>
      </c>
      <c r="AL343">
        <v>94.708799999999997</v>
      </c>
      <c r="AT343" t="e">
        <v>#N/A</v>
      </c>
    </row>
    <row r="344" spans="4:46">
      <c r="D344" t="e">
        <v>#N/A</v>
      </c>
      <c r="E344" t="s">
        <v>4308</v>
      </c>
      <c r="F344" t="s">
        <v>5289</v>
      </c>
      <c r="H344" t="s">
        <v>4618</v>
      </c>
      <c r="I344" t="s">
        <v>4929</v>
      </c>
      <c r="J344" t="s">
        <v>5175</v>
      </c>
      <c r="K344" t="e">
        <v>#N/A</v>
      </c>
      <c r="L344" t="e">
        <v>#N/A</v>
      </c>
      <c r="M344">
        <v>11</v>
      </c>
      <c r="O344">
        <v>71.488</v>
      </c>
      <c r="P344">
        <v>-163.393</v>
      </c>
      <c r="Q344">
        <v>5.99</v>
      </c>
      <c r="R344">
        <v>31.03</v>
      </c>
      <c r="S344">
        <v>297.798</v>
      </c>
      <c r="W344">
        <v>0.24299999999999999</v>
      </c>
      <c r="X344">
        <v>6</v>
      </c>
      <c r="Y344">
        <v>0.187</v>
      </c>
      <c r="AA344">
        <v>0.35</v>
      </c>
      <c r="AB344">
        <v>3.56</v>
      </c>
      <c r="AE344">
        <v>0.22</v>
      </c>
      <c r="AF344">
        <v>0.59</v>
      </c>
      <c r="AI344">
        <v>6</v>
      </c>
      <c r="AL344">
        <v>95.177999999999997</v>
      </c>
      <c r="AT344" t="e">
        <v>#N/A</v>
      </c>
    </row>
    <row r="345" spans="4:46">
      <c r="D345" t="e">
        <v>#N/A</v>
      </c>
      <c r="E345" t="s">
        <v>4308</v>
      </c>
      <c r="F345" t="s">
        <v>5289</v>
      </c>
      <c r="H345" t="s">
        <v>4618</v>
      </c>
      <c r="I345" t="s">
        <v>4929</v>
      </c>
      <c r="J345" t="s">
        <v>5176</v>
      </c>
      <c r="K345" t="e">
        <v>#N/A</v>
      </c>
      <c r="L345" t="e">
        <v>#N/A</v>
      </c>
      <c r="M345">
        <v>20</v>
      </c>
      <c r="O345">
        <v>71.488</v>
      </c>
      <c r="P345">
        <v>-163.393</v>
      </c>
      <c r="Q345">
        <v>6.06</v>
      </c>
      <c r="R345">
        <v>31.58</v>
      </c>
      <c r="S345">
        <v>298.16800000000001</v>
      </c>
      <c r="W345">
        <v>0.39600000000000002</v>
      </c>
      <c r="X345">
        <v>5</v>
      </c>
      <c r="Y345">
        <v>0.28100000000000003</v>
      </c>
      <c r="AA345">
        <v>0.4</v>
      </c>
      <c r="AB345">
        <v>2.85</v>
      </c>
      <c r="AE345">
        <v>0.24</v>
      </c>
      <c r="AF345">
        <v>0.25</v>
      </c>
      <c r="AI345">
        <v>5</v>
      </c>
      <c r="AL345">
        <v>94.699200000000005</v>
      </c>
      <c r="AT345" t="e">
        <v>#N/A</v>
      </c>
    </row>
    <row r="346" spans="4:46">
      <c r="D346" t="e">
        <v>#N/A</v>
      </c>
      <c r="E346" t="s">
        <v>4308</v>
      </c>
      <c r="F346" t="s">
        <v>5289</v>
      </c>
      <c r="H346" t="s">
        <v>4618</v>
      </c>
      <c r="I346" t="s">
        <v>4929</v>
      </c>
      <c r="J346" t="s">
        <v>5177</v>
      </c>
      <c r="K346" t="e">
        <v>#N/A</v>
      </c>
      <c r="L346" t="e">
        <v>#N/A</v>
      </c>
      <c r="M346">
        <v>31</v>
      </c>
      <c r="O346">
        <v>71.488</v>
      </c>
      <c r="P346">
        <v>-163.393</v>
      </c>
      <c r="Q346">
        <v>0.73</v>
      </c>
      <c r="R346">
        <v>32.22</v>
      </c>
      <c r="S346">
        <v>305.56599999999997</v>
      </c>
      <c r="W346">
        <v>1.2529999999999999</v>
      </c>
      <c r="X346">
        <v>2</v>
      </c>
      <c r="Y346">
        <v>1.62</v>
      </c>
      <c r="AA346">
        <v>1.05</v>
      </c>
      <c r="AB346">
        <v>12.81</v>
      </c>
      <c r="AE346">
        <v>2.41</v>
      </c>
      <c r="AF346">
        <v>2.34</v>
      </c>
      <c r="AI346">
        <v>2</v>
      </c>
      <c r="AL346">
        <v>87.444100000000006</v>
      </c>
      <c r="AT346" t="e">
        <v>#N/A</v>
      </c>
    </row>
    <row r="347" spans="4:46">
      <c r="D347" t="e">
        <v>#N/A</v>
      </c>
      <c r="E347" t="s">
        <v>4308</v>
      </c>
      <c r="F347" t="s">
        <v>5289</v>
      </c>
      <c r="H347" t="s">
        <v>4618</v>
      </c>
      <c r="I347" t="s">
        <v>4929</v>
      </c>
      <c r="J347" t="s">
        <v>5177</v>
      </c>
      <c r="K347" t="e">
        <v>#N/A</v>
      </c>
      <c r="L347" t="e">
        <v>#N/A</v>
      </c>
      <c r="M347">
        <v>31</v>
      </c>
      <c r="O347">
        <v>71.488</v>
      </c>
      <c r="P347">
        <v>-163.393</v>
      </c>
      <c r="Q347">
        <v>0.73</v>
      </c>
      <c r="R347">
        <v>32.22</v>
      </c>
      <c r="S347">
        <v>305.56599999999997</v>
      </c>
      <c r="W347">
        <v>1.2529999999999999</v>
      </c>
      <c r="X347">
        <v>3</v>
      </c>
      <c r="AI347">
        <v>3</v>
      </c>
      <c r="AL347">
        <v>87.444100000000006</v>
      </c>
      <c r="AT347" t="e">
        <v>#N/A</v>
      </c>
    </row>
    <row r="348" spans="4:46">
      <c r="D348" t="e">
        <v>#N/A</v>
      </c>
      <c r="E348" t="s">
        <v>4308</v>
      </c>
      <c r="F348" t="s">
        <v>5293</v>
      </c>
      <c r="H348" t="s">
        <v>4640</v>
      </c>
      <c r="I348" t="s">
        <v>4925</v>
      </c>
      <c r="J348" t="s">
        <v>5172</v>
      </c>
      <c r="K348" t="e">
        <v>#N/A</v>
      </c>
      <c r="L348" t="e">
        <v>#N/A</v>
      </c>
      <c r="M348">
        <v>10</v>
      </c>
      <c r="O348">
        <v>71.361999999999995</v>
      </c>
      <c r="P348">
        <v>-163.00299999999999</v>
      </c>
      <c r="Q348">
        <v>5.34</v>
      </c>
      <c r="R348">
        <v>29.79</v>
      </c>
      <c r="S348">
        <v>317.81099999999998</v>
      </c>
      <c r="W348">
        <v>0.183</v>
      </c>
      <c r="X348">
        <v>7</v>
      </c>
      <c r="Y348">
        <v>0.154</v>
      </c>
      <c r="AA348">
        <v>1.18</v>
      </c>
      <c r="AB348">
        <v>4.2699999999999996</v>
      </c>
      <c r="AE348">
        <v>0.23</v>
      </c>
      <c r="AF348">
        <v>0.37</v>
      </c>
      <c r="AI348">
        <v>7</v>
      </c>
      <c r="AL348">
        <v>95.908299999999997</v>
      </c>
      <c r="AQ348">
        <v>-0.93681962799999996</v>
      </c>
      <c r="AT348" t="e">
        <v>#N/A</v>
      </c>
    </row>
    <row r="349" spans="4:46">
      <c r="D349" t="e">
        <v>#N/A</v>
      </c>
      <c r="E349" t="s">
        <v>4308</v>
      </c>
      <c r="F349" t="s">
        <v>5293</v>
      </c>
      <c r="H349" t="s">
        <v>4640</v>
      </c>
      <c r="I349" t="s">
        <v>4925</v>
      </c>
      <c r="J349" t="s">
        <v>5173</v>
      </c>
      <c r="K349" t="e">
        <v>#N/A</v>
      </c>
      <c r="L349" t="e">
        <v>#N/A</v>
      </c>
      <c r="M349">
        <v>20</v>
      </c>
      <c r="O349">
        <v>71.361999999999995</v>
      </c>
      <c r="P349">
        <v>-163.00299999999999</v>
      </c>
      <c r="Q349">
        <v>5.0199999999999996</v>
      </c>
      <c r="R349">
        <v>31.41</v>
      </c>
      <c r="S349">
        <v>341.22199999999998</v>
      </c>
      <c r="W349">
        <v>0.33700000000000002</v>
      </c>
      <c r="X349">
        <v>6</v>
      </c>
      <c r="Y349">
        <v>0.21199999999999999</v>
      </c>
      <c r="AA349">
        <v>0.39</v>
      </c>
      <c r="AB349">
        <v>4.2699999999999996</v>
      </c>
      <c r="AE349">
        <v>0.35</v>
      </c>
      <c r="AF349">
        <v>1.25</v>
      </c>
      <c r="AI349">
        <v>6</v>
      </c>
      <c r="AL349">
        <v>95.436400000000006</v>
      </c>
      <c r="AQ349">
        <v>-0.94119920099999999</v>
      </c>
      <c r="AT349" t="e">
        <v>#N/A</v>
      </c>
    </row>
    <row r="350" spans="4:46">
      <c r="D350" t="e">
        <v>#N/A</v>
      </c>
      <c r="E350" t="s">
        <v>4308</v>
      </c>
      <c r="F350" t="s">
        <v>5293</v>
      </c>
      <c r="H350" t="s">
        <v>4640</v>
      </c>
      <c r="I350" t="s">
        <v>4925</v>
      </c>
      <c r="J350" t="s">
        <v>5174</v>
      </c>
      <c r="K350" t="e">
        <v>#N/A</v>
      </c>
      <c r="L350" t="e">
        <v>#N/A</v>
      </c>
      <c r="M350">
        <v>30</v>
      </c>
      <c r="O350">
        <v>71.361999999999995</v>
      </c>
      <c r="P350">
        <v>-163.00299999999999</v>
      </c>
      <c r="Q350">
        <v>-0.33</v>
      </c>
      <c r="R350">
        <v>32.08</v>
      </c>
      <c r="S350">
        <v>422.27199999999999</v>
      </c>
      <c r="W350">
        <v>0.68400000000000005</v>
      </c>
      <c r="X350">
        <v>5</v>
      </c>
      <c r="Y350">
        <v>0.38800000000000001</v>
      </c>
      <c r="AA350">
        <v>0.48</v>
      </c>
      <c r="AB350">
        <v>15.3</v>
      </c>
      <c r="AE350">
        <v>0.6</v>
      </c>
      <c r="AF350">
        <v>0.59</v>
      </c>
      <c r="AI350">
        <v>5</v>
      </c>
      <c r="AL350">
        <v>94.3917</v>
      </c>
      <c r="AQ350">
        <v>-0.84046901699999998</v>
      </c>
      <c r="AT350" t="e">
        <v>#N/A</v>
      </c>
    </row>
    <row r="351" spans="4:46">
      <c r="D351" t="e">
        <v>#N/A</v>
      </c>
      <c r="E351" t="s">
        <v>4308</v>
      </c>
      <c r="F351" t="s">
        <v>5292</v>
      </c>
      <c r="H351" t="s">
        <v>4635</v>
      </c>
      <c r="I351" t="s">
        <v>4921</v>
      </c>
      <c r="J351" t="s">
        <v>5169</v>
      </c>
      <c r="K351" t="e">
        <v>#N/A</v>
      </c>
      <c r="L351" t="e">
        <v>#N/A</v>
      </c>
      <c r="M351">
        <v>10</v>
      </c>
      <c r="O351">
        <v>71.233000000000004</v>
      </c>
      <c r="P351">
        <v>-162.636</v>
      </c>
      <c r="Q351">
        <v>5.99</v>
      </c>
      <c r="R351">
        <v>30.8</v>
      </c>
      <c r="S351">
        <v>305.99599999999998</v>
      </c>
      <c r="W351">
        <v>0.24299999999999999</v>
      </c>
      <c r="X351">
        <v>4</v>
      </c>
      <c r="Y351">
        <v>0.222</v>
      </c>
      <c r="AA351">
        <v>0.33</v>
      </c>
      <c r="AB351">
        <v>4.9800000000000004</v>
      </c>
      <c r="AE351">
        <v>1.08</v>
      </c>
      <c r="AF351">
        <v>0.34</v>
      </c>
      <c r="AI351">
        <v>4</v>
      </c>
      <c r="AL351">
        <v>95.474400000000003</v>
      </c>
      <c r="AQ351">
        <v>-0.54557775399999997</v>
      </c>
      <c r="AT351" t="e">
        <v>#N/A</v>
      </c>
    </row>
    <row r="352" spans="4:46">
      <c r="D352" t="e">
        <v>#N/A</v>
      </c>
      <c r="E352" t="s">
        <v>4308</v>
      </c>
      <c r="F352" t="s">
        <v>5292</v>
      </c>
      <c r="H352" t="s">
        <v>4635</v>
      </c>
      <c r="I352" t="s">
        <v>4921</v>
      </c>
      <c r="J352" t="s">
        <v>5170</v>
      </c>
      <c r="K352" t="e">
        <v>#N/A</v>
      </c>
      <c r="L352" t="e">
        <v>#N/A</v>
      </c>
      <c r="M352">
        <v>20</v>
      </c>
      <c r="O352">
        <v>71.233000000000004</v>
      </c>
      <c r="P352">
        <v>-162.636</v>
      </c>
      <c r="Q352">
        <v>5.76</v>
      </c>
      <c r="R352">
        <v>31.52</v>
      </c>
      <c r="S352">
        <v>321.49400000000003</v>
      </c>
      <c r="W352">
        <v>0.26</v>
      </c>
      <c r="X352">
        <v>3</v>
      </c>
      <c r="Y352">
        <v>0.28399999999999997</v>
      </c>
      <c r="AA352">
        <v>0.33</v>
      </c>
      <c r="AB352">
        <v>2.4900000000000002</v>
      </c>
      <c r="AE352">
        <v>0.36</v>
      </c>
      <c r="AF352">
        <v>0.32</v>
      </c>
      <c r="AI352">
        <v>3</v>
      </c>
      <c r="AL352">
        <v>95.816299999999998</v>
      </c>
      <c r="AQ352">
        <v>-0.12513872500000001</v>
      </c>
      <c r="AT352" t="e">
        <v>#N/A</v>
      </c>
    </row>
    <row r="353" spans="4:46">
      <c r="D353" t="e">
        <v>#N/A</v>
      </c>
      <c r="E353" t="s">
        <v>4308</v>
      </c>
      <c r="F353" t="s">
        <v>5292</v>
      </c>
      <c r="H353" t="s">
        <v>4635</v>
      </c>
      <c r="I353" t="s">
        <v>4921</v>
      </c>
      <c r="J353" t="s">
        <v>5171</v>
      </c>
      <c r="K353" t="e">
        <v>#N/A</v>
      </c>
      <c r="L353" t="e">
        <v>#N/A</v>
      </c>
      <c r="M353">
        <v>30</v>
      </c>
      <c r="O353">
        <v>71.233000000000004</v>
      </c>
      <c r="P353">
        <v>-162.636</v>
      </c>
      <c r="Q353">
        <v>-0.12</v>
      </c>
      <c r="R353">
        <v>32.18</v>
      </c>
      <c r="S353">
        <v>358.46699999999998</v>
      </c>
      <c r="W353">
        <v>0.84</v>
      </c>
      <c r="X353">
        <v>2</v>
      </c>
      <c r="Y353">
        <v>1.6839999999999999</v>
      </c>
      <c r="AA353">
        <v>1.4</v>
      </c>
      <c r="AB353">
        <v>8.19</v>
      </c>
      <c r="AE353">
        <v>0.79</v>
      </c>
      <c r="AF353">
        <v>2.61</v>
      </c>
      <c r="AI353">
        <v>2</v>
      </c>
      <c r="AL353">
        <v>94.022300000000001</v>
      </c>
      <c r="AQ353">
        <v>-0.27696393000000002</v>
      </c>
      <c r="AT353" t="e">
        <v>#N/A</v>
      </c>
    </row>
    <row r="354" spans="4:46">
      <c r="D354" t="e">
        <v>#N/A</v>
      </c>
      <c r="E354" t="s">
        <v>4308</v>
      </c>
      <c r="F354" t="s">
        <v>5291</v>
      </c>
      <c r="H354" t="s">
        <v>4630</v>
      </c>
      <c r="I354" t="s">
        <v>4917</v>
      </c>
      <c r="J354" t="s">
        <v>5166</v>
      </c>
      <c r="K354" t="e">
        <v>#N/A</v>
      </c>
      <c r="L354" t="e">
        <v>#N/A</v>
      </c>
      <c r="M354">
        <v>20</v>
      </c>
      <c r="O354">
        <v>71.103999999999999</v>
      </c>
      <c r="P354">
        <v>-162.255</v>
      </c>
      <c r="Q354">
        <v>5.94</v>
      </c>
      <c r="R354">
        <v>31.12</v>
      </c>
      <c r="S354">
        <v>306.54700000000003</v>
      </c>
      <c r="W354">
        <v>0.42399999999999999</v>
      </c>
      <c r="X354">
        <v>3</v>
      </c>
      <c r="Y354">
        <v>0.38800000000000001</v>
      </c>
      <c r="AA354">
        <v>0.44</v>
      </c>
      <c r="AB354">
        <v>4.9800000000000004</v>
      </c>
      <c r="AE354">
        <v>1.95</v>
      </c>
      <c r="AF354">
        <v>1.28</v>
      </c>
      <c r="AI354">
        <v>3</v>
      </c>
      <c r="AL354">
        <v>95.409400000000005</v>
      </c>
      <c r="AQ354">
        <v>-1.0826814339999999</v>
      </c>
      <c r="AT354" t="e">
        <v>#N/A</v>
      </c>
    </row>
    <row r="355" spans="4:46">
      <c r="D355" t="e">
        <v>#N/A</v>
      </c>
      <c r="E355" t="s">
        <v>4308</v>
      </c>
      <c r="F355" t="s">
        <v>5291</v>
      </c>
      <c r="H355" t="s">
        <v>4630</v>
      </c>
      <c r="I355" t="s">
        <v>4917</v>
      </c>
      <c r="J355" t="s">
        <v>5167</v>
      </c>
      <c r="K355" t="e">
        <v>#N/A</v>
      </c>
      <c r="L355" t="e">
        <v>#N/A</v>
      </c>
      <c r="M355">
        <v>30</v>
      </c>
      <c r="O355">
        <v>71.103999999999999</v>
      </c>
      <c r="P355">
        <v>-162.255</v>
      </c>
      <c r="Q355">
        <v>-1</v>
      </c>
      <c r="R355">
        <v>32.07</v>
      </c>
      <c r="S355">
        <v>451.87599999999998</v>
      </c>
      <c r="W355">
        <v>0.872</v>
      </c>
      <c r="X355">
        <v>2</v>
      </c>
      <c r="Y355">
        <v>0.35299999999999998</v>
      </c>
      <c r="AA355">
        <v>0.41</v>
      </c>
      <c r="AB355">
        <v>15.3</v>
      </c>
      <c r="AE355">
        <v>2.58</v>
      </c>
      <c r="AF355">
        <v>0.27</v>
      </c>
      <c r="AI355">
        <v>2</v>
      </c>
      <c r="AL355">
        <v>94.274900000000002</v>
      </c>
      <c r="AQ355">
        <v>-0.83800371699999998</v>
      </c>
      <c r="AT355" t="e">
        <v>#N/A</v>
      </c>
    </row>
    <row r="356" spans="4:46">
      <c r="D356" t="e">
        <v>#N/A</v>
      </c>
      <c r="E356" t="s">
        <v>4308</v>
      </c>
      <c r="F356" t="s">
        <v>5291</v>
      </c>
      <c r="H356" t="s">
        <v>4630</v>
      </c>
      <c r="I356" t="s">
        <v>4917</v>
      </c>
      <c r="J356" t="s">
        <v>5168</v>
      </c>
      <c r="K356" t="e">
        <v>#N/A</v>
      </c>
      <c r="L356" t="e">
        <v>#N/A</v>
      </c>
      <c r="M356">
        <v>9</v>
      </c>
      <c r="O356">
        <v>71.103999999999999</v>
      </c>
      <c r="P356">
        <v>-162.255</v>
      </c>
      <c r="Q356">
        <v>7.23</v>
      </c>
      <c r="R356">
        <v>30.93</v>
      </c>
      <c r="S356">
        <v>291.01799999999997</v>
      </c>
      <c r="W356">
        <v>0.48399999999999999</v>
      </c>
      <c r="X356">
        <v>4</v>
      </c>
      <c r="Y356">
        <v>0.45200000000000001</v>
      </c>
      <c r="AA356">
        <v>0.48</v>
      </c>
      <c r="AB356">
        <v>5.69</v>
      </c>
      <c r="AE356">
        <v>2.11</v>
      </c>
      <c r="AF356">
        <v>0.5</v>
      </c>
      <c r="AI356">
        <v>4</v>
      </c>
      <c r="AL356">
        <v>94.170299999999997</v>
      </c>
      <c r="AQ356">
        <v>-1.316973202</v>
      </c>
      <c r="AT356" t="e">
        <v>#N/A</v>
      </c>
    </row>
    <row r="357" spans="4:46">
      <c r="D357" t="e">
        <v>#N/A</v>
      </c>
      <c r="E357" t="s">
        <v>4308</v>
      </c>
      <c r="F357" t="s">
        <v>5290</v>
      </c>
      <c r="H357" t="s">
        <v>4625</v>
      </c>
      <c r="I357" t="s">
        <v>4913</v>
      </c>
      <c r="J357" t="s">
        <v>5163</v>
      </c>
      <c r="K357" t="e">
        <v>#N/A</v>
      </c>
      <c r="L357" t="e">
        <v>#N/A</v>
      </c>
      <c r="M357">
        <v>10</v>
      </c>
      <c r="O357">
        <v>70.972999999999999</v>
      </c>
      <c r="P357">
        <v>-161.90100000000001</v>
      </c>
      <c r="Q357">
        <v>6.75</v>
      </c>
      <c r="R357">
        <v>30.98</v>
      </c>
      <c r="S357">
        <v>295.19299999999998</v>
      </c>
      <c r="W357">
        <v>0.44</v>
      </c>
      <c r="X357">
        <v>4</v>
      </c>
      <c r="Y357">
        <v>0.42399999999999999</v>
      </c>
      <c r="AA357">
        <v>0.42</v>
      </c>
      <c r="AB357">
        <v>5.69</v>
      </c>
      <c r="AE357">
        <v>0.45</v>
      </c>
      <c r="AF357">
        <v>0.66</v>
      </c>
      <c r="AI357">
        <v>4</v>
      </c>
      <c r="AL357">
        <v>94.810199999999995</v>
      </c>
      <c r="AQ357">
        <v>-1.2505898900000001</v>
      </c>
      <c r="AT357" t="e">
        <v>#N/A</v>
      </c>
    </row>
    <row r="358" spans="4:46">
      <c r="D358" t="e">
        <v>#N/A</v>
      </c>
      <c r="E358" t="s">
        <v>4308</v>
      </c>
      <c r="F358" t="s">
        <v>5290</v>
      </c>
      <c r="H358" t="s">
        <v>4625</v>
      </c>
      <c r="I358" t="s">
        <v>4913</v>
      </c>
      <c r="J358" t="s">
        <v>5164</v>
      </c>
      <c r="K358" t="e">
        <v>#N/A</v>
      </c>
      <c r="L358" t="e">
        <v>#N/A</v>
      </c>
      <c r="M358">
        <v>20</v>
      </c>
      <c r="O358">
        <v>70.972999999999999</v>
      </c>
      <c r="P358">
        <v>-161.90100000000001</v>
      </c>
      <c r="Q358">
        <v>1.1100000000000001</v>
      </c>
      <c r="R358">
        <v>31.83</v>
      </c>
      <c r="S358">
        <v>463.89</v>
      </c>
      <c r="W358">
        <v>0.69399999999999995</v>
      </c>
      <c r="X358">
        <v>3</v>
      </c>
      <c r="Y358">
        <v>0.98399999999999999</v>
      </c>
      <c r="AA358">
        <v>0.53</v>
      </c>
      <c r="AB358">
        <v>14.95</v>
      </c>
      <c r="AE358">
        <v>1.97</v>
      </c>
      <c r="AF358">
        <v>0.89</v>
      </c>
      <c r="AI358">
        <v>3</v>
      </c>
      <c r="AL358">
        <v>94.139099999999999</v>
      </c>
      <c r="AQ358">
        <v>-0.83692630000000001</v>
      </c>
      <c r="AT358" t="e">
        <v>#N/A</v>
      </c>
    </row>
    <row r="359" spans="4:46">
      <c r="D359" t="e">
        <v>#N/A</v>
      </c>
      <c r="E359" t="s">
        <v>4308</v>
      </c>
      <c r="F359" t="s">
        <v>5290</v>
      </c>
      <c r="H359" t="s">
        <v>4625</v>
      </c>
      <c r="I359" t="s">
        <v>4913</v>
      </c>
      <c r="J359" t="s">
        <v>5165</v>
      </c>
      <c r="K359" t="e">
        <v>#N/A</v>
      </c>
      <c r="L359" t="e">
        <v>#N/A</v>
      </c>
      <c r="M359">
        <v>30</v>
      </c>
      <c r="O359">
        <v>70.972999999999999</v>
      </c>
      <c r="P359">
        <v>-161.90100000000001</v>
      </c>
      <c r="Q359">
        <v>-0.95</v>
      </c>
      <c r="R359">
        <v>32.18</v>
      </c>
      <c r="S359">
        <v>417.363</v>
      </c>
      <c r="W359">
        <v>1.921</v>
      </c>
      <c r="X359">
        <v>2</v>
      </c>
      <c r="Y359">
        <v>0.82399999999999995</v>
      </c>
      <c r="AA359">
        <v>0.53</v>
      </c>
      <c r="AB359">
        <v>11.39</v>
      </c>
      <c r="AE359">
        <v>1.01</v>
      </c>
      <c r="AF359">
        <v>2.66</v>
      </c>
      <c r="AI359">
        <v>2</v>
      </c>
      <c r="AL359">
        <v>91.514399999999995</v>
      </c>
      <c r="AQ359">
        <v>-0.688460874</v>
      </c>
      <c r="AT359" t="e">
        <v>#N/A</v>
      </c>
    </row>
    <row r="360" spans="4:46">
      <c r="D360" t="e">
        <v>#N/A</v>
      </c>
      <c r="E360" t="s">
        <v>4308</v>
      </c>
      <c r="F360" t="s">
        <v>4657</v>
      </c>
      <c r="H360" t="s">
        <v>4658</v>
      </c>
      <c r="I360" t="s">
        <v>4909</v>
      </c>
      <c r="J360" t="s">
        <v>5159</v>
      </c>
      <c r="K360" t="e">
        <v>#N/A</v>
      </c>
      <c r="L360" t="e">
        <v>#N/A</v>
      </c>
      <c r="M360">
        <v>10</v>
      </c>
      <c r="O360">
        <v>70.715000000000003</v>
      </c>
      <c r="P360">
        <v>-161.179</v>
      </c>
      <c r="Q360">
        <v>7.65</v>
      </c>
      <c r="R360">
        <v>30.81</v>
      </c>
      <c r="S360">
        <v>289.48</v>
      </c>
      <c r="W360">
        <v>0.81699999999999995</v>
      </c>
      <c r="X360">
        <v>4</v>
      </c>
      <c r="Y360">
        <v>0.78800000000000003</v>
      </c>
      <c r="AA360">
        <v>0.47</v>
      </c>
      <c r="AB360">
        <v>6.05</v>
      </c>
      <c r="AE360">
        <v>0.28999999999999998</v>
      </c>
      <c r="AF360">
        <v>0.46</v>
      </c>
      <c r="AI360">
        <v>4</v>
      </c>
      <c r="AL360">
        <v>90.941100000000006</v>
      </c>
      <c r="AT360" t="e">
        <v>#N/A</v>
      </c>
    </row>
    <row r="361" spans="4:46">
      <c r="D361" t="e">
        <v>#N/A</v>
      </c>
      <c r="E361" t="s">
        <v>4308</v>
      </c>
      <c r="F361" t="s">
        <v>4657</v>
      </c>
      <c r="H361" t="s">
        <v>4658</v>
      </c>
      <c r="I361" t="s">
        <v>4909</v>
      </c>
      <c r="J361" t="s">
        <v>5160</v>
      </c>
      <c r="K361" t="e">
        <v>#N/A</v>
      </c>
      <c r="L361" t="e">
        <v>#N/A</v>
      </c>
      <c r="M361">
        <v>21</v>
      </c>
      <c r="O361">
        <v>70.715000000000003</v>
      </c>
      <c r="P361">
        <v>-161.179</v>
      </c>
      <c r="Q361">
        <v>7.53</v>
      </c>
      <c r="R361">
        <v>30.96</v>
      </c>
      <c r="S361">
        <v>284.32299999999998</v>
      </c>
      <c r="W361">
        <v>1.3280000000000001</v>
      </c>
      <c r="X361">
        <v>3</v>
      </c>
      <c r="Y361">
        <v>1.036</v>
      </c>
      <c r="AA361">
        <v>0.51</v>
      </c>
      <c r="AB361">
        <v>7.83</v>
      </c>
      <c r="AE361">
        <v>0.28999999999999998</v>
      </c>
      <c r="AF361">
        <v>0.66</v>
      </c>
      <c r="AI361">
        <v>3</v>
      </c>
      <c r="AL361">
        <v>92.107299999999995</v>
      </c>
      <c r="AT361" t="e">
        <v>#N/A</v>
      </c>
    </row>
    <row r="362" spans="4:46">
      <c r="D362" t="e">
        <v>#N/A</v>
      </c>
      <c r="E362" t="s">
        <v>4308</v>
      </c>
      <c r="F362" t="s">
        <v>4657</v>
      </c>
      <c r="H362" t="s">
        <v>4658</v>
      </c>
      <c r="I362" t="s">
        <v>4909</v>
      </c>
      <c r="J362" t="s">
        <v>5161</v>
      </c>
      <c r="K362" t="e">
        <v>#N/A</v>
      </c>
      <c r="L362" t="e">
        <v>#N/A</v>
      </c>
      <c r="M362">
        <v>27</v>
      </c>
      <c r="O362">
        <v>70.715000000000003</v>
      </c>
      <c r="P362">
        <v>-161.179</v>
      </c>
      <c r="Q362">
        <v>1.05</v>
      </c>
      <c r="R362">
        <v>32</v>
      </c>
      <c r="S362">
        <v>311.82100000000003</v>
      </c>
      <c r="W362">
        <v>0.75700000000000001</v>
      </c>
      <c r="X362">
        <v>2</v>
      </c>
      <c r="Y362">
        <v>0.9</v>
      </c>
      <c r="AA362">
        <v>1.08</v>
      </c>
      <c r="AB362">
        <v>14.23</v>
      </c>
      <c r="AE362">
        <v>2.25</v>
      </c>
      <c r="AF362">
        <v>1.66</v>
      </c>
      <c r="AI362">
        <v>2</v>
      </c>
      <c r="AL362">
        <v>81.521500000000003</v>
      </c>
      <c r="AT362" t="e">
        <v>#N/A</v>
      </c>
    </row>
    <row r="363" spans="4:46">
      <c r="D363" t="e">
        <v>#N/A</v>
      </c>
      <c r="E363" t="s">
        <v>4308</v>
      </c>
      <c r="F363" t="s">
        <v>4657</v>
      </c>
      <c r="H363" t="s">
        <v>4658</v>
      </c>
      <c r="I363" t="s">
        <v>4909</v>
      </c>
      <c r="J363" t="s">
        <v>5162</v>
      </c>
      <c r="K363" t="e">
        <v>#N/A</v>
      </c>
      <c r="L363" t="e">
        <v>#N/A</v>
      </c>
      <c r="M363">
        <v>6</v>
      </c>
      <c r="O363">
        <v>70.715000000000003</v>
      </c>
      <c r="P363">
        <v>-161.179</v>
      </c>
      <c r="Q363">
        <v>7.65</v>
      </c>
      <c r="R363">
        <v>30.81</v>
      </c>
      <c r="S363">
        <v>290.47199999999998</v>
      </c>
      <c r="W363">
        <v>0.83699999999999997</v>
      </c>
      <c r="X363">
        <v>6</v>
      </c>
      <c r="AI363">
        <v>6</v>
      </c>
      <c r="AL363">
        <v>90.925799999999995</v>
      </c>
      <c r="AT363" t="e">
        <v>#N/A</v>
      </c>
    </row>
    <row r="364" spans="4:46">
      <c r="D364" t="e">
        <v>#N/A</v>
      </c>
      <c r="E364" t="s">
        <v>4308</v>
      </c>
      <c r="F364" t="s">
        <v>4651</v>
      </c>
      <c r="H364" t="s">
        <v>4652</v>
      </c>
      <c r="I364" t="s">
        <v>4904</v>
      </c>
      <c r="J364" t="s">
        <v>5158</v>
      </c>
      <c r="K364" t="e">
        <v>#N/A</v>
      </c>
      <c r="L364" t="e">
        <v>#N/A</v>
      </c>
      <c r="M364">
        <v>10</v>
      </c>
      <c r="O364">
        <v>70.578000000000003</v>
      </c>
      <c r="P364">
        <v>-160.83600000000001</v>
      </c>
      <c r="Q364">
        <v>7.85</v>
      </c>
      <c r="R364">
        <v>30.81</v>
      </c>
      <c r="S364">
        <v>285.20800000000003</v>
      </c>
      <c r="W364">
        <v>0.73199999999999998</v>
      </c>
      <c r="X364">
        <v>2</v>
      </c>
      <c r="Y364">
        <v>1.032</v>
      </c>
      <c r="AA364">
        <v>0.43</v>
      </c>
      <c r="AB364">
        <v>7.12</v>
      </c>
      <c r="AE364">
        <v>2.0099999999999998</v>
      </c>
      <c r="AF364">
        <v>0.13</v>
      </c>
      <c r="AI364">
        <v>2</v>
      </c>
      <c r="AL364">
        <v>91.847899999999996</v>
      </c>
      <c r="AT364" t="e">
        <v>#N/A</v>
      </c>
    </row>
    <row r="365" spans="4:46">
      <c r="D365" t="e">
        <v>#N/A</v>
      </c>
      <c r="E365" t="s">
        <v>4308</v>
      </c>
      <c r="F365" t="s">
        <v>5299</v>
      </c>
      <c r="H365" t="s">
        <v>5219</v>
      </c>
      <c r="I365" t="s">
        <v>5220</v>
      </c>
      <c r="J365" t="s">
        <v>5221</v>
      </c>
      <c r="K365" t="e">
        <v>#N/A</v>
      </c>
      <c r="L365" t="e">
        <v>#N/A</v>
      </c>
      <c r="M365">
        <v>10</v>
      </c>
      <c r="O365">
        <v>71.721000000000004</v>
      </c>
      <c r="P365">
        <v>-161.78100000000001</v>
      </c>
      <c r="Q365">
        <v>2.67</v>
      </c>
      <c r="R365">
        <v>30.41</v>
      </c>
      <c r="S365">
        <v>333.798</v>
      </c>
      <c r="W365">
        <v>1.117</v>
      </c>
      <c r="X365">
        <v>8</v>
      </c>
      <c r="Y365">
        <v>1.3640000000000001</v>
      </c>
      <c r="AA365">
        <v>0.28000000000000003</v>
      </c>
      <c r="AB365">
        <v>8.19</v>
      </c>
      <c r="AE365">
        <v>0.47</v>
      </c>
      <c r="AF365">
        <v>0.5</v>
      </c>
      <c r="AI365">
        <v>8</v>
      </c>
      <c r="AL365">
        <v>89.4816</v>
      </c>
      <c r="AT365" t="e">
        <v>#N/A</v>
      </c>
    </row>
    <row r="366" spans="4:46">
      <c r="D366" t="e">
        <v>#N/A</v>
      </c>
      <c r="E366" t="s">
        <v>4308</v>
      </c>
      <c r="F366" t="s">
        <v>5299</v>
      </c>
      <c r="H366" t="s">
        <v>5219</v>
      </c>
      <c r="I366" t="s">
        <v>5220</v>
      </c>
      <c r="J366" t="s">
        <v>5222</v>
      </c>
      <c r="K366" t="e">
        <v>#N/A</v>
      </c>
      <c r="L366" t="e">
        <v>#N/A</v>
      </c>
      <c r="M366">
        <v>20</v>
      </c>
      <c r="O366">
        <v>71.721000000000004</v>
      </c>
      <c r="P366">
        <v>-161.78100000000001</v>
      </c>
      <c r="Q366">
        <v>2.86</v>
      </c>
      <c r="R366">
        <v>30.69</v>
      </c>
      <c r="S366">
        <v>332.09100000000001</v>
      </c>
      <c r="W366">
        <v>1.2190000000000001</v>
      </c>
      <c r="X366">
        <v>7</v>
      </c>
      <c r="Y366">
        <v>1.5960000000000001</v>
      </c>
      <c r="AA366">
        <v>0.28999999999999998</v>
      </c>
      <c r="AB366">
        <v>8.19</v>
      </c>
      <c r="AE366">
        <v>0.52</v>
      </c>
      <c r="AF366">
        <v>0.78</v>
      </c>
      <c r="AI366">
        <v>7</v>
      </c>
      <c r="AL366">
        <v>90.911500000000004</v>
      </c>
      <c r="AT366" t="e">
        <v>#N/A</v>
      </c>
    </row>
    <row r="367" spans="4:46">
      <c r="D367" t="e">
        <v>#N/A</v>
      </c>
      <c r="E367" t="s">
        <v>4308</v>
      </c>
      <c r="F367" t="s">
        <v>5299</v>
      </c>
      <c r="H367" t="s">
        <v>5219</v>
      </c>
      <c r="I367" t="s">
        <v>5220</v>
      </c>
      <c r="J367" t="s">
        <v>5223</v>
      </c>
      <c r="K367" t="e">
        <v>#N/A</v>
      </c>
      <c r="L367" t="e">
        <v>#N/A</v>
      </c>
      <c r="M367">
        <v>31</v>
      </c>
      <c r="O367">
        <v>71.721000000000004</v>
      </c>
      <c r="P367">
        <v>-161.78100000000001</v>
      </c>
      <c r="Q367">
        <v>-1.17</v>
      </c>
      <c r="R367">
        <v>32.17</v>
      </c>
      <c r="S367">
        <v>314.11200000000002</v>
      </c>
      <c r="W367">
        <v>3.7080000000000002</v>
      </c>
      <c r="X367">
        <v>6</v>
      </c>
      <c r="Y367">
        <v>7.72</v>
      </c>
      <c r="AA367">
        <v>1.56</v>
      </c>
      <c r="AB367">
        <v>24.56</v>
      </c>
      <c r="AE367">
        <v>2.4500000000000002</v>
      </c>
      <c r="AF367">
        <v>4.28</v>
      </c>
      <c r="AI367">
        <v>6</v>
      </c>
      <c r="AL367">
        <v>6.0225</v>
      </c>
      <c r="AT367" t="e">
        <v>#N/A</v>
      </c>
    </row>
    <row r="368" spans="4:46">
      <c r="D368" t="e">
        <v>#N/A</v>
      </c>
      <c r="E368" t="s">
        <v>4308</v>
      </c>
      <c r="F368" t="s">
        <v>5299</v>
      </c>
      <c r="H368" t="s">
        <v>5219</v>
      </c>
      <c r="I368" t="s">
        <v>5220</v>
      </c>
      <c r="J368" t="s">
        <v>5224</v>
      </c>
      <c r="K368" t="e">
        <v>#N/A</v>
      </c>
      <c r="L368" t="e">
        <v>#N/A</v>
      </c>
      <c r="M368">
        <v>36</v>
      </c>
      <c r="O368">
        <v>71.721000000000004</v>
      </c>
      <c r="P368">
        <v>-161.78100000000001</v>
      </c>
      <c r="Q368">
        <v>-1.07</v>
      </c>
      <c r="R368">
        <v>32.200000000000003</v>
      </c>
      <c r="S368">
        <v>306.30900000000003</v>
      </c>
      <c r="W368">
        <v>3.78</v>
      </c>
      <c r="X368">
        <v>2</v>
      </c>
      <c r="AI368">
        <v>2</v>
      </c>
      <c r="AL368">
        <v>1.2757000000000001</v>
      </c>
      <c r="AT368" t="e">
        <v>#N/A</v>
      </c>
    </row>
    <row r="369" spans="4:46">
      <c r="D369" t="e">
        <v>#N/A</v>
      </c>
      <c r="E369" t="s">
        <v>4308</v>
      </c>
      <c r="F369" t="s">
        <v>5299</v>
      </c>
      <c r="H369" t="s">
        <v>5219</v>
      </c>
      <c r="I369" t="s">
        <v>5220</v>
      </c>
      <c r="J369" t="s">
        <v>5225</v>
      </c>
      <c r="K369" t="e">
        <v>#N/A</v>
      </c>
      <c r="L369" t="e">
        <v>#N/A</v>
      </c>
      <c r="M369">
        <v>37</v>
      </c>
      <c r="O369">
        <v>71.721000000000004</v>
      </c>
      <c r="P369">
        <v>-161.78100000000001</v>
      </c>
      <c r="Q369">
        <v>-1.07</v>
      </c>
      <c r="R369">
        <v>32.200000000000003</v>
      </c>
      <c r="S369">
        <v>306.92</v>
      </c>
      <c r="W369">
        <v>3.1589999999999998</v>
      </c>
      <c r="X369">
        <v>1</v>
      </c>
      <c r="AI369">
        <v>1</v>
      </c>
      <c r="AL369">
        <v>0.57869999999999999</v>
      </c>
      <c r="AT369" t="e">
        <v>#N/A</v>
      </c>
    </row>
    <row r="370" spans="4:46">
      <c r="D370" t="e">
        <v>#N/A</v>
      </c>
      <c r="E370" t="s">
        <v>4308</v>
      </c>
      <c r="F370" t="s">
        <v>5299</v>
      </c>
      <c r="H370" t="s">
        <v>5219</v>
      </c>
      <c r="I370" t="s">
        <v>5220</v>
      </c>
      <c r="J370" t="s">
        <v>5225</v>
      </c>
      <c r="K370" t="e">
        <v>#N/A</v>
      </c>
      <c r="L370" t="e">
        <v>#N/A</v>
      </c>
      <c r="M370">
        <v>37</v>
      </c>
      <c r="O370">
        <v>71.721000000000004</v>
      </c>
      <c r="P370">
        <v>-161.78100000000001</v>
      </c>
      <c r="Q370">
        <v>-1.06</v>
      </c>
      <c r="R370">
        <v>32.200000000000003</v>
      </c>
      <c r="S370">
        <v>306.92</v>
      </c>
      <c r="W370">
        <v>3.1589999999999998</v>
      </c>
      <c r="X370">
        <v>3</v>
      </c>
      <c r="AI370">
        <v>3</v>
      </c>
      <c r="AL370">
        <v>0.57869999999999999</v>
      </c>
      <c r="AT370" t="e">
        <v>#N/A</v>
      </c>
    </row>
    <row r="371" spans="4:46">
      <c r="D371" t="e">
        <v>#N/A</v>
      </c>
      <c r="E371" t="s">
        <v>4308</v>
      </c>
      <c r="F371" t="s">
        <v>5299</v>
      </c>
      <c r="H371" t="s">
        <v>5219</v>
      </c>
      <c r="I371" t="s">
        <v>5220</v>
      </c>
      <c r="J371" t="s">
        <v>5225</v>
      </c>
      <c r="K371" t="e">
        <v>#N/A</v>
      </c>
      <c r="L371" t="e">
        <v>#N/A</v>
      </c>
      <c r="M371">
        <v>37</v>
      </c>
      <c r="O371">
        <v>71.721000000000004</v>
      </c>
      <c r="P371">
        <v>-161.78100000000001</v>
      </c>
      <c r="Q371">
        <v>-1.07</v>
      </c>
      <c r="R371">
        <v>32.19</v>
      </c>
      <c r="S371">
        <v>306.92</v>
      </c>
      <c r="W371">
        <v>3.1589999999999998</v>
      </c>
      <c r="X371">
        <v>4</v>
      </c>
      <c r="AI371">
        <v>4</v>
      </c>
      <c r="AL371">
        <v>0.57869999999999999</v>
      </c>
      <c r="AT371" t="e">
        <v>#N/A</v>
      </c>
    </row>
    <row r="372" spans="4:46">
      <c r="D372" t="e">
        <v>#N/A</v>
      </c>
      <c r="E372" t="s">
        <v>4308</v>
      </c>
      <c r="F372" t="s">
        <v>5299</v>
      </c>
      <c r="H372" t="s">
        <v>5219</v>
      </c>
      <c r="I372" t="s">
        <v>5220</v>
      </c>
      <c r="J372" t="s">
        <v>5225</v>
      </c>
      <c r="K372" t="e">
        <v>#N/A</v>
      </c>
      <c r="L372" t="e">
        <v>#N/A</v>
      </c>
      <c r="M372">
        <v>37</v>
      </c>
      <c r="O372">
        <v>71.721000000000004</v>
      </c>
      <c r="P372">
        <v>-161.78100000000001</v>
      </c>
      <c r="Q372">
        <v>-1.07</v>
      </c>
      <c r="R372">
        <v>32.200000000000003</v>
      </c>
      <c r="S372">
        <v>306.92</v>
      </c>
      <c r="W372">
        <v>3.1589999999999998</v>
      </c>
      <c r="X372">
        <v>5</v>
      </c>
      <c r="Y372">
        <v>9.84</v>
      </c>
      <c r="AA372">
        <v>1.22</v>
      </c>
      <c r="AB372">
        <v>22.78</v>
      </c>
      <c r="AE372">
        <v>3.02</v>
      </c>
      <c r="AF372">
        <v>4.28</v>
      </c>
      <c r="AI372">
        <v>5</v>
      </c>
      <c r="AL372">
        <v>0.57869999999999999</v>
      </c>
      <c r="AQ372">
        <v>-1.3280615019999999</v>
      </c>
      <c r="AT372" t="e">
        <v>#N/A</v>
      </c>
    </row>
    <row r="373" spans="4:46">
      <c r="D373" t="e">
        <v>#N/A</v>
      </c>
      <c r="E373" t="s">
        <v>4308</v>
      </c>
      <c r="F373" t="s">
        <v>5299</v>
      </c>
      <c r="H373" t="s">
        <v>5219</v>
      </c>
      <c r="I373" t="s">
        <v>5220</v>
      </c>
      <c r="J373" t="s">
        <v>5226</v>
      </c>
      <c r="K373" t="e">
        <v>#N/A</v>
      </c>
      <c r="L373" t="e">
        <v>#N/A</v>
      </c>
      <c r="M373">
        <v>5</v>
      </c>
      <c r="O373">
        <v>71.721000000000004</v>
      </c>
      <c r="P373">
        <v>-161.78100000000001</v>
      </c>
      <c r="Q373">
        <v>2.68</v>
      </c>
      <c r="R373">
        <v>30.41</v>
      </c>
      <c r="S373">
        <v>333.34</v>
      </c>
      <c r="W373">
        <v>1.087</v>
      </c>
      <c r="X373">
        <v>9</v>
      </c>
      <c r="Y373">
        <v>1.6040000000000001</v>
      </c>
      <c r="AA373">
        <v>0.42</v>
      </c>
      <c r="AB373">
        <v>8.5399999999999991</v>
      </c>
      <c r="AE373">
        <v>0.64</v>
      </c>
      <c r="AF373">
        <v>2.1800000000000002</v>
      </c>
      <c r="AI373">
        <v>9</v>
      </c>
      <c r="AL373">
        <v>89.434100000000001</v>
      </c>
      <c r="AQ373">
        <v>-1.7718582540000001</v>
      </c>
      <c r="AT373" t="e">
        <v>#N/A</v>
      </c>
    </row>
    <row r="374" spans="4:46">
      <c r="D374" t="e">
        <v>#N/A</v>
      </c>
      <c r="E374" t="s">
        <v>4308</v>
      </c>
      <c r="F374" t="s">
        <v>5299</v>
      </c>
      <c r="H374" t="s">
        <v>5219</v>
      </c>
      <c r="I374" t="s">
        <v>5220</v>
      </c>
      <c r="J374" t="s">
        <v>5226</v>
      </c>
      <c r="K374" t="e">
        <v>#N/A</v>
      </c>
      <c r="L374" t="e">
        <v>#N/A</v>
      </c>
      <c r="M374">
        <v>5</v>
      </c>
      <c r="O374">
        <v>71.721000000000004</v>
      </c>
      <c r="P374">
        <v>-161.78100000000001</v>
      </c>
      <c r="Q374">
        <v>2.68</v>
      </c>
      <c r="R374">
        <v>30.4</v>
      </c>
      <c r="S374">
        <v>333.34</v>
      </c>
      <c r="W374">
        <v>1.087</v>
      </c>
      <c r="X374">
        <v>10</v>
      </c>
      <c r="AI374">
        <v>10</v>
      </c>
      <c r="AL374">
        <v>89.434100000000001</v>
      </c>
      <c r="AT374" t="e">
        <v>#N/A</v>
      </c>
    </row>
    <row r="375" spans="4:46">
      <c r="D375" t="e">
        <v>#N/A</v>
      </c>
      <c r="E375" t="s">
        <v>4308</v>
      </c>
      <c r="F375" t="s">
        <v>4663</v>
      </c>
      <c r="H375" t="s">
        <v>4664</v>
      </c>
      <c r="I375" t="s">
        <v>4989</v>
      </c>
      <c r="J375" t="s">
        <v>5215</v>
      </c>
      <c r="K375" t="e">
        <v>#N/A</v>
      </c>
      <c r="L375" t="e">
        <v>#N/A</v>
      </c>
      <c r="M375">
        <v>10</v>
      </c>
      <c r="O375">
        <v>71.602999999999994</v>
      </c>
      <c r="P375">
        <v>-162.202</v>
      </c>
      <c r="Q375">
        <v>2.27</v>
      </c>
      <c r="R375">
        <v>30.79</v>
      </c>
      <c r="S375">
        <v>328.911</v>
      </c>
      <c r="W375">
        <v>1.891</v>
      </c>
      <c r="X375">
        <v>4</v>
      </c>
      <c r="Y375">
        <v>3.2080000000000002</v>
      </c>
      <c r="AA375">
        <v>0.56999999999999995</v>
      </c>
      <c r="AB375">
        <v>9.9600000000000009</v>
      </c>
      <c r="AE375">
        <v>0.55000000000000004</v>
      </c>
      <c r="AF375">
        <v>1.24</v>
      </c>
      <c r="AI375">
        <v>4</v>
      </c>
      <c r="AL375">
        <v>76.511600000000001</v>
      </c>
      <c r="AT375" t="e">
        <v>#N/A</v>
      </c>
    </row>
    <row r="376" spans="4:46">
      <c r="D376" t="e">
        <v>#N/A</v>
      </c>
      <c r="E376" t="s">
        <v>4308</v>
      </c>
      <c r="F376" t="s">
        <v>4663</v>
      </c>
      <c r="H376" t="s">
        <v>4664</v>
      </c>
      <c r="I376" t="s">
        <v>4989</v>
      </c>
      <c r="J376" t="s">
        <v>5216</v>
      </c>
      <c r="K376" t="e">
        <v>#N/A</v>
      </c>
      <c r="L376" t="e">
        <v>#N/A</v>
      </c>
      <c r="M376">
        <v>20</v>
      </c>
      <c r="O376">
        <v>71.602999999999994</v>
      </c>
      <c r="P376">
        <v>-162.202</v>
      </c>
      <c r="Q376">
        <v>2.12</v>
      </c>
      <c r="R376">
        <v>30.81</v>
      </c>
      <c r="S376">
        <v>328.637</v>
      </c>
      <c r="W376">
        <v>2.0169999999999999</v>
      </c>
      <c r="X376">
        <v>3</v>
      </c>
      <c r="Y376">
        <v>3.86</v>
      </c>
      <c r="AA376">
        <v>0.51</v>
      </c>
      <c r="AB376">
        <v>12.46</v>
      </c>
      <c r="AE376">
        <v>0.72</v>
      </c>
      <c r="AF376">
        <v>1.79</v>
      </c>
      <c r="AI376">
        <v>3</v>
      </c>
      <c r="AL376">
        <v>71.890500000000003</v>
      </c>
      <c r="AT376" t="e">
        <v>#N/A</v>
      </c>
    </row>
    <row r="377" spans="4:46">
      <c r="D377" t="e">
        <v>#N/A</v>
      </c>
      <c r="E377" t="s">
        <v>4308</v>
      </c>
      <c r="F377" t="s">
        <v>4663</v>
      </c>
      <c r="H377" t="s">
        <v>4664</v>
      </c>
      <c r="I377" t="s">
        <v>4989</v>
      </c>
      <c r="J377" t="s">
        <v>5217</v>
      </c>
      <c r="K377" t="e">
        <v>#N/A</v>
      </c>
      <c r="L377" t="e">
        <v>#N/A</v>
      </c>
      <c r="M377">
        <v>31</v>
      </c>
      <c r="O377">
        <v>71.602999999999994</v>
      </c>
      <c r="P377">
        <v>-162.202</v>
      </c>
      <c r="Q377">
        <v>-0.42</v>
      </c>
      <c r="R377">
        <v>31.94</v>
      </c>
      <c r="S377">
        <v>314.52100000000002</v>
      </c>
      <c r="W377">
        <v>1.8169999999999999</v>
      </c>
      <c r="X377">
        <v>2</v>
      </c>
      <c r="Y377">
        <v>4.5199999999999996</v>
      </c>
      <c r="AA377">
        <v>0.96</v>
      </c>
      <c r="AB377">
        <v>19.93</v>
      </c>
      <c r="AE377">
        <v>1.95</v>
      </c>
      <c r="AF377">
        <v>4.03</v>
      </c>
      <c r="AI377">
        <v>2</v>
      </c>
      <c r="AL377">
        <v>34.042999999999999</v>
      </c>
      <c r="AT377" t="e">
        <v>#N/A</v>
      </c>
    </row>
    <row r="378" spans="4:46">
      <c r="D378" t="e">
        <v>#N/A</v>
      </c>
      <c r="E378" t="s">
        <v>4308</v>
      </c>
      <c r="F378" t="s">
        <v>4675</v>
      </c>
      <c r="H378" t="s">
        <v>4676</v>
      </c>
      <c r="I378" t="s">
        <v>5009</v>
      </c>
      <c r="J378" t="s">
        <v>5257</v>
      </c>
      <c r="K378" t="e">
        <v>#N/A</v>
      </c>
      <c r="L378" t="e">
        <v>#N/A</v>
      </c>
      <c r="M378">
        <v>13</v>
      </c>
      <c r="O378">
        <v>71.483000000000004</v>
      </c>
      <c r="P378">
        <v>-162.60400000000001</v>
      </c>
      <c r="Q378">
        <v>4.4000000000000004</v>
      </c>
      <c r="R378">
        <v>31.11</v>
      </c>
      <c r="S378">
        <v>302.19</v>
      </c>
      <c r="W378">
        <v>0.92900000000000005</v>
      </c>
      <c r="X378">
        <v>4</v>
      </c>
      <c r="Y378">
        <v>1.3520000000000001</v>
      </c>
      <c r="AA378">
        <v>0.64</v>
      </c>
      <c r="AB378">
        <v>8.5399999999999991</v>
      </c>
      <c r="AE378">
        <v>0.74</v>
      </c>
      <c r="AF378">
        <v>0.28000000000000003</v>
      </c>
      <c r="AI378">
        <v>4</v>
      </c>
      <c r="AL378">
        <v>88.575400000000002</v>
      </c>
      <c r="AT378" t="e">
        <v>#N/A</v>
      </c>
    </row>
    <row r="379" spans="4:46">
      <c r="D379" t="e">
        <v>#N/A</v>
      </c>
      <c r="E379" t="s">
        <v>4308</v>
      </c>
      <c r="F379" t="s">
        <v>4675</v>
      </c>
      <c r="H379" t="s">
        <v>4676</v>
      </c>
      <c r="I379" t="s">
        <v>5009</v>
      </c>
      <c r="J379" t="s">
        <v>5258</v>
      </c>
      <c r="K379" t="e">
        <v>#N/A</v>
      </c>
      <c r="L379" t="e">
        <v>#N/A</v>
      </c>
      <c r="M379">
        <v>20</v>
      </c>
      <c r="O379">
        <v>71.483000000000004</v>
      </c>
      <c r="P379">
        <v>-162.60400000000001</v>
      </c>
      <c r="Q379">
        <v>4.4800000000000004</v>
      </c>
      <c r="R379">
        <v>31.19</v>
      </c>
      <c r="S379">
        <v>299.53899999999999</v>
      </c>
      <c r="W379">
        <v>1.129</v>
      </c>
      <c r="X379">
        <v>3</v>
      </c>
      <c r="Y379">
        <v>1.544</v>
      </c>
      <c r="AA379">
        <v>0.76</v>
      </c>
      <c r="AB379">
        <v>9.25</v>
      </c>
      <c r="AE379">
        <v>0.64</v>
      </c>
      <c r="AF379">
        <v>0.36</v>
      </c>
      <c r="AI379">
        <v>3</v>
      </c>
      <c r="AL379">
        <v>89.061000000000007</v>
      </c>
      <c r="AT379" t="e">
        <v>#N/A</v>
      </c>
    </row>
    <row r="380" spans="4:46">
      <c r="D380" t="e">
        <v>#N/A</v>
      </c>
      <c r="E380" t="s">
        <v>4308</v>
      </c>
      <c r="F380" t="s">
        <v>4675</v>
      </c>
      <c r="H380" t="s">
        <v>4676</v>
      </c>
      <c r="I380" t="s">
        <v>5009</v>
      </c>
      <c r="J380" t="s">
        <v>5259</v>
      </c>
      <c r="K380" t="e">
        <v>#N/A</v>
      </c>
      <c r="L380" t="e">
        <v>#N/A</v>
      </c>
      <c r="M380">
        <v>29</v>
      </c>
      <c r="O380">
        <v>71.483000000000004</v>
      </c>
      <c r="P380">
        <v>-162.60400000000001</v>
      </c>
      <c r="Q380">
        <v>3.59</v>
      </c>
      <c r="R380">
        <v>31.57</v>
      </c>
      <c r="S380">
        <v>283.21699999999998</v>
      </c>
      <c r="W380">
        <v>0.76300000000000001</v>
      </c>
      <c r="X380">
        <v>2</v>
      </c>
      <c r="Y380">
        <v>1.452</v>
      </c>
      <c r="AA380">
        <v>0.68</v>
      </c>
      <c r="AB380">
        <v>11.03</v>
      </c>
      <c r="AE380">
        <v>1.49</v>
      </c>
      <c r="AF380">
        <v>1.01</v>
      </c>
      <c r="AI380">
        <v>2</v>
      </c>
      <c r="AL380">
        <v>75.592699999999994</v>
      </c>
      <c r="AT380" t="e">
        <v>#N/A</v>
      </c>
    </row>
    <row r="381" spans="4:46">
      <c r="D381" t="e">
        <v>#N/A</v>
      </c>
      <c r="E381" t="s">
        <v>4308</v>
      </c>
      <c r="F381" t="s">
        <v>5300</v>
      </c>
      <c r="H381" t="s">
        <v>5250</v>
      </c>
      <c r="I381" t="s">
        <v>5251</v>
      </c>
      <c r="J381" t="s">
        <v>5252</v>
      </c>
      <c r="K381" t="e">
        <v>#N/A</v>
      </c>
      <c r="L381" t="e">
        <v>#N/A</v>
      </c>
      <c r="M381">
        <v>10</v>
      </c>
      <c r="O381">
        <v>71.363</v>
      </c>
      <c r="P381">
        <v>-163.00700000000001</v>
      </c>
      <c r="Q381">
        <v>4.72</v>
      </c>
      <c r="R381">
        <v>31.3</v>
      </c>
      <c r="S381">
        <v>297.77800000000002</v>
      </c>
      <c r="W381">
        <v>0.83799999999999997</v>
      </c>
      <c r="X381">
        <v>4</v>
      </c>
      <c r="Y381">
        <v>1.228</v>
      </c>
      <c r="AA381">
        <v>0.72</v>
      </c>
      <c r="AB381">
        <v>8.9</v>
      </c>
      <c r="AE381">
        <v>1.01</v>
      </c>
      <c r="AF381">
        <v>0.66</v>
      </c>
      <c r="AI381">
        <v>4</v>
      </c>
      <c r="AL381">
        <v>87.267600000000002</v>
      </c>
      <c r="AQ381">
        <v>-1.3280615019999999</v>
      </c>
      <c r="AT381" t="e">
        <v>#N/A</v>
      </c>
    </row>
    <row r="382" spans="4:46">
      <c r="D382" t="e">
        <v>#N/A</v>
      </c>
      <c r="E382" t="s">
        <v>4308</v>
      </c>
      <c r="F382" t="s">
        <v>5300</v>
      </c>
      <c r="H382" t="s">
        <v>5250</v>
      </c>
      <c r="I382" t="s">
        <v>5251</v>
      </c>
      <c r="J382" t="s">
        <v>5253</v>
      </c>
      <c r="K382" t="e">
        <v>#N/A</v>
      </c>
      <c r="L382" t="e">
        <v>#N/A</v>
      </c>
      <c r="M382">
        <v>21</v>
      </c>
      <c r="O382">
        <v>71.363</v>
      </c>
      <c r="P382">
        <v>-163.00700000000001</v>
      </c>
      <c r="Q382">
        <v>4.72</v>
      </c>
      <c r="R382">
        <v>31.32</v>
      </c>
      <c r="S382">
        <v>297.916</v>
      </c>
      <c r="W382">
        <v>0.91700000000000004</v>
      </c>
      <c r="X382">
        <v>3</v>
      </c>
      <c r="Y382">
        <v>1.1040000000000001</v>
      </c>
      <c r="AA382">
        <v>0.63</v>
      </c>
      <c r="AB382">
        <v>8.9</v>
      </c>
      <c r="AE382">
        <v>0.97</v>
      </c>
      <c r="AF382">
        <v>0.73</v>
      </c>
      <c r="AI382">
        <v>3</v>
      </c>
      <c r="AL382">
        <v>87.802300000000002</v>
      </c>
      <c r="AQ382">
        <v>-1.690106221</v>
      </c>
      <c r="AT382" t="e">
        <v>#N/A</v>
      </c>
    </row>
    <row r="383" spans="4:46">
      <c r="D383" t="e">
        <v>#N/A</v>
      </c>
      <c r="E383" t="s">
        <v>4308</v>
      </c>
      <c r="F383" t="s">
        <v>5300</v>
      </c>
      <c r="H383" t="s">
        <v>5250</v>
      </c>
      <c r="I383" t="s">
        <v>5251</v>
      </c>
      <c r="J383" t="s">
        <v>5254</v>
      </c>
      <c r="K383" t="e">
        <v>#N/A</v>
      </c>
      <c r="L383" t="e">
        <v>#N/A</v>
      </c>
      <c r="M383">
        <v>29</v>
      </c>
      <c r="O383">
        <v>71.363</v>
      </c>
      <c r="P383">
        <v>-163.00700000000001</v>
      </c>
      <c r="Q383">
        <v>4.68</v>
      </c>
      <c r="R383">
        <v>31.34</v>
      </c>
      <c r="S383">
        <v>297.26400000000001</v>
      </c>
      <c r="W383">
        <v>0.68100000000000005</v>
      </c>
      <c r="X383">
        <v>2</v>
      </c>
      <c r="Y383">
        <v>1.304</v>
      </c>
      <c r="AA383">
        <v>0.56000000000000005</v>
      </c>
      <c r="AB383">
        <v>8.5399999999999991</v>
      </c>
      <c r="AE383">
        <v>0.97</v>
      </c>
      <c r="AF383">
        <v>0.61</v>
      </c>
      <c r="AI383">
        <v>2</v>
      </c>
      <c r="AL383">
        <v>85.851900000000001</v>
      </c>
      <c r="AQ383">
        <v>-1.2857256269999999</v>
      </c>
      <c r="AT383" t="e">
        <v>#N/A</v>
      </c>
    </row>
    <row r="384" spans="4:46">
      <c r="D384" t="e">
        <v>#N/A</v>
      </c>
      <c r="E384" t="s">
        <v>4308</v>
      </c>
      <c r="F384" t="s">
        <v>5300</v>
      </c>
      <c r="H384" t="s">
        <v>5250</v>
      </c>
      <c r="I384" t="s">
        <v>5251</v>
      </c>
      <c r="J384" t="s">
        <v>5255</v>
      </c>
      <c r="K384" t="e">
        <v>#N/A</v>
      </c>
      <c r="L384" t="e">
        <v>#N/A</v>
      </c>
      <c r="M384">
        <v>38</v>
      </c>
      <c r="O384">
        <v>71.363</v>
      </c>
      <c r="P384">
        <v>-163.00700000000001</v>
      </c>
      <c r="Q384">
        <v>1.23</v>
      </c>
      <c r="R384">
        <v>32.06</v>
      </c>
      <c r="S384">
        <v>287.53100000000001</v>
      </c>
      <c r="W384">
        <v>0.92400000000000004</v>
      </c>
      <c r="X384">
        <v>1</v>
      </c>
      <c r="Y384">
        <v>2.3039999999999998</v>
      </c>
      <c r="AA384">
        <v>1.71</v>
      </c>
      <c r="AB384">
        <v>23.49</v>
      </c>
      <c r="AE384">
        <v>3.23</v>
      </c>
      <c r="AF384">
        <v>1.36</v>
      </c>
      <c r="AI384">
        <v>1</v>
      </c>
      <c r="AL384">
        <v>3.1642999999999999</v>
      </c>
      <c r="AQ384">
        <v>-1.453609267</v>
      </c>
      <c r="AT384" t="e">
        <v>#N/A</v>
      </c>
    </row>
    <row r="385" spans="4:46">
      <c r="D385" t="e">
        <v>#N/A</v>
      </c>
      <c r="E385" t="s">
        <v>4308</v>
      </c>
      <c r="F385" t="s">
        <v>5300</v>
      </c>
      <c r="H385" t="s">
        <v>5250</v>
      </c>
      <c r="I385" t="s">
        <v>5251</v>
      </c>
      <c r="J385" t="s">
        <v>5256</v>
      </c>
      <c r="K385" t="e">
        <v>#N/A</v>
      </c>
      <c r="L385" t="e">
        <v>#N/A</v>
      </c>
      <c r="M385">
        <v>5</v>
      </c>
      <c r="O385">
        <v>71.363</v>
      </c>
      <c r="P385">
        <v>-163.00700000000001</v>
      </c>
      <c r="Q385">
        <v>4.72</v>
      </c>
      <c r="R385">
        <v>31.3</v>
      </c>
      <c r="S385">
        <v>297.44499999999999</v>
      </c>
      <c r="W385">
        <v>0.79900000000000004</v>
      </c>
      <c r="X385">
        <v>5</v>
      </c>
      <c r="Y385">
        <v>1.3</v>
      </c>
      <c r="AA385">
        <v>0.55000000000000004</v>
      </c>
      <c r="AB385">
        <v>8.5399999999999991</v>
      </c>
      <c r="AE385">
        <v>1.07</v>
      </c>
      <c r="AF385">
        <v>0.79</v>
      </c>
      <c r="AI385">
        <v>5</v>
      </c>
      <c r="AL385">
        <v>87.289199999999994</v>
      </c>
      <c r="AQ385">
        <v>-1.1879151590000001</v>
      </c>
      <c r="AT385" t="e">
        <v>#N/A</v>
      </c>
    </row>
    <row r="386" spans="4:46">
      <c r="D386" t="e">
        <v>#N/A</v>
      </c>
      <c r="E386" t="s">
        <v>4308</v>
      </c>
      <c r="F386" t="s">
        <v>4669</v>
      </c>
      <c r="H386" t="s">
        <v>4670</v>
      </c>
      <c r="I386" t="s">
        <v>5005</v>
      </c>
      <c r="J386" t="s">
        <v>5246</v>
      </c>
      <c r="K386" t="e">
        <v>#N/A</v>
      </c>
      <c r="L386" t="e">
        <v>#N/A</v>
      </c>
      <c r="M386">
        <v>21</v>
      </c>
      <c r="O386">
        <v>71.241</v>
      </c>
      <c r="P386">
        <v>-163.404</v>
      </c>
      <c r="Q386">
        <v>4.41</v>
      </c>
      <c r="R386">
        <v>31.65</v>
      </c>
      <c r="S386">
        <v>295.63600000000002</v>
      </c>
      <c r="W386">
        <v>0.86499999999999999</v>
      </c>
      <c r="X386">
        <v>3</v>
      </c>
      <c r="Y386">
        <v>0.29099999999999998</v>
      </c>
      <c r="AA386">
        <v>0.66</v>
      </c>
      <c r="AB386">
        <v>10.32</v>
      </c>
      <c r="AE386">
        <v>1.35</v>
      </c>
      <c r="AF386">
        <v>1.52</v>
      </c>
      <c r="AI386">
        <v>3</v>
      </c>
      <c r="AL386">
        <v>76.454999999999998</v>
      </c>
      <c r="AT386" t="e">
        <v>#N/A</v>
      </c>
    </row>
    <row r="387" spans="4:46">
      <c r="D387" t="e">
        <v>#N/A</v>
      </c>
      <c r="E387" t="s">
        <v>4308</v>
      </c>
      <c r="F387" t="s">
        <v>4669</v>
      </c>
      <c r="H387" t="s">
        <v>4670</v>
      </c>
      <c r="I387" t="s">
        <v>5005</v>
      </c>
      <c r="J387" t="s">
        <v>5247</v>
      </c>
      <c r="K387" t="e">
        <v>#N/A</v>
      </c>
      <c r="L387" t="e">
        <v>#N/A</v>
      </c>
      <c r="M387">
        <v>29</v>
      </c>
      <c r="O387">
        <v>71.241</v>
      </c>
      <c r="P387">
        <v>-163.404</v>
      </c>
      <c r="Q387">
        <v>4.42</v>
      </c>
      <c r="R387">
        <v>31.65</v>
      </c>
      <c r="S387">
        <v>294.89400000000001</v>
      </c>
      <c r="W387">
        <v>0.85499999999999998</v>
      </c>
      <c r="X387">
        <v>2</v>
      </c>
      <c r="Y387">
        <v>0.30599999999999999</v>
      </c>
      <c r="AA387">
        <v>1.01</v>
      </c>
      <c r="AB387">
        <v>8.5399999999999991</v>
      </c>
      <c r="AE387">
        <v>1.56</v>
      </c>
      <c r="AF387">
        <v>1.29</v>
      </c>
      <c r="AI387">
        <v>2</v>
      </c>
      <c r="AL387">
        <v>75.992099999999994</v>
      </c>
      <c r="AT387" t="e">
        <v>#N/A</v>
      </c>
    </row>
    <row r="388" spans="4:46">
      <c r="D388" t="e">
        <v>#N/A</v>
      </c>
      <c r="E388" t="s">
        <v>4308</v>
      </c>
      <c r="F388" t="s">
        <v>4669</v>
      </c>
      <c r="H388" t="s">
        <v>4670</v>
      </c>
      <c r="I388" t="s">
        <v>5005</v>
      </c>
      <c r="J388" t="s">
        <v>5248</v>
      </c>
      <c r="K388" t="e">
        <v>#N/A</v>
      </c>
      <c r="L388" t="e">
        <v>#N/A</v>
      </c>
      <c r="M388">
        <v>9</v>
      </c>
      <c r="O388">
        <v>71.241</v>
      </c>
      <c r="P388">
        <v>-163.404</v>
      </c>
      <c r="Q388">
        <v>4.42</v>
      </c>
      <c r="R388">
        <v>31.65</v>
      </c>
      <c r="S388">
        <v>294.79199999999997</v>
      </c>
      <c r="W388">
        <v>0.86599999999999999</v>
      </c>
      <c r="X388">
        <v>4</v>
      </c>
      <c r="Y388">
        <v>0.2</v>
      </c>
      <c r="AA388">
        <v>0.67</v>
      </c>
      <c r="AB388">
        <v>8.9</v>
      </c>
      <c r="AE388">
        <v>1.26</v>
      </c>
      <c r="AF388">
        <v>1.17</v>
      </c>
      <c r="AI388">
        <v>4</v>
      </c>
      <c r="AL388">
        <v>76.553299999999993</v>
      </c>
      <c r="AT388" t="e">
        <v>#N/A</v>
      </c>
    </row>
    <row r="389" spans="4:46">
      <c r="D389" t="e">
        <v>#N/A</v>
      </c>
      <c r="E389" t="s">
        <v>4308</v>
      </c>
      <c r="F389" t="s">
        <v>4704</v>
      </c>
      <c r="H389" t="s">
        <v>4705</v>
      </c>
      <c r="I389" t="s">
        <v>5002</v>
      </c>
      <c r="J389" t="s">
        <v>5242</v>
      </c>
      <c r="K389" t="e">
        <v>#N/A</v>
      </c>
      <c r="L389" t="e">
        <v>#N/A</v>
      </c>
      <c r="M389">
        <v>10</v>
      </c>
      <c r="O389">
        <v>71.117999999999995</v>
      </c>
      <c r="P389">
        <v>-163.80600000000001</v>
      </c>
      <c r="Q389">
        <v>4.29</v>
      </c>
      <c r="R389">
        <v>31.85</v>
      </c>
      <c r="S389">
        <v>296.73899999999998</v>
      </c>
      <c r="W389">
        <v>0.95699999999999996</v>
      </c>
      <c r="X389">
        <v>4</v>
      </c>
      <c r="Y389">
        <v>1.044</v>
      </c>
      <c r="AA389">
        <v>0.66</v>
      </c>
      <c r="AB389">
        <v>10.68</v>
      </c>
      <c r="AE389">
        <v>1.41</v>
      </c>
      <c r="AF389">
        <v>1.1000000000000001</v>
      </c>
      <c r="AI389">
        <v>4</v>
      </c>
      <c r="AL389">
        <v>60.268000000000001</v>
      </c>
      <c r="AT389" t="e">
        <v>#N/A</v>
      </c>
    </row>
    <row r="390" spans="4:46">
      <c r="D390" t="e">
        <v>#N/A</v>
      </c>
      <c r="E390" t="s">
        <v>4308</v>
      </c>
      <c r="F390" t="s">
        <v>4704</v>
      </c>
      <c r="H390" t="s">
        <v>4705</v>
      </c>
      <c r="I390" t="s">
        <v>5002</v>
      </c>
      <c r="J390" t="s">
        <v>5243</v>
      </c>
      <c r="K390" t="e">
        <v>#N/A</v>
      </c>
      <c r="L390" t="e">
        <v>#N/A</v>
      </c>
      <c r="M390">
        <v>2</v>
      </c>
      <c r="O390">
        <v>71.117999999999995</v>
      </c>
      <c r="P390">
        <v>-163.80600000000001</v>
      </c>
      <c r="Q390">
        <v>4.29</v>
      </c>
      <c r="R390">
        <v>31.85</v>
      </c>
      <c r="S390">
        <v>296.84199999999998</v>
      </c>
      <c r="W390">
        <v>0.91600000000000004</v>
      </c>
      <c r="X390">
        <v>6</v>
      </c>
      <c r="AI390">
        <v>6</v>
      </c>
      <c r="AL390">
        <v>60.367800000000003</v>
      </c>
      <c r="AQ390">
        <v>-1.2824103609999999</v>
      </c>
      <c r="AT390" t="e">
        <v>#N/A</v>
      </c>
    </row>
    <row r="391" spans="4:46">
      <c r="D391" t="e">
        <v>#N/A</v>
      </c>
      <c r="E391" t="s">
        <v>4308</v>
      </c>
      <c r="F391" t="s">
        <v>4704</v>
      </c>
      <c r="H391" t="s">
        <v>4705</v>
      </c>
      <c r="I391" t="s">
        <v>5002</v>
      </c>
      <c r="J391" t="s">
        <v>5244</v>
      </c>
      <c r="K391" t="e">
        <v>#N/A</v>
      </c>
      <c r="L391" t="e">
        <v>#N/A</v>
      </c>
      <c r="M391">
        <v>20</v>
      </c>
      <c r="O391">
        <v>71.117999999999995</v>
      </c>
      <c r="P391">
        <v>-163.80600000000001</v>
      </c>
      <c r="Q391">
        <v>4.2699999999999996</v>
      </c>
      <c r="R391">
        <v>31.85</v>
      </c>
      <c r="S391">
        <v>295.44799999999998</v>
      </c>
      <c r="W391">
        <v>0.81599999999999995</v>
      </c>
      <c r="X391">
        <v>3</v>
      </c>
      <c r="Y391">
        <v>1.1559999999999999</v>
      </c>
      <c r="AA391">
        <v>1.23</v>
      </c>
      <c r="AB391">
        <v>10.68</v>
      </c>
      <c r="AE391">
        <v>1.78</v>
      </c>
      <c r="AF391">
        <v>1.43</v>
      </c>
      <c r="AI391">
        <v>3</v>
      </c>
      <c r="AL391">
        <v>58.308</v>
      </c>
      <c r="AT391" t="e">
        <v>#N/A</v>
      </c>
    </row>
    <row r="392" spans="4:46">
      <c r="D392" t="e">
        <v>#N/A</v>
      </c>
      <c r="E392" t="s">
        <v>4308</v>
      </c>
      <c r="F392" t="s">
        <v>4704</v>
      </c>
      <c r="H392" t="s">
        <v>4705</v>
      </c>
      <c r="I392" t="s">
        <v>5002</v>
      </c>
      <c r="J392" t="s">
        <v>5245</v>
      </c>
      <c r="K392" t="e">
        <v>#N/A</v>
      </c>
      <c r="L392" t="e">
        <v>#N/A</v>
      </c>
      <c r="M392">
        <v>30</v>
      </c>
      <c r="O392">
        <v>71.117999999999995</v>
      </c>
      <c r="P392">
        <v>-163.80600000000001</v>
      </c>
      <c r="Q392">
        <v>4.26</v>
      </c>
      <c r="R392">
        <v>31.86</v>
      </c>
      <c r="S392">
        <v>294.43599999999998</v>
      </c>
      <c r="W392">
        <v>0.76400000000000001</v>
      </c>
      <c r="X392">
        <v>2</v>
      </c>
      <c r="Y392">
        <v>1.208</v>
      </c>
      <c r="AA392">
        <v>0.71</v>
      </c>
      <c r="AB392">
        <v>10.68</v>
      </c>
      <c r="AE392">
        <v>1.54</v>
      </c>
      <c r="AF392">
        <v>1.18</v>
      </c>
      <c r="AI392">
        <v>2</v>
      </c>
      <c r="AL392">
        <v>53.1723</v>
      </c>
      <c r="AT392" t="e">
        <v>#N/A</v>
      </c>
    </row>
    <row r="393" spans="4:46">
      <c r="D393" t="e">
        <v>#N/A</v>
      </c>
      <c r="E393" t="s">
        <v>4308</v>
      </c>
      <c r="F393" t="s">
        <v>4698</v>
      </c>
      <c r="H393" t="s">
        <v>4699</v>
      </c>
      <c r="I393" t="s">
        <v>4999</v>
      </c>
      <c r="J393" t="s">
        <v>5239</v>
      </c>
      <c r="K393" t="e">
        <v>#N/A</v>
      </c>
      <c r="L393" t="e">
        <v>#N/A</v>
      </c>
      <c r="M393">
        <v>10</v>
      </c>
      <c r="O393">
        <v>71.147000000000006</v>
      </c>
      <c r="P393">
        <v>-164.48599999999999</v>
      </c>
      <c r="Q393">
        <v>4.09</v>
      </c>
      <c r="R393">
        <v>31.91</v>
      </c>
      <c r="S393">
        <v>299.74400000000003</v>
      </c>
      <c r="W393">
        <v>1.0069999999999999</v>
      </c>
      <c r="X393">
        <v>4</v>
      </c>
      <c r="Y393">
        <v>1.6479999999999999</v>
      </c>
      <c r="AA393">
        <v>0.79</v>
      </c>
      <c r="AB393">
        <v>11.03</v>
      </c>
      <c r="AE393">
        <v>1.64</v>
      </c>
      <c r="AF393">
        <v>1.61</v>
      </c>
      <c r="AI393">
        <v>4</v>
      </c>
      <c r="AL393">
        <v>54.614400000000003</v>
      </c>
      <c r="AT393" t="e">
        <v>#N/A</v>
      </c>
    </row>
    <row r="394" spans="4:46">
      <c r="D394" t="e">
        <v>#N/A</v>
      </c>
      <c r="E394" t="s">
        <v>4308</v>
      </c>
      <c r="F394" t="s">
        <v>4698</v>
      </c>
      <c r="H394" t="s">
        <v>4699</v>
      </c>
      <c r="I394" t="s">
        <v>4999</v>
      </c>
      <c r="J394" t="s">
        <v>5240</v>
      </c>
      <c r="K394" t="e">
        <v>#N/A</v>
      </c>
      <c r="L394" t="e">
        <v>#N/A</v>
      </c>
      <c r="M394">
        <v>20</v>
      </c>
      <c r="O394">
        <v>71.147000000000006</v>
      </c>
      <c r="P394">
        <v>-164.48599999999999</v>
      </c>
      <c r="Q394">
        <v>4.09</v>
      </c>
      <c r="R394">
        <v>31.91</v>
      </c>
      <c r="S394">
        <v>300.02100000000002</v>
      </c>
      <c r="W394">
        <v>1.0169999999999999</v>
      </c>
      <c r="X394">
        <v>3</v>
      </c>
      <c r="Y394">
        <v>1.5840000000000001</v>
      </c>
      <c r="AA394">
        <v>0.75</v>
      </c>
      <c r="AB394">
        <v>12.1</v>
      </c>
      <c r="AE394">
        <v>1.51</v>
      </c>
      <c r="AF394">
        <v>1.37</v>
      </c>
      <c r="AI394">
        <v>3</v>
      </c>
      <c r="AL394">
        <v>54.3523</v>
      </c>
      <c r="AT394" t="e">
        <v>#N/A</v>
      </c>
    </row>
    <row r="395" spans="4:46">
      <c r="D395" t="e">
        <v>#N/A</v>
      </c>
      <c r="E395" t="s">
        <v>4308</v>
      </c>
      <c r="F395" t="s">
        <v>4698</v>
      </c>
      <c r="H395" t="s">
        <v>4699</v>
      </c>
      <c r="I395" t="s">
        <v>4999</v>
      </c>
      <c r="J395" t="s">
        <v>5241</v>
      </c>
      <c r="K395" t="e">
        <v>#N/A</v>
      </c>
      <c r="L395" t="e">
        <v>#N/A</v>
      </c>
      <c r="M395">
        <v>30</v>
      </c>
      <c r="O395">
        <v>71.147000000000006</v>
      </c>
      <c r="P395">
        <v>-164.48599999999999</v>
      </c>
      <c r="Q395">
        <v>4.09</v>
      </c>
      <c r="R395">
        <v>31.91</v>
      </c>
      <c r="S395">
        <v>299.89999999999998</v>
      </c>
      <c r="W395">
        <v>1.0089999999999999</v>
      </c>
      <c r="X395">
        <v>2</v>
      </c>
      <c r="Y395">
        <v>1.8120000000000001</v>
      </c>
      <c r="AA395">
        <v>0.69</v>
      </c>
      <c r="AB395">
        <v>11.39</v>
      </c>
      <c r="AE395">
        <v>1.67</v>
      </c>
      <c r="AF395">
        <v>1.55</v>
      </c>
      <c r="AI395">
        <v>2</v>
      </c>
      <c r="AL395">
        <v>54.925699999999999</v>
      </c>
      <c r="AT395" t="e">
        <v>#N/A</v>
      </c>
    </row>
    <row r="396" spans="4:46">
      <c r="D396" t="e">
        <v>#N/A</v>
      </c>
      <c r="E396" t="s">
        <v>4308</v>
      </c>
      <c r="F396" t="s">
        <v>4693</v>
      </c>
      <c r="H396" t="s">
        <v>4694</v>
      </c>
      <c r="I396" t="s">
        <v>4996</v>
      </c>
      <c r="J396" t="s">
        <v>5236</v>
      </c>
      <c r="K396" t="e">
        <v>#N/A</v>
      </c>
      <c r="L396" t="e">
        <v>#N/A</v>
      </c>
      <c r="M396">
        <v>10</v>
      </c>
      <c r="O396">
        <v>71.022999999999996</v>
      </c>
      <c r="P396">
        <v>-164.87700000000001</v>
      </c>
      <c r="Q396">
        <v>4.45</v>
      </c>
      <c r="R396">
        <v>31.94</v>
      </c>
      <c r="S396">
        <v>291.86399999999998</v>
      </c>
      <c r="W396">
        <v>1.5629999999999999</v>
      </c>
      <c r="X396">
        <v>3</v>
      </c>
      <c r="Y396">
        <v>2.504</v>
      </c>
      <c r="AA396">
        <v>0.6</v>
      </c>
      <c r="AB396">
        <v>12.46</v>
      </c>
      <c r="AE396">
        <v>1.55</v>
      </c>
      <c r="AF396">
        <v>1.73</v>
      </c>
      <c r="AI396">
        <v>3</v>
      </c>
      <c r="AL396">
        <v>57.016100000000002</v>
      </c>
      <c r="AT396" t="e">
        <v>#N/A</v>
      </c>
    </row>
    <row r="397" spans="4:46">
      <c r="D397" t="e">
        <v>#N/A</v>
      </c>
      <c r="E397" t="s">
        <v>4308</v>
      </c>
      <c r="F397" t="s">
        <v>4693</v>
      </c>
      <c r="H397" t="s">
        <v>4694</v>
      </c>
      <c r="I397" t="s">
        <v>4996</v>
      </c>
      <c r="J397" t="s">
        <v>5237</v>
      </c>
      <c r="K397" t="e">
        <v>#N/A</v>
      </c>
      <c r="L397" t="e">
        <v>#N/A</v>
      </c>
      <c r="M397">
        <v>21</v>
      </c>
      <c r="O397">
        <v>71.022999999999996</v>
      </c>
      <c r="P397">
        <v>-164.87700000000001</v>
      </c>
      <c r="Q397">
        <v>4.3499999999999996</v>
      </c>
      <c r="R397">
        <v>31.94</v>
      </c>
      <c r="S397">
        <v>290.19499999999999</v>
      </c>
      <c r="W397">
        <v>1.238</v>
      </c>
      <c r="X397">
        <v>2</v>
      </c>
      <c r="AI397">
        <v>2</v>
      </c>
      <c r="AL397">
        <v>54.109200000000001</v>
      </c>
      <c r="AT397" t="e">
        <v>#N/A</v>
      </c>
    </row>
    <row r="398" spans="4:46">
      <c r="D398" t="e">
        <v>#N/A</v>
      </c>
      <c r="E398" t="s">
        <v>4308</v>
      </c>
      <c r="F398" t="s">
        <v>4693</v>
      </c>
      <c r="H398" t="s">
        <v>4694</v>
      </c>
      <c r="I398" t="s">
        <v>4996</v>
      </c>
      <c r="J398" t="s">
        <v>5238</v>
      </c>
      <c r="K398" t="e">
        <v>#N/A</v>
      </c>
      <c r="L398" t="e">
        <v>#N/A</v>
      </c>
      <c r="M398">
        <v>5</v>
      </c>
      <c r="O398">
        <v>71.022999999999996</v>
      </c>
      <c r="P398">
        <v>-164.87700000000001</v>
      </c>
      <c r="Q398">
        <v>4.45</v>
      </c>
      <c r="R398">
        <v>31.93</v>
      </c>
      <c r="S398">
        <v>292.31299999999999</v>
      </c>
      <c r="W398">
        <v>1.5780000000000001</v>
      </c>
      <c r="X398">
        <v>4</v>
      </c>
      <c r="Y398">
        <v>2.3639999999999999</v>
      </c>
      <c r="AA398">
        <v>0.76</v>
      </c>
      <c r="AB398">
        <v>10.32</v>
      </c>
      <c r="AE398">
        <v>1.39</v>
      </c>
      <c r="AF398">
        <v>1.59</v>
      </c>
      <c r="AI398">
        <v>4</v>
      </c>
      <c r="AL398">
        <v>58.426400000000001</v>
      </c>
      <c r="AQ398">
        <v>-1.076478077</v>
      </c>
      <c r="AT398" t="e">
        <v>#N/A</v>
      </c>
    </row>
    <row r="399" spans="4:46">
      <c r="D399" t="e">
        <v>#N/A</v>
      </c>
      <c r="E399" t="s">
        <v>4308</v>
      </c>
      <c r="F399" t="s">
        <v>5301</v>
      </c>
      <c r="H399" t="s">
        <v>5230</v>
      </c>
      <c r="I399" t="s">
        <v>5231</v>
      </c>
      <c r="J399" t="s">
        <v>5232</v>
      </c>
      <c r="K399" t="e">
        <v>#N/A</v>
      </c>
      <c r="L399" t="e">
        <v>#N/A</v>
      </c>
      <c r="M399">
        <v>10</v>
      </c>
      <c r="O399">
        <v>70.897000000000006</v>
      </c>
      <c r="P399">
        <v>-165.25299999999999</v>
      </c>
      <c r="Q399">
        <v>4.83</v>
      </c>
      <c r="R399">
        <v>31.9</v>
      </c>
      <c r="S399">
        <v>285.66399999999999</v>
      </c>
      <c r="W399">
        <v>1.1459999999999999</v>
      </c>
      <c r="X399">
        <v>7</v>
      </c>
      <c r="Y399">
        <v>1.64</v>
      </c>
      <c r="AA399">
        <v>0.67</v>
      </c>
      <c r="AB399">
        <v>13.17</v>
      </c>
      <c r="AE399">
        <v>1.65</v>
      </c>
      <c r="AF399">
        <v>1.84</v>
      </c>
      <c r="AI399">
        <v>7</v>
      </c>
      <c r="AL399">
        <v>56.482900000000001</v>
      </c>
      <c r="AT399" t="e">
        <v>#N/A</v>
      </c>
    </row>
    <row r="400" spans="4:46">
      <c r="D400" t="e">
        <v>#N/A</v>
      </c>
      <c r="E400" t="s">
        <v>4308</v>
      </c>
      <c r="F400" t="s">
        <v>5301</v>
      </c>
      <c r="H400" t="s">
        <v>5230</v>
      </c>
      <c r="I400" t="s">
        <v>5231</v>
      </c>
      <c r="J400" t="s">
        <v>5233</v>
      </c>
      <c r="K400" t="e">
        <v>#N/A</v>
      </c>
      <c r="L400" t="e">
        <v>#N/A</v>
      </c>
      <c r="M400">
        <v>20</v>
      </c>
      <c r="O400">
        <v>70.897000000000006</v>
      </c>
      <c r="P400">
        <v>-165.25299999999999</v>
      </c>
      <c r="Q400">
        <v>4.83</v>
      </c>
      <c r="R400">
        <v>31.9</v>
      </c>
      <c r="S400">
        <v>285.35399999999998</v>
      </c>
      <c r="W400">
        <v>1.216</v>
      </c>
      <c r="X400">
        <v>6</v>
      </c>
      <c r="Y400">
        <v>1.992</v>
      </c>
      <c r="AA400">
        <v>0.74</v>
      </c>
      <c r="AB400">
        <v>13.17</v>
      </c>
      <c r="AE400">
        <v>1.59</v>
      </c>
      <c r="AF400">
        <v>1.9</v>
      </c>
      <c r="AI400">
        <v>6</v>
      </c>
      <c r="AL400">
        <v>56.144199999999998</v>
      </c>
      <c r="AT400" t="e">
        <v>#N/A</v>
      </c>
    </row>
    <row r="401" spans="4:46">
      <c r="D401" t="e">
        <v>#N/A</v>
      </c>
      <c r="E401" t="s">
        <v>4308</v>
      </c>
      <c r="F401" t="s">
        <v>5301</v>
      </c>
      <c r="H401" t="s">
        <v>5230</v>
      </c>
      <c r="I401" t="s">
        <v>5231</v>
      </c>
      <c r="J401" t="s">
        <v>5234</v>
      </c>
      <c r="K401" t="e">
        <v>#N/A</v>
      </c>
      <c r="L401" t="e">
        <v>#N/A</v>
      </c>
      <c r="M401">
        <v>34</v>
      </c>
      <c r="O401">
        <v>70.897000000000006</v>
      </c>
      <c r="P401">
        <v>-165.25299999999999</v>
      </c>
      <c r="Q401">
        <v>4.8099999999999996</v>
      </c>
      <c r="R401">
        <v>31.9</v>
      </c>
      <c r="S401">
        <v>284.14400000000001</v>
      </c>
      <c r="W401">
        <v>0.91</v>
      </c>
      <c r="X401">
        <v>1</v>
      </c>
      <c r="AI401">
        <v>1</v>
      </c>
      <c r="AL401">
        <v>53.787999999999997</v>
      </c>
      <c r="AT401" t="e">
        <v>#N/A</v>
      </c>
    </row>
    <row r="402" spans="4:46">
      <c r="D402" t="e">
        <v>#N/A</v>
      </c>
      <c r="E402" t="s">
        <v>4308</v>
      </c>
      <c r="F402" t="s">
        <v>5301</v>
      </c>
      <c r="H402" t="s">
        <v>5230</v>
      </c>
      <c r="I402" t="s">
        <v>5231</v>
      </c>
      <c r="J402" t="s">
        <v>5234</v>
      </c>
      <c r="K402" t="e">
        <v>#N/A</v>
      </c>
      <c r="L402" t="e">
        <v>#N/A</v>
      </c>
      <c r="M402">
        <v>34</v>
      </c>
      <c r="O402">
        <v>70.897000000000006</v>
      </c>
      <c r="P402">
        <v>-165.25299999999999</v>
      </c>
      <c r="Q402">
        <v>4.8099999999999996</v>
      </c>
      <c r="R402">
        <v>31.9</v>
      </c>
      <c r="S402">
        <v>284.14400000000001</v>
      </c>
      <c r="W402">
        <v>0.91</v>
      </c>
      <c r="X402">
        <v>2</v>
      </c>
      <c r="AI402">
        <v>2</v>
      </c>
      <c r="AL402">
        <v>53.787999999999997</v>
      </c>
      <c r="AT402" t="e">
        <v>#N/A</v>
      </c>
    </row>
    <row r="403" spans="4:46">
      <c r="D403" t="e">
        <v>#N/A</v>
      </c>
      <c r="E403" t="s">
        <v>4308</v>
      </c>
      <c r="F403" t="s">
        <v>5301</v>
      </c>
      <c r="H403" t="s">
        <v>5230</v>
      </c>
      <c r="I403" t="s">
        <v>5231</v>
      </c>
      <c r="J403" t="s">
        <v>5234</v>
      </c>
      <c r="K403" t="e">
        <v>#N/A</v>
      </c>
      <c r="L403" t="e">
        <v>#N/A</v>
      </c>
      <c r="M403">
        <v>34</v>
      </c>
      <c r="O403">
        <v>70.897000000000006</v>
      </c>
      <c r="P403">
        <v>-165.25299999999999</v>
      </c>
      <c r="Q403">
        <v>4.8099999999999996</v>
      </c>
      <c r="R403">
        <v>31.9</v>
      </c>
      <c r="S403">
        <v>284.14400000000001</v>
      </c>
      <c r="W403">
        <v>0.91</v>
      </c>
      <c r="X403">
        <v>3</v>
      </c>
      <c r="AI403">
        <v>3</v>
      </c>
      <c r="AL403">
        <v>53.787999999999997</v>
      </c>
      <c r="AT403" t="e">
        <v>#N/A</v>
      </c>
    </row>
    <row r="404" spans="4:46">
      <c r="D404" t="e">
        <v>#N/A</v>
      </c>
      <c r="E404" t="s">
        <v>4308</v>
      </c>
      <c r="F404" t="s">
        <v>5301</v>
      </c>
      <c r="H404" t="s">
        <v>5230</v>
      </c>
      <c r="I404" t="s">
        <v>5231</v>
      </c>
      <c r="J404" t="s">
        <v>5234</v>
      </c>
      <c r="K404" t="e">
        <v>#N/A</v>
      </c>
      <c r="L404" t="e">
        <v>#N/A</v>
      </c>
      <c r="M404">
        <v>34</v>
      </c>
      <c r="O404">
        <v>70.897000000000006</v>
      </c>
      <c r="P404">
        <v>-165.25299999999999</v>
      </c>
      <c r="Q404">
        <v>4.8099999999999996</v>
      </c>
      <c r="R404">
        <v>31.9</v>
      </c>
      <c r="S404">
        <v>284.14400000000001</v>
      </c>
      <c r="W404">
        <v>0.91</v>
      </c>
      <c r="X404">
        <v>4</v>
      </c>
      <c r="AI404">
        <v>4</v>
      </c>
      <c r="AL404">
        <v>53.787999999999997</v>
      </c>
      <c r="AT404" t="e">
        <v>#N/A</v>
      </c>
    </row>
    <row r="405" spans="4:46">
      <c r="D405" t="e">
        <v>#N/A</v>
      </c>
      <c r="E405" t="s">
        <v>4308</v>
      </c>
      <c r="F405" t="s">
        <v>5301</v>
      </c>
      <c r="H405" t="s">
        <v>5230</v>
      </c>
      <c r="I405" t="s">
        <v>5231</v>
      </c>
      <c r="J405" t="s">
        <v>5234</v>
      </c>
      <c r="K405" t="e">
        <v>#N/A</v>
      </c>
      <c r="L405" t="e">
        <v>#N/A</v>
      </c>
      <c r="M405">
        <v>34</v>
      </c>
      <c r="O405">
        <v>70.897000000000006</v>
      </c>
      <c r="P405">
        <v>-165.25299999999999</v>
      </c>
      <c r="Q405">
        <v>4.8099999999999996</v>
      </c>
      <c r="R405">
        <v>31.9</v>
      </c>
      <c r="S405">
        <v>284.14400000000001</v>
      </c>
      <c r="W405">
        <v>0.91</v>
      </c>
      <c r="X405">
        <v>5</v>
      </c>
      <c r="Y405">
        <v>1.548</v>
      </c>
      <c r="AA405">
        <v>0.65</v>
      </c>
      <c r="AB405">
        <v>12.46</v>
      </c>
      <c r="AE405">
        <v>1.71</v>
      </c>
      <c r="AF405">
        <v>1.85</v>
      </c>
      <c r="AI405">
        <v>5</v>
      </c>
      <c r="AL405">
        <v>53.787999999999997</v>
      </c>
      <c r="AQ405">
        <v>-0.98927536599999999</v>
      </c>
      <c r="AT405" t="e">
        <v>#N/A</v>
      </c>
    </row>
    <row r="406" spans="4:46">
      <c r="D406" t="e">
        <v>#N/A</v>
      </c>
      <c r="E406" t="s">
        <v>4308</v>
      </c>
      <c r="F406" t="s">
        <v>5301</v>
      </c>
      <c r="H406" t="s">
        <v>5230</v>
      </c>
      <c r="I406" t="s">
        <v>5231</v>
      </c>
      <c r="J406" t="s">
        <v>5235</v>
      </c>
      <c r="K406" t="e">
        <v>#N/A</v>
      </c>
      <c r="L406" t="e">
        <v>#N/A</v>
      </c>
      <c r="M406">
        <v>6</v>
      </c>
      <c r="O406">
        <v>70.897000000000006</v>
      </c>
      <c r="P406">
        <v>-165.25299999999999</v>
      </c>
      <c r="Q406">
        <v>4.83</v>
      </c>
      <c r="R406">
        <v>31.9</v>
      </c>
      <c r="S406">
        <v>284.95400000000001</v>
      </c>
      <c r="W406">
        <v>1.1120000000000001</v>
      </c>
      <c r="X406">
        <v>8</v>
      </c>
      <c r="Y406">
        <v>1.764</v>
      </c>
      <c r="AA406">
        <v>0.79</v>
      </c>
      <c r="AB406">
        <v>12.46</v>
      </c>
      <c r="AE406">
        <v>1.51</v>
      </c>
      <c r="AF406">
        <v>1.88</v>
      </c>
      <c r="AI406">
        <v>8</v>
      </c>
      <c r="AL406">
        <v>57.146000000000001</v>
      </c>
      <c r="AQ406">
        <v>-1.0964442560000001</v>
      </c>
      <c r="AT406" t="e">
        <v>#N/A</v>
      </c>
    </row>
    <row r="407" spans="4:46">
      <c r="D407" t="e">
        <v>#N/A</v>
      </c>
      <c r="E407" t="s">
        <v>4308</v>
      </c>
      <c r="F407" t="s">
        <v>4687</v>
      </c>
      <c r="H407" t="s">
        <v>4688</v>
      </c>
      <c r="I407" t="s">
        <v>4993</v>
      </c>
      <c r="J407" t="s">
        <v>5227</v>
      </c>
      <c r="K407" t="e">
        <v>#N/A</v>
      </c>
      <c r="L407" t="e">
        <v>#N/A</v>
      </c>
      <c r="M407">
        <v>10</v>
      </c>
      <c r="O407">
        <v>70.772000000000006</v>
      </c>
      <c r="P407">
        <v>-165.62799999999999</v>
      </c>
      <c r="Q407">
        <v>5.0199999999999996</v>
      </c>
      <c r="R407">
        <v>31.87</v>
      </c>
      <c r="S407">
        <v>287.428</v>
      </c>
      <c r="W407">
        <v>1.996</v>
      </c>
      <c r="X407">
        <v>3</v>
      </c>
      <c r="Y407">
        <v>2.6</v>
      </c>
      <c r="AA407">
        <v>0.62</v>
      </c>
      <c r="AB407">
        <v>12.1</v>
      </c>
      <c r="AE407">
        <v>1.17</v>
      </c>
      <c r="AF407">
        <v>1.6</v>
      </c>
      <c r="AI407">
        <v>3</v>
      </c>
      <c r="AL407">
        <v>73.156099999999995</v>
      </c>
      <c r="AT407" t="e">
        <v>#N/A</v>
      </c>
    </row>
    <row r="408" spans="4:46">
      <c r="D408" t="e">
        <v>#N/A</v>
      </c>
      <c r="E408" t="s">
        <v>4308</v>
      </c>
      <c r="F408" t="s">
        <v>4687</v>
      </c>
      <c r="H408" t="s">
        <v>4688</v>
      </c>
      <c r="I408" t="s">
        <v>4993</v>
      </c>
      <c r="J408" t="s">
        <v>5228</v>
      </c>
      <c r="K408" t="e">
        <v>#N/A</v>
      </c>
      <c r="L408" t="e">
        <v>#N/A</v>
      </c>
      <c r="M408">
        <v>20</v>
      </c>
      <c r="O408">
        <v>70.772000000000006</v>
      </c>
      <c r="P408">
        <v>-165.62799999999999</v>
      </c>
      <c r="Q408">
        <v>5.0199999999999996</v>
      </c>
      <c r="R408">
        <v>31.87</v>
      </c>
      <c r="S408">
        <v>287.57799999999997</v>
      </c>
      <c r="W408">
        <v>1.607</v>
      </c>
      <c r="X408">
        <v>2</v>
      </c>
      <c r="AI408">
        <v>2</v>
      </c>
      <c r="AL408">
        <v>72.814800000000005</v>
      </c>
      <c r="AT408" t="e">
        <v>#N/A</v>
      </c>
    </row>
    <row r="409" spans="4:46">
      <c r="D409" t="e">
        <v>#N/A</v>
      </c>
      <c r="E409" t="s">
        <v>4308</v>
      </c>
      <c r="F409" t="s">
        <v>4681</v>
      </c>
      <c r="H409" t="s">
        <v>4682</v>
      </c>
      <c r="I409" t="s">
        <v>4985</v>
      </c>
      <c r="J409" t="s">
        <v>5211</v>
      </c>
      <c r="K409" t="e">
        <v>#N/A</v>
      </c>
      <c r="L409" t="e">
        <v>#N/A</v>
      </c>
      <c r="M409">
        <v>10</v>
      </c>
      <c r="O409">
        <v>70.647999999999996</v>
      </c>
      <c r="P409">
        <v>-165.99600000000001</v>
      </c>
      <c r="Q409">
        <v>5.54</v>
      </c>
      <c r="R409">
        <v>31.78</v>
      </c>
      <c r="S409">
        <v>284.48899999999998</v>
      </c>
      <c r="W409">
        <v>1.4630000000000001</v>
      </c>
      <c r="X409">
        <v>5</v>
      </c>
      <c r="Y409">
        <v>1.9079999999999999</v>
      </c>
      <c r="AA409">
        <v>0.73</v>
      </c>
      <c r="AB409">
        <v>14.95</v>
      </c>
      <c r="AE409">
        <v>1.18</v>
      </c>
      <c r="AF409">
        <v>1.34</v>
      </c>
      <c r="AI409">
        <v>5</v>
      </c>
      <c r="AL409">
        <v>54.511899999999997</v>
      </c>
      <c r="AT409" t="e">
        <v>#N/A</v>
      </c>
    </row>
    <row r="410" spans="4:46">
      <c r="D410" t="e">
        <v>#N/A</v>
      </c>
      <c r="E410" t="s">
        <v>4308</v>
      </c>
      <c r="F410" t="s">
        <v>4681</v>
      </c>
      <c r="H410" t="s">
        <v>4682</v>
      </c>
      <c r="I410" t="s">
        <v>4985</v>
      </c>
      <c r="J410" t="s">
        <v>5212</v>
      </c>
      <c r="K410" t="e">
        <v>#N/A</v>
      </c>
      <c r="L410" t="e">
        <v>#N/A</v>
      </c>
      <c r="M410">
        <v>20</v>
      </c>
      <c r="O410">
        <v>70.647999999999996</v>
      </c>
      <c r="P410">
        <v>-165.99600000000001</v>
      </c>
      <c r="Q410">
        <v>5.54</v>
      </c>
      <c r="R410">
        <v>31.78</v>
      </c>
      <c r="S410">
        <v>284.08600000000001</v>
      </c>
      <c r="W410">
        <v>1.3720000000000001</v>
      </c>
      <c r="X410">
        <v>4</v>
      </c>
      <c r="Y410">
        <v>2.02</v>
      </c>
      <c r="AA410">
        <v>0.66</v>
      </c>
      <c r="AB410">
        <v>14.23</v>
      </c>
      <c r="AE410">
        <v>1.18</v>
      </c>
      <c r="AF410">
        <v>1.39</v>
      </c>
      <c r="AI410">
        <v>4</v>
      </c>
      <c r="AL410">
        <v>54.515599999999999</v>
      </c>
      <c r="AT410" t="e">
        <v>#N/A</v>
      </c>
    </row>
    <row r="411" spans="4:46">
      <c r="D411" t="e">
        <v>#N/A</v>
      </c>
      <c r="E411" t="s">
        <v>4308</v>
      </c>
      <c r="F411" t="s">
        <v>4681</v>
      </c>
      <c r="H411" t="s">
        <v>4682</v>
      </c>
      <c r="I411" t="s">
        <v>4985</v>
      </c>
      <c r="J411" t="s">
        <v>5213</v>
      </c>
      <c r="K411" t="e">
        <v>#N/A</v>
      </c>
      <c r="L411" t="e">
        <v>#N/A</v>
      </c>
      <c r="M411">
        <v>30</v>
      </c>
      <c r="O411">
        <v>70.647999999999996</v>
      </c>
      <c r="P411">
        <v>-165.99600000000001</v>
      </c>
      <c r="Q411">
        <v>5.48</v>
      </c>
      <c r="R411">
        <v>31.77</v>
      </c>
      <c r="S411">
        <v>281.517</v>
      </c>
      <c r="W411">
        <v>1.23</v>
      </c>
      <c r="X411">
        <v>2</v>
      </c>
      <c r="Y411">
        <v>1.3660000000000001</v>
      </c>
      <c r="AA411">
        <v>0.62</v>
      </c>
      <c r="AB411">
        <v>14.95</v>
      </c>
      <c r="AE411">
        <v>1.37</v>
      </c>
      <c r="AF411">
        <v>2.17</v>
      </c>
      <c r="AI411">
        <v>2</v>
      </c>
      <c r="AL411">
        <v>48.028700000000001</v>
      </c>
      <c r="AT411" t="e">
        <v>#N/A</v>
      </c>
    </row>
    <row r="412" spans="4:46">
      <c r="D412" t="e">
        <v>#N/A</v>
      </c>
      <c r="E412" t="s">
        <v>4308</v>
      </c>
      <c r="F412" t="s">
        <v>4681</v>
      </c>
      <c r="H412" t="s">
        <v>4682</v>
      </c>
      <c r="I412" t="s">
        <v>4985</v>
      </c>
      <c r="J412" t="s">
        <v>5214</v>
      </c>
      <c r="K412" t="e">
        <v>#N/A</v>
      </c>
      <c r="L412" t="e">
        <v>#N/A</v>
      </c>
      <c r="M412">
        <v>31</v>
      </c>
      <c r="O412">
        <v>70.647999999999996</v>
      </c>
      <c r="P412">
        <v>-165.99600000000001</v>
      </c>
      <c r="Q412">
        <v>5.48</v>
      </c>
      <c r="R412">
        <v>31.77</v>
      </c>
      <c r="S412">
        <v>281.67899999999997</v>
      </c>
      <c r="W412">
        <v>1.1120000000000001</v>
      </c>
      <c r="X412">
        <v>3</v>
      </c>
      <c r="AI412">
        <v>3</v>
      </c>
      <c r="AL412">
        <v>47.955800000000004</v>
      </c>
      <c r="AT412" t="e">
        <v>#N/A</v>
      </c>
    </row>
    <row r="413" spans="4:46">
      <c r="D413" t="e">
        <v>#N/A</v>
      </c>
      <c r="E413" t="s">
        <v>4308</v>
      </c>
      <c r="F413" t="s">
        <v>4725</v>
      </c>
      <c r="H413" t="s">
        <v>4726</v>
      </c>
      <c r="I413" t="s">
        <v>4855</v>
      </c>
      <c r="J413" t="s">
        <v>5115</v>
      </c>
      <c r="K413" t="e">
        <v>#N/A</v>
      </c>
      <c r="L413" t="e">
        <v>#N/A</v>
      </c>
      <c r="M413">
        <v>20</v>
      </c>
      <c r="O413">
        <v>71.507000000000005</v>
      </c>
      <c r="P413">
        <v>-167.221</v>
      </c>
      <c r="Q413">
        <v>3.79</v>
      </c>
      <c r="R413">
        <v>31.77</v>
      </c>
      <c r="S413">
        <v>317.49700000000001</v>
      </c>
      <c r="W413">
        <v>1.4570000000000001</v>
      </c>
      <c r="X413">
        <v>5</v>
      </c>
      <c r="Y413">
        <v>1.736</v>
      </c>
      <c r="AA413">
        <v>0.45</v>
      </c>
      <c r="AB413">
        <v>4.9800000000000004</v>
      </c>
      <c r="AE413">
        <v>0.45</v>
      </c>
      <c r="AF413">
        <v>0.38</v>
      </c>
      <c r="AI413">
        <v>5</v>
      </c>
      <c r="AL413">
        <v>90.320700000000002</v>
      </c>
      <c r="AT413" t="e">
        <v>#N/A</v>
      </c>
    </row>
    <row r="414" spans="4:46">
      <c r="D414" t="e">
        <v>#N/A</v>
      </c>
      <c r="E414" t="s">
        <v>4308</v>
      </c>
      <c r="F414" t="s">
        <v>4725</v>
      </c>
      <c r="H414" t="s">
        <v>4726</v>
      </c>
      <c r="I414" t="s">
        <v>4855</v>
      </c>
      <c r="J414" t="s">
        <v>5116</v>
      </c>
      <c r="K414" t="e">
        <v>#N/A</v>
      </c>
      <c r="L414" t="e">
        <v>#N/A</v>
      </c>
      <c r="M414">
        <v>30</v>
      </c>
      <c r="O414">
        <v>71.507000000000005</v>
      </c>
      <c r="P414">
        <v>-167.221</v>
      </c>
      <c r="Q414">
        <v>3.72</v>
      </c>
      <c r="R414">
        <v>31.79</v>
      </c>
      <c r="S414">
        <v>313.85399999999998</v>
      </c>
      <c r="W414">
        <v>1.7709999999999999</v>
      </c>
      <c r="X414">
        <v>4</v>
      </c>
      <c r="Y414">
        <v>2.516</v>
      </c>
      <c r="AA414">
        <v>0.48</v>
      </c>
      <c r="AB414">
        <v>4.2699999999999996</v>
      </c>
      <c r="AE414">
        <v>0.4</v>
      </c>
      <c r="AF414">
        <v>0.96</v>
      </c>
      <c r="AI414">
        <v>4</v>
      </c>
      <c r="AL414">
        <v>90.920500000000004</v>
      </c>
      <c r="AT414" t="e">
        <v>#N/A</v>
      </c>
    </row>
    <row r="415" spans="4:46">
      <c r="D415" t="e">
        <v>#N/A</v>
      </c>
      <c r="E415" t="s">
        <v>4308</v>
      </c>
      <c r="F415" t="s">
        <v>4725</v>
      </c>
      <c r="H415" t="s">
        <v>4726</v>
      </c>
      <c r="I415" t="s">
        <v>4855</v>
      </c>
      <c r="J415" t="s">
        <v>5117</v>
      </c>
      <c r="K415" t="e">
        <v>#N/A</v>
      </c>
      <c r="L415" t="e">
        <v>#N/A</v>
      </c>
      <c r="M415">
        <v>9</v>
      </c>
      <c r="O415">
        <v>71.507000000000005</v>
      </c>
      <c r="P415">
        <v>-167.221</v>
      </c>
      <c r="Q415">
        <v>3.91</v>
      </c>
      <c r="R415">
        <v>31.74</v>
      </c>
      <c r="S415">
        <v>315.71699999999998</v>
      </c>
      <c r="W415">
        <v>1.448</v>
      </c>
      <c r="X415">
        <v>6</v>
      </c>
      <c r="Y415">
        <v>1.8480000000000001</v>
      </c>
      <c r="AA415">
        <v>0.5</v>
      </c>
      <c r="AB415">
        <v>4.2699999999999996</v>
      </c>
      <c r="AE415">
        <v>0.46</v>
      </c>
      <c r="AF415">
        <v>0.31</v>
      </c>
      <c r="AI415">
        <v>6</v>
      </c>
      <c r="AL415">
        <v>90.028499999999994</v>
      </c>
      <c r="AT415" t="e">
        <v>#N/A</v>
      </c>
    </row>
    <row r="416" spans="4:46">
      <c r="D416" t="e">
        <v>#N/A</v>
      </c>
      <c r="E416" t="s">
        <v>4308</v>
      </c>
      <c r="F416" t="s">
        <v>4716</v>
      </c>
      <c r="H416" t="s">
        <v>4717</v>
      </c>
      <c r="I416" t="s">
        <v>4850</v>
      </c>
      <c r="J416" t="s">
        <v>5110</v>
      </c>
      <c r="K416" t="e">
        <v>#N/A</v>
      </c>
      <c r="L416" t="e">
        <v>#N/A</v>
      </c>
      <c r="M416">
        <v>10</v>
      </c>
      <c r="O416">
        <v>71.385999999999996</v>
      </c>
      <c r="P416">
        <v>-166.82</v>
      </c>
      <c r="Q416">
        <v>3.82</v>
      </c>
      <c r="R416">
        <v>31.8</v>
      </c>
      <c r="S416">
        <v>318.26900000000001</v>
      </c>
      <c r="W416">
        <v>1.5489999999999999</v>
      </c>
      <c r="X416">
        <v>5</v>
      </c>
      <c r="Y416">
        <v>2.036</v>
      </c>
      <c r="AA416">
        <v>0.47</v>
      </c>
      <c r="AB416">
        <v>4.63</v>
      </c>
      <c r="AE416">
        <v>0.42</v>
      </c>
      <c r="AF416">
        <v>0.14000000000000001</v>
      </c>
      <c r="AI416">
        <v>5</v>
      </c>
      <c r="AL416">
        <v>89.167199999999994</v>
      </c>
      <c r="AT416" t="e">
        <v>#N/A</v>
      </c>
    </row>
    <row r="417" spans="4:46">
      <c r="D417" t="e">
        <v>#N/A</v>
      </c>
      <c r="E417" t="s">
        <v>4308</v>
      </c>
      <c r="F417" t="s">
        <v>4716</v>
      </c>
      <c r="H417" t="s">
        <v>4717</v>
      </c>
      <c r="I417" t="s">
        <v>4850</v>
      </c>
      <c r="J417" t="s">
        <v>5111</v>
      </c>
      <c r="K417" t="e">
        <v>#N/A</v>
      </c>
      <c r="L417" t="e">
        <v>#N/A</v>
      </c>
      <c r="M417">
        <v>20</v>
      </c>
      <c r="O417">
        <v>71.385999999999996</v>
      </c>
      <c r="P417">
        <v>-166.82</v>
      </c>
      <c r="Q417">
        <v>3.74</v>
      </c>
      <c r="R417">
        <v>31.8</v>
      </c>
      <c r="S417">
        <v>317.452</v>
      </c>
      <c r="W417">
        <v>1.361</v>
      </c>
      <c r="X417">
        <v>4</v>
      </c>
      <c r="Y417">
        <v>1.956</v>
      </c>
      <c r="AA417">
        <v>0.46</v>
      </c>
      <c r="AB417">
        <v>4.63</v>
      </c>
      <c r="AE417">
        <v>0.38</v>
      </c>
      <c r="AF417">
        <v>0.19</v>
      </c>
      <c r="AI417">
        <v>4</v>
      </c>
      <c r="AL417">
        <v>89.548699999999997</v>
      </c>
      <c r="AT417" t="e">
        <v>#N/A</v>
      </c>
    </row>
    <row r="418" spans="4:46">
      <c r="D418" t="e">
        <v>#N/A</v>
      </c>
      <c r="E418" t="s">
        <v>4308</v>
      </c>
      <c r="F418" t="s">
        <v>4716</v>
      </c>
      <c r="H418" t="s">
        <v>4717</v>
      </c>
      <c r="I418" t="s">
        <v>4850</v>
      </c>
      <c r="J418" t="s">
        <v>5112</v>
      </c>
      <c r="K418" t="e">
        <v>#N/A</v>
      </c>
      <c r="L418" t="e">
        <v>#N/A</v>
      </c>
      <c r="M418">
        <v>30</v>
      </c>
      <c r="O418">
        <v>71.385999999999996</v>
      </c>
      <c r="P418">
        <v>-166.82</v>
      </c>
      <c r="Q418">
        <v>3.66</v>
      </c>
      <c r="R418">
        <v>31.8</v>
      </c>
      <c r="S418">
        <v>316.24200000000002</v>
      </c>
      <c r="W418">
        <v>1.452</v>
      </c>
      <c r="X418">
        <v>3</v>
      </c>
      <c r="Y418">
        <v>2.1080000000000001</v>
      </c>
      <c r="AA418">
        <v>0.54</v>
      </c>
      <c r="AB418">
        <v>4.2699999999999996</v>
      </c>
      <c r="AE418">
        <v>0.4</v>
      </c>
      <c r="AF418">
        <v>0.35</v>
      </c>
      <c r="AI418">
        <v>3</v>
      </c>
      <c r="AL418">
        <v>90.840199999999996</v>
      </c>
      <c r="AT418" t="e">
        <v>#N/A</v>
      </c>
    </row>
    <row r="419" spans="4:46">
      <c r="D419" t="e">
        <v>#N/A</v>
      </c>
      <c r="E419" t="s">
        <v>4308</v>
      </c>
      <c r="F419" t="s">
        <v>4716</v>
      </c>
      <c r="H419" t="s">
        <v>4717</v>
      </c>
      <c r="I419" t="s">
        <v>4850</v>
      </c>
      <c r="J419" t="s">
        <v>5113</v>
      </c>
      <c r="K419" t="e">
        <v>#N/A</v>
      </c>
      <c r="L419" t="e">
        <v>#N/A</v>
      </c>
      <c r="M419">
        <v>38</v>
      </c>
      <c r="O419">
        <v>71.385999999999996</v>
      </c>
      <c r="P419">
        <v>-166.82</v>
      </c>
      <c r="Q419">
        <v>0.37</v>
      </c>
      <c r="R419">
        <v>32.32</v>
      </c>
      <c r="S419">
        <v>288.47899999999998</v>
      </c>
      <c r="W419">
        <v>1.6140000000000001</v>
      </c>
      <c r="X419">
        <v>1</v>
      </c>
      <c r="Y419">
        <v>2.2639999999999998</v>
      </c>
      <c r="AI419">
        <v>1</v>
      </c>
      <c r="AL419">
        <v>59.209000000000003</v>
      </c>
      <c r="AQ419">
        <v>-1.4759211029999999</v>
      </c>
      <c r="AT419" t="e">
        <v>#N/A</v>
      </c>
    </row>
    <row r="420" spans="4:46">
      <c r="D420" t="e">
        <v>#N/A</v>
      </c>
      <c r="E420" t="s">
        <v>4308</v>
      </c>
      <c r="F420" t="s">
        <v>4716</v>
      </c>
      <c r="H420" t="s">
        <v>4722</v>
      </c>
      <c r="I420" t="s">
        <v>4852</v>
      </c>
      <c r="J420" t="s">
        <v>5114</v>
      </c>
      <c r="K420" t="e">
        <v>#N/A</v>
      </c>
      <c r="L420" t="e">
        <v>#N/A</v>
      </c>
      <c r="M420">
        <v>41</v>
      </c>
      <c r="O420">
        <v>71.385999999999996</v>
      </c>
      <c r="P420">
        <v>-166.822</v>
      </c>
      <c r="Q420">
        <v>-0.08</v>
      </c>
      <c r="R420">
        <v>32.380000000000003</v>
      </c>
      <c r="S420">
        <v>277.012</v>
      </c>
      <c r="W420">
        <v>1.1859999999999999</v>
      </c>
      <c r="X420">
        <v>3</v>
      </c>
      <c r="AI420">
        <v>3</v>
      </c>
      <c r="AL420">
        <v>28.535299999999999</v>
      </c>
      <c r="AT420" t="e">
        <v>#N/A</v>
      </c>
    </row>
    <row r="421" spans="4:46">
      <c r="D421" t="e">
        <v>#N/A</v>
      </c>
      <c r="E421" t="s">
        <v>4308</v>
      </c>
      <c r="F421" t="s">
        <v>4710</v>
      </c>
      <c r="H421" t="s">
        <v>4711</v>
      </c>
      <c r="I421" t="s">
        <v>4847</v>
      </c>
      <c r="J421" t="s">
        <v>5107</v>
      </c>
      <c r="K421" t="e">
        <v>#N/A</v>
      </c>
      <c r="L421" t="e">
        <v>#N/A</v>
      </c>
      <c r="M421">
        <v>10</v>
      </c>
      <c r="O421">
        <v>71.266000000000005</v>
      </c>
      <c r="P421">
        <v>-166.42</v>
      </c>
      <c r="Q421">
        <v>4.28</v>
      </c>
      <c r="R421">
        <v>31.9</v>
      </c>
      <c r="S421">
        <v>309.839</v>
      </c>
      <c r="W421">
        <v>2.484</v>
      </c>
      <c r="X421">
        <v>4</v>
      </c>
      <c r="Y421">
        <v>3.9279999999999999</v>
      </c>
      <c r="AA421">
        <v>0.46</v>
      </c>
      <c r="AB421">
        <v>4.9800000000000004</v>
      </c>
      <c r="AE421">
        <v>0.45</v>
      </c>
      <c r="AF421">
        <v>0.54</v>
      </c>
      <c r="AI421">
        <v>4</v>
      </c>
      <c r="AL421">
        <v>86.840599999999995</v>
      </c>
      <c r="AT421" t="e">
        <v>#N/A</v>
      </c>
    </row>
    <row r="422" spans="4:46">
      <c r="D422" t="e">
        <v>#N/A</v>
      </c>
      <c r="E422" t="s">
        <v>4308</v>
      </c>
      <c r="F422" t="s">
        <v>4710</v>
      </c>
      <c r="H422" t="s">
        <v>4711</v>
      </c>
      <c r="I422" t="s">
        <v>4847</v>
      </c>
      <c r="J422" t="s">
        <v>5108</v>
      </c>
      <c r="K422" t="e">
        <v>#N/A</v>
      </c>
      <c r="L422" t="e">
        <v>#N/A</v>
      </c>
      <c r="M422">
        <v>19</v>
      </c>
      <c r="O422">
        <v>71.266000000000005</v>
      </c>
      <c r="P422">
        <v>-166.42</v>
      </c>
      <c r="Q422">
        <v>4.29</v>
      </c>
      <c r="R422">
        <v>31.94</v>
      </c>
      <c r="S422">
        <v>307.89</v>
      </c>
      <c r="W422">
        <v>2.899</v>
      </c>
      <c r="X422">
        <v>3</v>
      </c>
      <c r="Y422">
        <v>4.4000000000000004</v>
      </c>
      <c r="AA422">
        <v>0.81</v>
      </c>
      <c r="AB422">
        <v>4.2699999999999996</v>
      </c>
      <c r="AE422">
        <v>0.51</v>
      </c>
      <c r="AF422">
        <v>0.91</v>
      </c>
      <c r="AI422">
        <v>3</v>
      </c>
      <c r="AL422">
        <v>85.549599999999998</v>
      </c>
      <c r="AT422" t="e">
        <v>#N/A</v>
      </c>
    </row>
    <row r="423" spans="4:46">
      <c r="D423" t="e">
        <v>#N/A</v>
      </c>
      <c r="E423" t="s">
        <v>4308</v>
      </c>
      <c r="F423" t="s">
        <v>4710</v>
      </c>
      <c r="H423" t="s">
        <v>4711</v>
      </c>
      <c r="I423" t="s">
        <v>4847</v>
      </c>
      <c r="J423" t="s">
        <v>5109</v>
      </c>
      <c r="K423" t="e">
        <v>#N/A</v>
      </c>
      <c r="L423" t="e">
        <v>#N/A</v>
      </c>
      <c r="M423">
        <v>30</v>
      </c>
      <c r="O423">
        <v>71.266000000000005</v>
      </c>
      <c r="P423">
        <v>-166.42</v>
      </c>
      <c r="Q423">
        <v>4.18</v>
      </c>
      <c r="R423">
        <v>31.94</v>
      </c>
      <c r="S423">
        <v>305.69900000000001</v>
      </c>
      <c r="W423">
        <v>2.4729999999999999</v>
      </c>
      <c r="X423">
        <v>2</v>
      </c>
      <c r="AI423">
        <v>2</v>
      </c>
      <c r="AL423">
        <v>85.079899999999995</v>
      </c>
      <c r="AT423" t="e">
        <v>#N/A</v>
      </c>
    </row>
    <row r="424" spans="4:46">
      <c r="D424" t="e">
        <v>#N/A</v>
      </c>
      <c r="E424" t="s">
        <v>4308</v>
      </c>
      <c r="F424" t="s">
        <v>5302</v>
      </c>
      <c r="H424" t="s">
        <v>5100</v>
      </c>
      <c r="I424" t="s">
        <v>5101</v>
      </c>
      <c r="J424" t="s">
        <v>5102</v>
      </c>
      <c r="K424" t="e">
        <v>#N/A</v>
      </c>
      <c r="L424" t="e">
        <v>#N/A</v>
      </c>
      <c r="M424">
        <v>10</v>
      </c>
      <c r="O424">
        <v>71.143000000000001</v>
      </c>
      <c r="P424">
        <v>-166.02799999999999</v>
      </c>
      <c r="Q424">
        <v>4.29</v>
      </c>
      <c r="R424">
        <v>31.92</v>
      </c>
      <c r="S424">
        <v>308.82400000000001</v>
      </c>
      <c r="W424">
        <v>3.1259999999999999</v>
      </c>
      <c r="X424">
        <v>5</v>
      </c>
      <c r="Y424">
        <v>4</v>
      </c>
      <c r="AA424">
        <v>0.66</v>
      </c>
      <c r="AB424">
        <v>8.19</v>
      </c>
      <c r="AE424">
        <v>0.69</v>
      </c>
      <c r="AF424">
        <v>0.99</v>
      </c>
      <c r="AI424">
        <v>5</v>
      </c>
      <c r="AL424">
        <v>85.458799999999997</v>
      </c>
      <c r="AT424" t="e">
        <v>#N/A</v>
      </c>
    </row>
    <row r="425" spans="4:46">
      <c r="D425" t="e">
        <v>#N/A</v>
      </c>
      <c r="E425" t="s">
        <v>4308</v>
      </c>
      <c r="F425" t="s">
        <v>5302</v>
      </c>
      <c r="H425" t="s">
        <v>5100</v>
      </c>
      <c r="I425" t="s">
        <v>5101</v>
      </c>
      <c r="J425" t="s">
        <v>5103</v>
      </c>
      <c r="K425" t="e">
        <v>#N/A</v>
      </c>
      <c r="L425" t="e">
        <v>#N/A</v>
      </c>
      <c r="M425">
        <v>20</v>
      </c>
      <c r="O425">
        <v>71.143000000000001</v>
      </c>
      <c r="P425">
        <v>-166.02799999999999</v>
      </c>
      <c r="Q425">
        <v>4.3499999999999996</v>
      </c>
      <c r="R425">
        <v>31.93</v>
      </c>
      <c r="S425">
        <v>307.67200000000003</v>
      </c>
      <c r="W425">
        <v>3.0089999999999999</v>
      </c>
      <c r="X425">
        <v>4</v>
      </c>
      <c r="Y425">
        <v>4.28</v>
      </c>
      <c r="AA425">
        <v>0.55000000000000004</v>
      </c>
      <c r="AB425">
        <v>8.19</v>
      </c>
      <c r="AE425">
        <v>0.55000000000000004</v>
      </c>
      <c r="AF425">
        <v>1.04</v>
      </c>
      <c r="AI425">
        <v>4</v>
      </c>
      <c r="AL425">
        <v>84.584699999999998</v>
      </c>
      <c r="AT425" t="e">
        <v>#N/A</v>
      </c>
    </row>
    <row r="426" spans="4:46">
      <c r="D426" t="e">
        <v>#N/A</v>
      </c>
      <c r="E426" t="s">
        <v>4308</v>
      </c>
      <c r="F426" t="s">
        <v>5302</v>
      </c>
      <c r="H426" t="s">
        <v>5100</v>
      </c>
      <c r="I426" t="s">
        <v>5101</v>
      </c>
      <c r="J426" t="s">
        <v>5104</v>
      </c>
      <c r="K426" t="e">
        <v>#N/A</v>
      </c>
      <c r="L426" t="e">
        <v>#N/A</v>
      </c>
      <c r="M426">
        <v>30</v>
      </c>
      <c r="O426">
        <v>71.143000000000001</v>
      </c>
      <c r="P426">
        <v>-166.02799999999999</v>
      </c>
      <c r="Q426">
        <v>4.3499999999999996</v>
      </c>
      <c r="R426">
        <v>31.94</v>
      </c>
      <c r="S426">
        <v>302.39699999999999</v>
      </c>
      <c r="W426">
        <v>1.5860000000000001</v>
      </c>
      <c r="X426">
        <v>2</v>
      </c>
      <c r="Y426">
        <v>2.948</v>
      </c>
      <c r="AA426">
        <v>0.66</v>
      </c>
      <c r="AB426">
        <v>8.5399999999999991</v>
      </c>
      <c r="AE426">
        <v>1.0900000000000001</v>
      </c>
      <c r="AF426">
        <v>1.5</v>
      </c>
      <c r="AI426">
        <v>2</v>
      </c>
      <c r="AL426">
        <v>87.124300000000005</v>
      </c>
      <c r="AT426" t="e">
        <v>#N/A</v>
      </c>
    </row>
    <row r="427" spans="4:46">
      <c r="D427" t="e">
        <v>#N/A</v>
      </c>
      <c r="E427" t="s">
        <v>4308</v>
      </c>
      <c r="F427" t="s">
        <v>5302</v>
      </c>
      <c r="H427" t="s">
        <v>5100</v>
      </c>
      <c r="I427" t="s">
        <v>5101</v>
      </c>
      <c r="J427" t="s">
        <v>5104</v>
      </c>
      <c r="K427" t="e">
        <v>#N/A</v>
      </c>
      <c r="L427" t="e">
        <v>#N/A</v>
      </c>
      <c r="M427">
        <v>30</v>
      </c>
      <c r="O427">
        <v>71.143000000000001</v>
      </c>
      <c r="P427">
        <v>-166.02799999999999</v>
      </c>
      <c r="Q427">
        <v>4.3499999999999996</v>
      </c>
      <c r="R427">
        <v>31.94</v>
      </c>
      <c r="S427">
        <v>302.39699999999999</v>
      </c>
      <c r="W427">
        <v>1.5860000000000001</v>
      </c>
      <c r="X427">
        <v>3</v>
      </c>
      <c r="AI427">
        <v>3</v>
      </c>
      <c r="AL427">
        <v>87.124300000000005</v>
      </c>
      <c r="AT427" t="e">
        <v>#N/A</v>
      </c>
    </row>
    <row r="428" spans="4:46">
      <c r="D428" t="e">
        <v>#N/A</v>
      </c>
      <c r="E428" t="s">
        <v>4308</v>
      </c>
      <c r="F428" t="s">
        <v>5302</v>
      </c>
      <c r="H428" t="s">
        <v>5100</v>
      </c>
      <c r="I428" t="s">
        <v>5101</v>
      </c>
      <c r="J428" t="s">
        <v>5105</v>
      </c>
      <c r="K428" t="e">
        <v>#N/A</v>
      </c>
      <c r="L428" t="e">
        <v>#N/A</v>
      </c>
      <c r="M428">
        <v>37</v>
      </c>
      <c r="O428">
        <v>71.143000000000001</v>
      </c>
      <c r="P428">
        <v>-166.02799999999999</v>
      </c>
      <c r="Q428">
        <v>0.39</v>
      </c>
      <c r="R428">
        <v>32.36</v>
      </c>
      <c r="S428">
        <v>341.02199999999999</v>
      </c>
      <c r="W428">
        <v>0.49</v>
      </c>
      <c r="X428">
        <v>1</v>
      </c>
      <c r="Y428">
        <v>1.3440000000000001</v>
      </c>
      <c r="AA428">
        <v>1.1000000000000001</v>
      </c>
      <c r="AB428">
        <v>16.73</v>
      </c>
      <c r="AE428">
        <v>3.22</v>
      </c>
      <c r="AF428">
        <v>2.79</v>
      </c>
      <c r="AI428">
        <v>1</v>
      </c>
      <c r="AL428">
        <v>28.472999999999999</v>
      </c>
      <c r="AQ428">
        <v>-0.79094465999999997</v>
      </c>
      <c r="AT428" t="e">
        <v>#N/A</v>
      </c>
    </row>
    <row r="429" spans="4:46">
      <c r="D429" t="e">
        <v>#N/A</v>
      </c>
      <c r="E429" t="s">
        <v>4308</v>
      </c>
      <c r="F429" t="s">
        <v>5302</v>
      </c>
      <c r="H429" t="s">
        <v>5100</v>
      </c>
      <c r="I429" t="s">
        <v>5101</v>
      </c>
      <c r="J429" t="s">
        <v>5106</v>
      </c>
      <c r="K429" t="e">
        <v>#N/A</v>
      </c>
      <c r="L429" t="e">
        <v>#N/A</v>
      </c>
      <c r="M429">
        <v>5</v>
      </c>
      <c r="O429">
        <v>71.143000000000001</v>
      </c>
      <c r="P429">
        <v>-166.02799999999999</v>
      </c>
      <c r="Q429">
        <v>4.28</v>
      </c>
      <c r="R429">
        <v>31.91</v>
      </c>
      <c r="S429">
        <v>308.94400000000002</v>
      </c>
      <c r="W429">
        <v>2.73</v>
      </c>
      <c r="X429">
        <v>6</v>
      </c>
      <c r="Y429">
        <v>3.8</v>
      </c>
      <c r="AA429">
        <v>0.56000000000000005</v>
      </c>
      <c r="AB429">
        <v>6.76</v>
      </c>
      <c r="AE429">
        <v>0.48</v>
      </c>
      <c r="AF429">
        <v>0.82</v>
      </c>
      <c r="AI429">
        <v>6</v>
      </c>
      <c r="AL429">
        <v>85.591999999999999</v>
      </c>
      <c r="AQ429">
        <v>-1.094737745</v>
      </c>
      <c r="AT429" t="e">
        <v>#N/A</v>
      </c>
    </row>
    <row r="430" spans="4:46">
      <c r="D430" t="e">
        <v>#N/A</v>
      </c>
      <c r="E430" t="s">
        <v>4308</v>
      </c>
      <c r="F430" t="s">
        <v>4757</v>
      </c>
      <c r="H430" t="s">
        <v>4758</v>
      </c>
      <c r="I430" t="s">
        <v>4885</v>
      </c>
      <c r="J430" t="s">
        <v>5134</v>
      </c>
      <c r="K430" t="e">
        <v>#N/A</v>
      </c>
      <c r="L430" t="e">
        <v>#N/A</v>
      </c>
      <c r="M430">
        <v>11</v>
      </c>
      <c r="O430">
        <v>71.02</v>
      </c>
      <c r="P430">
        <v>-165.64099999999999</v>
      </c>
      <c r="Q430">
        <v>4.8</v>
      </c>
      <c r="R430">
        <v>31.92</v>
      </c>
      <c r="S430">
        <v>306.10700000000003</v>
      </c>
      <c r="W430">
        <v>4.2119999999999997</v>
      </c>
      <c r="X430">
        <v>5</v>
      </c>
      <c r="Y430">
        <v>6.08</v>
      </c>
      <c r="AA430">
        <v>0.42</v>
      </c>
      <c r="AB430">
        <v>4.9800000000000004</v>
      </c>
      <c r="AE430">
        <v>0.39</v>
      </c>
      <c r="AF430">
        <v>0.28000000000000003</v>
      </c>
      <c r="AI430">
        <v>5</v>
      </c>
      <c r="AL430">
        <v>81.927400000000006</v>
      </c>
      <c r="AT430" t="e">
        <v>#N/A</v>
      </c>
    </row>
    <row r="431" spans="4:46">
      <c r="D431" t="e">
        <v>#N/A</v>
      </c>
      <c r="E431" t="s">
        <v>4308</v>
      </c>
      <c r="F431" t="s">
        <v>4757</v>
      </c>
      <c r="H431" t="s">
        <v>4758</v>
      </c>
      <c r="I431" t="s">
        <v>4885</v>
      </c>
      <c r="J431" t="s">
        <v>5135</v>
      </c>
      <c r="K431" t="e">
        <v>#N/A</v>
      </c>
      <c r="L431" t="e">
        <v>#N/A</v>
      </c>
      <c r="M431">
        <v>20</v>
      </c>
      <c r="O431">
        <v>71.02</v>
      </c>
      <c r="P431">
        <v>-165.64099999999999</v>
      </c>
      <c r="Q431">
        <v>4.79</v>
      </c>
      <c r="R431">
        <v>31.92</v>
      </c>
      <c r="S431">
        <v>305.92200000000003</v>
      </c>
      <c r="W431">
        <v>4.3330000000000002</v>
      </c>
      <c r="X431">
        <v>4</v>
      </c>
      <c r="Y431">
        <v>5.24</v>
      </c>
      <c r="AA431">
        <v>0.57999999999999996</v>
      </c>
      <c r="AB431">
        <v>4.63</v>
      </c>
      <c r="AE431">
        <v>0.48</v>
      </c>
      <c r="AF431">
        <v>0.52</v>
      </c>
      <c r="AI431">
        <v>4</v>
      </c>
      <c r="AL431">
        <v>84.188999999999993</v>
      </c>
      <c r="AT431" t="e">
        <v>#N/A</v>
      </c>
    </row>
    <row r="432" spans="4:46">
      <c r="D432" t="e">
        <v>#N/A</v>
      </c>
      <c r="E432" t="s">
        <v>4308</v>
      </c>
      <c r="F432" t="s">
        <v>4757</v>
      </c>
      <c r="H432" t="s">
        <v>4758</v>
      </c>
      <c r="I432" t="s">
        <v>4885</v>
      </c>
      <c r="J432" t="s">
        <v>5136</v>
      </c>
      <c r="K432" t="e">
        <v>#N/A</v>
      </c>
      <c r="L432" t="e">
        <v>#N/A</v>
      </c>
      <c r="M432">
        <v>30</v>
      </c>
      <c r="O432">
        <v>71.02</v>
      </c>
      <c r="P432">
        <v>-165.64099999999999</v>
      </c>
      <c r="Q432">
        <v>4.71</v>
      </c>
      <c r="R432">
        <v>31.92</v>
      </c>
      <c r="S432">
        <v>300.69900000000001</v>
      </c>
      <c r="W432">
        <v>4.4580000000000002</v>
      </c>
      <c r="X432">
        <v>2</v>
      </c>
      <c r="Y432">
        <v>5.36</v>
      </c>
      <c r="AA432">
        <v>0.55000000000000004</v>
      </c>
      <c r="AB432">
        <v>5.69</v>
      </c>
      <c r="AE432">
        <v>0.56999999999999995</v>
      </c>
      <c r="AF432">
        <v>0.93</v>
      </c>
      <c r="AI432">
        <v>2</v>
      </c>
      <c r="AL432">
        <v>82.958299999999994</v>
      </c>
      <c r="AT432" t="e">
        <v>#N/A</v>
      </c>
    </row>
    <row r="433" spans="4:46">
      <c r="D433" t="e">
        <v>#N/A</v>
      </c>
      <c r="E433" t="s">
        <v>4308</v>
      </c>
      <c r="F433" t="s">
        <v>4757</v>
      </c>
      <c r="H433" t="s">
        <v>4758</v>
      </c>
      <c r="I433" t="s">
        <v>4885</v>
      </c>
      <c r="J433" t="s">
        <v>5136</v>
      </c>
      <c r="K433" t="e">
        <v>#N/A</v>
      </c>
      <c r="L433" t="e">
        <v>#N/A</v>
      </c>
      <c r="M433">
        <v>30</v>
      </c>
      <c r="O433">
        <v>71.02</v>
      </c>
      <c r="P433">
        <v>-165.64099999999999</v>
      </c>
      <c r="Q433">
        <v>4.71</v>
      </c>
      <c r="R433">
        <v>31.92</v>
      </c>
      <c r="S433">
        <v>300.69900000000001</v>
      </c>
      <c r="W433">
        <v>4.4580000000000002</v>
      </c>
      <c r="X433">
        <v>3</v>
      </c>
      <c r="AI433">
        <v>3</v>
      </c>
      <c r="AL433">
        <v>82.958299999999994</v>
      </c>
      <c r="AT433" t="e">
        <v>#N/A</v>
      </c>
    </row>
    <row r="434" spans="4:46">
      <c r="D434" t="e">
        <v>#N/A</v>
      </c>
      <c r="E434" t="s">
        <v>4308</v>
      </c>
      <c r="F434" t="s">
        <v>4751</v>
      </c>
      <c r="H434" t="s">
        <v>4752</v>
      </c>
      <c r="I434" t="s">
        <v>4881</v>
      </c>
      <c r="J434" t="s">
        <v>5131</v>
      </c>
      <c r="K434" t="e">
        <v>#N/A</v>
      </c>
      <c r="L434" t="e">
        <v>#N/A</v>
      </c>
      <c r="M434">
        <v>10</v>
      </c>
      <c r="O434">
        <v>70.897000000000006</v>
      </c>
      <c r="P434">
        <v>-165.25399999999999</v>
      </c>
      <c r="Q434">
        <v>5.04</v>
      </c>
      <c r="R434">
        <v>31.89</v>
      </c>
      <c r="S434">
        <v>305.89499999999998</v>
      </c>
      <c r="W434">
        <v>4.6040000000000001</v>
      </c>
      <c r="X434">
        <v>4</v>
      </c>
      <c r="Y434">
        <v>5.96</v>
      </c>
      <c r="AA434">
        <v>0.43</v>
      </c>
      <c r="AB434">
        <v>6.76</v>
      </c>
      <c r="AE434">
        <v>0.52</v>
      </c>
      <c r="AF434">
        <v>0.4</v>
      </c>
      <c r="AI434">
        <v>4</v>
      </c>
      <c r="AL434">
        <v>79.414199999999994</v>
      </c>
      <c r="AT434" t="e">
        <v>#N/A</v>
      </c>
    </row>
    <row r="435" spans="4:46">
      <c r="D435" t="e">
        <v>#N/A</v>
      </c>
      <c r="E435" t="s">
        <v>4308</v>
      </c>
      <c r="F435" t="s">
        <v>4751</v>
      </c>
      <c r="H435" t="s">
        <v>4752</v>
      </c>
      <c r="I435" t="s">
        <v>4881</v>
      </c>
      <c r="J435" t="s">
        <v>5132</v>
      </c>
      <c r="K435" t="e">
        <v>#N/A</v>
      </c>
      <c r="L435" t="e">
        <v>#N/A</v>
      </c>
      <c r="M435">
        <v>20</v>
      </c>
      <c r="O435">
        <v>70.897000000000006</v>
      </c>
      <c r="P435">
        <v>-165.25399999999999</v>
      </c>
      <c r="Q435">
        <v>5.01</v>
      </c>
      <c r="R435">
        <v>31.89</v>
      </c>
      <c r="S435">
        <v>301.89400000000001</v>
      </c>
      <c r="W435">
        <v>3.7410000000000001</v>
      </c>
      <c r="X435">
        <v>3</v>
      </c>
      <c r="Y435">
        <v>5.2</v>
      </c>
      <c r="AA435">
        <v>0.63</v>
      </c>
      <c r="AB435">
        <v>7.83</v>
      </c>
      <c r="AE435">
        <v>0.39</v>
      </c>
      <c r="AF435">
        <v>0.54</v>
      </c>
      <c r="AI435">
        <v>3</v>
      </c>
      <c r="AL435">
        <v>82.024000000000001</v>
      </c>
      <c r="AT435" t="e">
        <v>#N/A</v>
      </c>
    </row>
    <row r="436" spans="4:46">
      <c r="D436" t="e">
        <v>#N/A</v>
      </c>
      <c r="E436" t="s">
        <v>4308</v>
      </c>
      <c r="F436" t="s">
        <v>4751</v>
      </c>
      <c r="H436" t="s">
        <v>4752</v>
      </c>
      <c r="I436" t="s">
        <v>4881</v>
      </c>
      <c r="J436" t="s">
        <v>5133</v>
      </c>
      <c r="K436" t="e">
        <v>#N/A</v>
      </c>
      <c r="L436" t="e">
        <v>#N/A</v>
      </c>
      <c r="M436">
        <v>30</v>
      </c>
      <c r="O436">
        <v>70.897000000000006</v>
      </c>
      <c r="P436">
        <v>-165.25399999999999</v>
      </c>
      <c r="Q436">
        <v>4.9800000000000004</v>
      </c>
      <c r="R436">
        <v>31.89</v>
      </c>
      <c r="S436">
        <v>292.02999999999997</v>
      </c>
      <c r="W436">
        <v>1.9810000000000001</v>
      </c>
      <c r="X436">
        <v>2</v>
      </c>
      <c r="Y436">
        <v>3.76</v>
      </c>
      <c r="AA436">
        <v>0.54</v>
      </c>
      <c r="AB436">
        <v>8.9</v>
      </c>
      <c r="AE436">
        <v>1.1000000000000001</v>
      </c>
      <c r="AF436">
        <v>1.87</v>
      </c>
      <c r="AI436">
        <v>2</v>
      </c>
      <c r="AL436">
        <v>84.390299999999996</v>
      </c>
      <c r="AT436" t="e">
        <v>#N/A</v>
      </c>
    </row>
    <row r="437" spans="4:46">
      <c r="D437" t="e">
        <v>#N/A</v>
      </c>
      <c r="E437" t="s">
        <v>4308</v>
      </c>
      <c r="F437" t="s">
        <v>4745</v>
      </c>
      <c r="H437" t="s">
        <v>4746</v>
      </c>
      <c r="I437" t="s">
        <v>4878</v>
      </c>
      <c r="J437" t="s">
        <v>5129</v>
      </c>
      <c r="K437" t="e">
        <v>#N/A</v>
      </c>
      <c r="L437" t="e">
        <v>#N/A</v>
      </c>
      <c r="M437">
        <v>20</v>
      </c>
      <c r="O437">
        <v>70.772000000000006</v>
      </c>
      <c r="P437">
        <v>-164.87799999999999</v>
      </c>
      <c r="Q437">
        <v>4.88</v>
      </c>
      <c r="R437">
        <v>31.9</v>
      </c>
      <c r="S437">
        <v>287.779</v>
      </c>
      <c r="W437">
        <v>1.0029999999999999</v>
      </c>
      <c r="X437">
        <v>2</v>
      </c>
      <c r="Y437">
        <v>1.8120000000000001</v>
      </c>
      <c r="AA437">
        <v>0.84</v>
      </c>
      <c r="AB437">
        <v>12.1</v>
      </c>
      <c r="AE437">
        <v>1.86</v>
      </c>
      <c r="AF437">
        <v>2.1800000000000002</v>
      </c>
      <c r="AI437">
        <v>2</v>
      </c>
      <c r="AL437">
        <v>67.501000000000005</v>
      </c>
      <c r="AT437" t="e">
        <v>#N/A</v>
      </c>
    </row>
    <row r="438" spans="4:46">
      <c r="D438" t="e">
        <v>#N/A</v>
      </c>
      <c r="E438" t="s">
        <v>4308</v>
      </c>
      <c r="F438" t="s">
        <v>4745</v>
      </c>
      <c r="H438" t="s">
        <v>4746</v>
      </c>
      <c r="I438" t="s">
        <v>4878</v>
      </c>
      <c r="J438" t="s">
        <v>5130</v>
      </c>
      <c r="K438" t="e">
        <v>#N/A</v>
      </c>
      <c r="L438" t="e">
        <v>#N/A</v>
      </c>
      <c r="M438">
        <v>9</v>
      </c>
      <c r="O438">
        <v>70.772000000000006</v>
      </c>
      <c r="P438">
        <v>-164.87799999999999</v>
      </c>
      <c r="Q438">
        <v>4.8899999999999997</v>
      </c>
      <c r="R438">
        <v>31.9</v>
      </c>
      <c r="S438">
        <v>288.80799999999999</v>
      </c>
      <c r="W438">
        <v>1.145</v>
      </c>
      <c r="X438">
        <v>3</v>
      </c>
      <c r="Y438">
        <v>1.92</v>
      </c>
      <c r="AA438">
        <v>0.74</v>
      </c>
      <c r="AB438">
        <v>12.81</v>
      </c>
      <c r="AE438">
        <v>1.72</v>
      </c>
      <c r="AF438">
        <v>1.96</v>
      </c>
      <c r="AI438">
        <v>3</v>
      </c>
      <c r="AL438">
        <v>68.330100000000002</v>
      </c>
      <c r="AT438" t="e">
        <v>#N/A</v>
      </c>
    </row>
    <row r="439" spans="4:46">
      <c r="D439" t="e">
        <v>#N/A</v>
      </c>
      <c r="E439" t="s">
        <v>4308</v>
      </c>
      <c r="F439" t="s">
        <v>4739</v>
      </c>
      <c r="H439" t="s">
        <v>4740</v>
      </c>
      <c r="I439" t="s">
        <v>4874</v>
      </c>
      <c r="J439" t="s">
        <v>5126</v>
      </c>
      <c r="K439" t="e">
        <v>#N/A</v>
      </c>
      <c r="L439" t="e">
        <v>#N/A</v>
      </c>
      <c r="M439">
        <v>10</v>
      </c>
      <c r="O439">
        <v>70.647000000000006</v>
      </c>
      <c r="P439">
        <v>-164.50200000000001</v>
      </c>
      <c r="Q439">
        <v>4.92</v>
      </c>
      <c r="R439">
        <v>31.88</v>
      </c>
      <c r="S439">
        <v>286.53199999999998</v>
      </c>
      <c r="W439">
        <v>0.99199999999999999</v>
      </c>
      <c r="X439">
        <v>8</v>
      </c>
      <c r="Y439">
        <v>1.472</v>
      </c>
      <c r="AA439">
        <v>0.93</v>
      </c>
      <c r="AB439">
        <v>12.46</v>
      </c>
      <c r="AE439">
        <v>1.75</v>
      </c>
      <c r="AF439">
        <v>1.53</v>
      </c>
      <c r="AI439">
        <v>8</v>
      </c>
      <c r="AL439">
        <v>58.760399999999997</v>
      </c>
      <c r="AT439" t="e">
        <v>#N/A</v>
      </c>
    </row>
    <row r="440" spans="4:46">
      <c r="D440" t="e">
        <v>#N/A</v>
      </c>
      <c r="E440" t="s">
        <v>4308</v>
      </c>
      <c r="F440" t="s">
        <v>4739</v>
      </c>
      <c r="H440" t="s">
        <v>4740</v>
      </c>
      <c r="I440" t="s">
        <v>4874</v>
      </c>
      <c r="J440" t="s">
        <v>5127</v>
      </c>
      <c r="K440" t="e">
        <v>#N/A</v>
      </c>
      <c r="L440" t="e">
        <v>#N/A</v>
      </c>
      <c r="M440">
        <v>20</v>
      </c>
      <c r="O440">
        <v>70.647000000000006</v>
      </c>
      <c r="P440">
        <v>-164.50200000000001</v>
      </c>
      <c r="Q440">
        <v>4.91</v>
      </c>
      <c r="R440">
        <v>31.88</v>
      </c>
      <c r="S440">
        <v>286.387</v>
      </c>
      <c r="W440">
        <v>0.82899999999999996</v>
      </c>
      <c r="X440">
        <v>7</v>
      </c>
      <c r="Y440">
        <v>1.56</v>
      </c>
      <c r="AA440">
        <v>0.93</v>
      </c>
      <c r="AB440">
        <v>12.81</v>
      </c>
      <c r="AE440">
        <v>1.79</v>
      </c>
      <c r="AF440">
        <v>1.54</v>
      </c>
      <c r="AI440">
        <v>7</v>
      </c>
      <c r="AL440">
        <v>57.764299999999999</v>
      </c>
      <c r="AT440" t="e">
        <v>#N/A</v>
      </c>
    </row>
    <row r="441" spans="4:46">
      <c r="D441" t="e">
        <v>#N/A</v>
      </c>
      <c r="E441" t="s">
        <v>4308</v>
      </c>
      <c r="F441" t="s">
        <v>4739</v>
      </c>
      <c r="H441" t="s">
        <v>4740</v>
      </c>
      <c r="I441" t="s">
        <v>4874</v>
      </c>
      <c r="J441" t="s">
        <v>5128</v>
      </c>
      <c r="K441" t="e">
        <v>#N/A</v>
      </c>
      <c r="L441" t="e">
        <v>#N/A</v>
      </c>
      <c r="M441">
        <v>31</v>
      </c>
      <c r="O441">
        <v>70.647000000000006</v>
      </c>
      <c r="P441">
        <v>-164.50200000000001</v>
      </c>
      <c r="Q441">
        <v>4.9000000000000004</v>
      </c>
      <c r="R441">
        <v>31.88</v>
      </c>
      <c r="S441">
        <v>284.62799999999999</v>
      </c>
      <c r="W441">
        <v>0.96299999999999997</v>
      </c>
      <c r="X441">
        <v>6</v>
      </c>
      <c r="Y441">
        <v>1.756</v>
      </c>
      <c r="AA441">
        <v>0.83</v>
      </c>
      <c r="AB441">
        <v>13.52</v>
      </c>
      <c r="AE441">
        <v>1.8</v>
      </c>
      <c r="AF441">
        <v>1.91</v>
      </c>
      <c r="AI441">
        <v>6</v>
      </c>
      <c r="AL441">
        <v>55.284399999999998</v>
      </c>
      <c r="AT441" t="e">
        <v>#N/A</v>
      </c>
    </row>
    <row r="442" spans="4:46">
      <c r="D442" t="e">
        <v>#N/A</v>
      </c>
      <c r="E442" t="s">
        <v>4308</v>
      </c>
      <c r="F442" t="s">
        <v>4739</v>
      </c>
      <c r="H442" t="s">
        <v>4740</v>
      </c>
      <c r="I442" t="s">
        <v>4874</v>
      </c>
      <c r="J442" t="s">
        <v>4743</v>
      </c>
      <c r="K442" t="e">
        <v>#N/A</v>
      </c>
      <c r="L442" t="e">
        <v>#N/A</v>
      </c>
      <c r="M442">
        <v>40</v>
      </c>
      <c r="O442">
        <v>70.647000000000006</v>
      </c>
      <c r="P442">
        <v>-164.50200000000001</v>
      </c>
      <c r="Q442">
        <v>4.9000000000000004</v>
      </c>
      <c r="R442">
        <v>31.88</v>
      </c>
      <c r="S442">
        <v>283.81299999999999</v>
      </c>
      <c r="W442">
        <v>1.0760000000000001</v>
      </c>
      <c r="X442">
        <v>3</v>
      </c>
      <c r="AI442">
        <v>3</v>
      </c>
      <c r="AL442">
        <v>54.411499999999997</v>
      </c>
      <c r="AT442" t="e">
        <v>#N/A</v>
      </c>
    </row>
    <row r="443" spans="4:46">
      <c r="D443" t="e">
        <v>#N/A</v>
      </c>
      <c r="E443" t="s">
        <v>4308</v>
      </c>
      <c r="F443" t="s">
        <v>4739</v>
      </c>
      <c r="H443" t="s">
        <v>4740</v>
      </c>
      <c r="I443" t="s">
        <v>4874</v>
      </c>
      <c r="J443" t="s">
        <v>4743</v>
      </c>
      <c r="K443" t="e">
        <v>#N/A</v>
      </c>
      <c r="L443" t="e">
        <v>#N/A</v>
      </c>
      <c r="M443">
        <v>40</v>
      </c>
      <c r="O443">
        <v>70.647000000000006</v>
      </c>
      <c r="P443">
        <v>-164.50200000000001</v>
      </c>
      <c r="Q443">
        <v>4.9000000000000004</v>
      </c>
      <c r="R443">
        <v>31.88</v>
      </c>
      <c r="S443">
        <v>283.81299999999999</v>
      </c>
      <c r="W443">
        <v>1.0760000000000001</v>
      </c>
      <c r="X443">
        <v>4</v>
      </c>
      <c r="AI443">
        <v>4</v>
      </c>
      <c r="AL443">
        <v>54.411499999999997</v>
      </c>
      <c r="AT443" t="e">
        <v>#N/A</v>
      </c>
    </row>
    <row r="444" spans="4:46">
      <c r="D444" t="e">
        <v>#N/A</v>
      </c>
      <c r="E444" t="s">
        <v>4308</v>
      </c>
      <c r="F444" t="s">
        <v>4733</v>
      </c>
      <c r="H444" t="s">
        <v>4734</v>
      </c>
      <c r="I444" t="s">
        <v>4870</v>
      </c>
      <c r="J444" t="s">
        <v>5123</v>
      </c>
      <c r="K444" t="e">
        <v>#N/A</v>
      </c>
      <c r="L444" t="e">
        <v>#N/A</v>
      </c>
      <c r="M444">
        <v>10</v>
      </c>
      <c r="O444">
        <v>70.524000000000001</v>
      </c>
      <c r="P444">
        <v>-164.12700000000001</v>
      </c>
      <c r="Q444">
        <v>5.64</v>
      </c>
      <c r="R444">
        <v>31.69</v>
      </c>
      <c r="S444">
        <v>282.55700000000002</v>
      </c>
      <c r="W444">
        <v>1.125</v>
      </c>
      <c r="X444">
        <v>4</v>
      </c>
      <c r="Y444">
        <v>1.4119999999999999</v>
      </c>
      <c r="AA444">
        <v>0.85</v>
      </c>
      <c r="AB444">
        <v>13.52</v>
      </c>
      <c r="AE444">
        <v>1.64</v>
      </c>
      <c r="AF444">
        <v>0.96</v>
      </c>
      <c r="AI444">
        <v>4</v>
      </c>
      <c r="AL444">
        <v>58.889299999999999</v>
      </c>
      <c r="AT444" t="e">
        <v>#N/A</v>
      </c>
    </row>
    <row r="445" spans="4:46">
      <c r="D445" t="e">
        <v>#N/A</v>
      </c>
      <c r="E445" t="s">
        <v>4308</v>
      </c>
      <c r="F445" t="s">
        <v>4733</v>
      </c>
      <c r="H445" t="s">
        <v>4734</v>
      </c>
      <c r="I445" t="s">
        <v>4870</v>
      </c>
      <c r="J445" t="s">
        <v>5124</v>
      </c>
      <c r="K445" t="e">
        <v>#N/A</v>
      </c>
      <c r="L445" t="e">
        <v>#N/A</v>
      </c>
      <c r="M445">
        <v>20</v>
      </c>
      <c r="O445">
        <v>70.524000000000001</v>
      </c>
      <c r="P445">
        <v>-164.12700000000001</v>
      </c>
      <c r="Q445">
        <v>5.61</v>
      </c>
      <c r="R445">
        <v>31.69</v>
      </c>
      <c r="S445">
        <v>282.14699999999999</v>
      </c>
      <c r="W445">
        <v>1.0209999999999999</v>
      </c>
      <c r="X445">
        <v>3</v>
      </c>
      <c r="Y445">
        <v>1.42</v>
      </c>
      <c r="AA445">
        <v>0.85</v>
      </c>
      <c r="AB445">
        <v>13.88</v>
      </c>
      <c r="AE445">
        <v>1.65</v>
      </c>
      <c r="AF445">
        <v>0.87</v>
      </c>
      <c r="AI445">
        <v>3</v>
      </c>
      <c r="AL445">
        <v>56.451700000000002</v>
      </c>
      <c r="AT445" t="e">
        <v>#N/A</v>
      </c>
    </row>
    <row r="446" spans="4:46">
      <c r="D446" t="e">
        <v>#N/A</v>
      </c>
      <c r="E446" t="s">
        <v>4308</v>
      </c>
      <c r="F446" t="s">
        <v>4733</v>
      </c>
      <c r="H446" t="s">
        <v>4734</v>
      </c>
      <c r="I446" t="s">
        <v>4870</v>
      </c>
      <c r="J446" t="s">
        <v>5125</v>
      </c>
      <c r="K446" t="e">
        <v>#N/A</v>
      </c>
      <c r="L446" t="e">
        <v>#N/A</v>
      </c>
      <c r="M446">
        <v>30</v>
      </c>
      <c r="O446">
        <v>70.524000000000001</v>
      </c>
      <c r="P446">
        <v>-164.12700000000001</v>
      </c>
      <c r="Q446">
        <v>5.6</v>
      </c>
      <c r="R446">
        <v>31.7</v>
      </c>
      <c r="S446">
        <v>280.24599999999998</v>
      </c>
      <c r="W446">
        <v>1.0920000000000001</v>
      </c>
      <c r="X446">
        <v>2</v>
      </c>
      <c r="Y446">
        <v>1.3959999999999999</v>
      </c>
      <c r="AA446">
        <v>0.86</v>
      </c>
      <c r="AB446">
        <v>14.23</v>
      </c>
      <c r="AE446">
        <v>1.58</v>
      </c>
      <c r="AF446">
        <v>1</v>
      </c>
      <c r="AI446">
        <v>2</v>
      </c>
      <c r="AL446">
        <v>52.224400000000003</v>
      </c>
      <c r="AT446" t="e">
        <v>#N/A</v>
      </c>
    </row>
    <row r="447" spans="4:46">
      <c r="D447" t="e">
        <v>#N/A</v>
      </c>
      <c r="E447" t="s">
        <v>4308</v>
      </c>
      <c r="F447" t="s">
        <v>4781</v>
      </c>
      <c r="H447" t="s">
        <v>4782</v>
      </c>
      <c r="I447" t="s">
        <v>4866</v>
      </c>
      <c r="J447" t="s">
        <v>5121</v>
      </c>
      <c r="K447" t="e">
        <v>#N/A</v>
      </c>
      <c r="L447" t="e">
        <v>#N/A</v>
      </c>
      <c r="M447">
        <v>10</v>
      </c>
      <c r="O447">
        <v>70.397999999999996</v>
      </c>
      <c r="P447">
        <v>-163.76499999999999</v>
      </c>
      <c r="Q447">
        <v>7.19</v>
      </c>
      <c r="R447">
        <v>30.98</v>
      </c>
      <c r="S447">
        <v>294.23200000000003</v>
      </c>
      <c r="W447">
        <v>2.6320000000000001</v>
      </c>
      <c r="X447">
        <v>4</v>
      </c>
      <c r="Y447">
        <v>2.1840000000000002</v>
      </c>
      <c r="AA447">
        <v>0.6</v>
      </c>
      <c r="AB447">
        <v>7.12</v>
      </c>
      <c r="AE447">
        <v>0.4</v>
      </c>
      <c r="AF447">
        <v>0.22</v>
      </c>
      <c r="AI447">
        <v>4</v>
      </c>
      <c r="AL447">
        <v>85.878900000000002</v>
      </c>
      <c r="AT447" t="e">
        <v>#N/A</v>
      </c>
    </row>
    <row r="448" spans="4:46">
      <c r="D448" t="e">
        <v>#N/A</v>
      </c>
      <c r="E448" t="s">
        <v>4308</v>
      </c>
      <c r="F448" t="s">
        <v>4781</v>
      </c>
      <c r="H448" t="s">
        <v>4782</v>
      </c>
      <c r="I448" t="s">
        <v>4866</v>
      </c>
      <c r="J448" t="s">
        <v>5122</v>
      </c>
      <c r="K448" t="e">
        <v>#N/A</v>
      </c>
      <c r="L448" t="e">
        <v>#N/A</v>
      </c>
      <c r="M448">
        <v>20</v>
      </c>
      <c r="O448">
        <v>70.397999999999996</v>
      </c>
      <c r="P448">
        <v>-163.76499999999999</v>
      </c>
      <c r="Q448">
        <v>6.85</v>
      </c>
      <c r="R448">
        <v>31.1</v>
      </c>
      <c r="S448">
        <v>287.78399999999999</v>
      </c>
      <c r="W448">
        <v>2.9119999999999999</v>
      </c>
      <c r="X448">
        <v>2</v>
      </c>
      <c r="Y448">
        <v>2.3719999999999999</v>
      </c>
      <c r="AA448">
        <v>0.61</v>
      </c>
      <c r="AB448">
        <v>6.76</v>
      </c>
      <c r="AE448">
        <v>0.44</v>
      </c>
      <c r="AF448">
        <v>0.22</v>
      </c>
      <c r="AI448">
        <v>2</v>
      </c>
      <c r="AL448">
        <v>86.290999999999997</v>
      </c>
      <c r="AT448" t="e">
        <v>#N/A</v>
      </c>
    </row>
    <row r="449" spans="3:46">
      <c r="D449" t="e">
        <v>#N/A</v>
      </c>
      <c r="E449" t="s">
        <v>4308</v>
      </c>
      <c r="F449" t="s">
        <v>4775</v>
      </c>
      <c r="H449" t="s">
        <v>4776</v>
      </c>
      <c r="I449" t="s">
        <v>4863</v>
      </c>
      <c r="J449" t="s">
        <v>5119</v>
      </c>
      <c r="K449" t="e">
        <v>#N/A</v>
      </c>
      <c r="L449" t="e">
        <v>#N/A</v>
      </c>
      <c r="M449">
        <v>10</v>
      </c>
      <c r="O449">
        <v>70.268000000000001</v>
      </c>
      <c r="P449">
        <v>-163.40600000000001</v>
      </c>
      <c r="Q449">
        <v>7.56</v>
      </c>
      <c r="R449">
        <v>30.69</v>
      </c>
      <c r="S449">
        <v>281.37900000000002</v>
      </c>
      <c r="W449">
        <v>1.4179999999999999</v>
      </c>
      <c r="X449">
        <v>3</v>
      </c>
      <c r="Y449">
        <v>2.1160000000000001</v>
      </c>
      <c r="AA449">
        <v>1.37</v>
      </c>
      <c r="AB449">
        <v>9.25</v>
      </c>
      <c r="AE449">
        <v>0.41</v>
      </c>
      <c r="AF449">
        <v>0.21</v>
      </c>
      <c r="AI449">
        <v>3</v>
      </c>
      <c r="AL449">
        <v>73.959800000000001</v>
      </c>
      <c r="AT449" t="e">
        <v>#N/A</v>
      </c>
    </row>
    <row r="450" spans="3:46">
      <c r="D450" t="e">
        <v>#N/A</v>
      </c>
      <c r="E450" t="s">
        <v>4308</v>
      </c>
      <c r="F450" t="s">
        <v>4775</v>
      </c>
      <c r="H450" t="s">
        <v>4776</v>
      </c>
      <c r="I450" t="s">
        <v>4863</v>
      </c>
      <c r="J450" t="s">
        <v>5120</v>
      </c>
      <c r="K450" t="e">
        <v>#N/A</v>
      </c>
      <c r="L450" t="e">
        <v>#N/A</v>
      </c>
      <c r="M450">
        <v>20</v>
      </c>
      <c r="O450">
        <v>70.268000000000001</v>
      </c>
      <c r="P450">
        <v>-163.40600000000001</v>
      </c>
      <c r="Q450">
        <v>7.47</v>
      </c>
      <c r="R450">
        <v>30.71</v>
      </c>
      <c r="S450">
        <v>275.81799999999998</v>
      </c>
      <c r="W450">
        <v>1.2889999999999999</v>
      </c>
      <c r="X450">
        <v>2</v>
      </c>
      <c r="Y450">
        <v>1.8520000000000001</v>
      </c>
      <c r="AA450">
        <v>0.79</v>
      </c>
      <c r="AB450">
        <v>10.32</v>
      </c>
      <c r="AE450">
        <v>0.62</v>
      </c>
      <c r="AF450">
        <v>0.28000000000000003</v>
      </c>
      <c r="AI450">
        <v>2</v>
      </c>
      <c r="AL450">
        <v>73.417199999999994</v>
      </c>
      <c r="AT450" t="e">
        <v>#N/A</v>
      </c>
    </row>
    <row r="451" spans="3:46">
      <c r="D451" t="e">
        <v>#N/A</v>
      </c>
      <c r="E451" t="s">
        <v>4308</v>
      </c>
      <c r="F451" t="s">
        <v>4769</v>
      </c>
      <c r="H451" t="s">
        <v>4770</v>
      </c>
      <c r="I451" t="s">
        <v>4860</v>
      </c>
      <c r="J451" t="s">
        <v>5118</v>
      </c>
      <c r="K451" t="e">
        <v>#N/A</v>
      </c>
      <c r="L451" t="e">
        <v>#N/A</v>
      </c>
      <c r="M451">
        <v>10</v>
      </c>
      <c r="O451">
        <v>70.141000000000005</v>
      </c>
      <c r="P451">
        <v>-163.05099999999999</v>
      </c>
      <c r="Q451">
        <v>7.59</v>
      </c>
      <c r="R451">
        <v>30.68</v>
      </c>
      <c r="S451">
        <v>272.45</v>
      </c>
      <c r="W451">
        <v>0.94099999999999995</v>
      </c>
      <c r="X451">
        <v>2</v>
      </c>
      <c r="Y451">
        <v>1.86</v>
      </c>
      <c r="AA451">
        <v>0.83</v>
      </c>
      <c r="AB451">
        <v>15.66</v>
      </c>
      <c r="AE451">
        <v>0.9</v>
      </c>
      <c r="AF451">
        <v>0.35</v>
      </c>
      <c r="AI451">
        <v>2</v>
      </c>
      <c r="AL451">
        <v>47.272500000000001</v>
      </c>
      <c r="AT451" t="e">
        <v>#N/A</v>
      </c>
    </row>
    <row r="452" spans="3:46">
      <c r="E452" t="s">
        <v>4308</v>
      </c>
      <c r="F452" t="s">
        <v>4366</v>
      </c>
      <c r="H452" t="s">
        <v>4367</v>
      </c>
      <c r="I452" t="s">
        <v>4797</v>
      </c>
      <c r="J452" t="s">
        <v>4799</v>
      </c>
      <c r="K452">
        <v>40</v>
      </c>
      <c r="M452">
        <v>39</v>
      </c>
      <c r="O452">
        <v>68.947999999999993</v>
      </c>
      <c r="P452">
        <v>-166.90799999999999</v>
      </c>
      <c r="Q452">
        <v>7.49</v>
      </c>
      <c r="R452">
        <v>31.7</v>
      </c>
      <c r="S452">
        <v>276.685</v>
      </c>
      <c r="W452">
        <v>0.32</v>
      </c>
      <c r="X452">
        <v>2</v>
      </c>
      <c r="AI452">
        <v>2</v>
      </c>
      <c r="AL452">
        <v>65.285799999999995</v>
      </c>
    </row>
    <row r="453" spans="3:46">
      <c r="C453" t="s">
        <v>5288</v>
      </c>
      <c r="E453" t="s">
        <v>4308</v>
      </c>
      <c r="F453" t="s">
        <v>4739</v>
      </c>
      <c r="H453" t="s">
        <v>4740</v>
      </c>
      <c r="I453" t="s">
        <v>4874</v>
      </c>
      <c r="J453" t="s">
        <v>4743</v>
      </c>
      <c r="K453" t="e">
        <v>#N/A</v>
      </c>
      <c r="L453" t="e">
        <v>#N/A</v>
      </c>
      <c r="M453">
        <v>40</v>
      </c>
      <c r="O453">
        <v>70.647000000000006</v>
      </c>
      <c r="P453">
        <v>-164.50200000000001</v>
      </c>
      <c r="Q453">
        <v>4.9000000000000004</v>
      </c>
      <c r="R453">
        <v>31.88</v>
      </c>
      <c r="S453">
        <v>283.81299999999999</v>
      </c>
      <c r="W453">
        <v>1.0760000000000001</v>
      </c>
      <c r="X453">
        <v>1</v>
      </c>
      <c r="AI453">
        <v>1</v>
      </c>
      <c r="AL453">
        <v>54.411499999999997</v>
      </c>
      <c r="AT453" t="e">
        <v>#N/A</v>
      </c>
    </row>
    <row r="454" spans="3:46">
      <c r="E454" t="s">
        <v>4308</v>
      </c>
      <c r="F454" t="s">
        <v>4739</v>
      </c>
      <c r="H454" t="s">
        <v>4740</v>
      </c>
      <c r="I454" t="s">
        <v>4874</v>
      </c>
      <c r="J454" t="s">
        <v>4876</v>
      </c>
      <c r="K454">
        <v>41</v>
      </c>
      <c r="M454">
        <v>41</v>
      </c>
      <c r="O454">
        <v>70.647000000000006</v>
      </c>
      <c r="P454">
        <v>-164.50200000000001</v>
      </c>
      <c r="Q454">
        <v>4.9000000000000004</v>
      </c>
      <c r="R454">
        <v>31.88</v>
      </c>
      <c r="S454">
        <v>284.29599999999999</v>
      </c>
      <c r="W454">
        <v>0.93</v>
      </c>
      <c r="X454">
        <v>2</v>
      </c>
      <c r="AI454">
        <v>2</v>
      </c>
      <c r="AL454">
        <v>52.6999</v>
      </c>
    </row>
  </sheetData>
  <phoneticPr fontId="7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Roman,Regular"&amp;A</oddHeader>
    <oddFooter>&amp;C&amp;"Times New Roman,Regular"Page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0"/>
  <sheetViews>
    <sheetView zoomScale="40" zoomScaleNormal="40" workbookViewId="0">
      <selection activeCell="B149" sqref="B149"/>
    </sheetView>
  </sheetViews>
  <sheetFormatPr baseColWidth="10" defaultColWidth="10.5" defaultRowHeight="16"/>
  <cols>
    <col min="1" max="1" width="24.5" customWidth="1"/>
    <col min="2" max="2" width="44.1640625" customWidth="1"/>
    <col min="3" max="3" width="17.1640625" customWidth="1"/>
    <col min="4" max="4" width="4.33203125" customWidth="1"/>
    <col min="5" max="5" width="8" customWidth="1"/>
    <col min="6" max="6" width="5.33203125" customWidth="1"/>
    <col min="7" max="7" width="6.83203125" customWidth="1"/>
    <col min="8" max="8" width="4.1640625" customWidth="1"/>
    <col min="9" max="9" width="9" customWidth="1"/>
    <col min="10" max="10" width="6.1640625" customWidth="1"/>
    <col min="11" max="11" width="8.33203125" customWidth="1"/>
    <col min="12" max="13" width="9.83203125" customWidth="1"/>
    <col min="14" max="14" width="6.1640625" customWidth="1"/>
    <col min="15" max="15" width="10.1640625" customWidth="1"/>
    <col min="16" max="16" width="24.5" customWidth="1"/>
  </cols>
  <sheetData>
    <row r="1" spans="1:15">
      <c r="A1" t="s">
        <v>5303</v>
      </c>
      <c r="B1" t="s">
        <v>1</v>
      </c>
      <c r="E1" t="s">
        <v>3</v>
      </c>
      <c r="F1" t="s">
        <v>5304</v>
      </c>
      <c r="G1" t="s">
        <v>5305</v>
      </c>
      <c r="H1" t="s">
        <v>5306</v>
      </c>
      <c r="I1" t="s">
        <v>4</v>
      </c>
      <c r="J1" t="s">
        <v>5307</v>
      </c>
      <c r="K1" t="s">
        <v>5308</v>
      </c>
      <c r="L1" t="s">
        <v>5309</v>
      </c>
      <c r="M1" t="s">
        <v>5310</v>
      </c>
      <c r="N1" t="s">
        <v>5307</v>
      </c>
      <c r="O1" t="s">
        <v>5311</v>
      </c>
    </row>
    <row r="2" spans="1:15">
      <c r="A2" t="s">
        <v>4311</v>
      </c>
      <c r="B2" t="s">
        <v>4307</v>
      </c>
      <c r="C2" t="str">
        <f t="shared" ref="C2:C33" si="0">I2&amp;"_"&amp;G2&amp;"_"&amp;H2&amp;"_"&amp;J2</f>
        <v>BC2_8_10_0</v>
      </c>
      <c r="D2">
        <v>1</v>
      </c>
      <c r="E2" t="s">
        <v>5312</v>
      </c>
      <c r="F2">
        <v>2015</v>
      </c>
      <c r="G2">
        <v>8</v>
      </c>
      <c r="H2">
        <v>10</v>
      </c>
      <c r="I2" t="s">
        <v>4788</v>
      </c>
      <c r="J2">
        <f t="shared" ref="J2:J33" si="1">ROUND(N2,0)</f>
        <v>0</v>
      </c>
      <c r="K2" t="s">
        <v>5313</v>
      </c>
      <c r="M2" t="s">
        <v>1688</v>
      </c>
      <c r="N2">
        <v>0</v>
      </c>
    </row>
    <row r="3" spans="1:15">
      <c r="A3" t="s">
        <v>4313</v>
      </c>
      <c r="B3" t="s">
        <v>4312</v>
      </c>
      <c r="C3" t="str">
        <f t="shared" si="0"/>
        <v>BC2_8_10_20</v>
      </c>
      <c r="D3">
        <v>2</v>
      </c>
      <c r="E3" t="s">
        <v>5312</v>
      </c>
      <c r="F3">
        <v>2015</v>
      </c>
      <c r="G3">
        <v>8</v>
      </c>
      <c r="H3">
        <v>10</v>
      </c>
      <c r="I3" t="s">
        <v>4788</v>
      </c>
      <c r="J3">
        <f t="shared" si="1"/>
        <v>20</v>
      </c>
      <c r="K3" t="s">
        <v>5313</v>
      </c>
      <c r="M3" t="s">
        <v>65</v>
      </c>
      <c r="N3">
        <v>20</v>
      </c>
    </row>
    <row r="4" spans="1:15">
      <c r="A4" t="s">
        <v>4315</v>
      </c>
      <c r="B4" t="s">
        <v>4314</v>
      </c>
      <c r="C4" t="str">
        <f t="shared" si="0"/>
        <v>BC2_8_10_50</v>
      </c>
      <c r="D4">
        <v>3</v>
      </c>
      <c r="E4" t="s">
        <v>5312</v>
      </c>
      <c r="F4">
        <v>2015</v>
      </c>
      <c r="G4">
        <v>8</v>
      </c>
      <c r="H4">
        <v>10</v>
      </c>
      <c r="I4" t="s">
        <v>4788</v>
      </c>
      <c r="J4">
        <f t="shared" si="1"/>
        <v>50</v>
      </c>
      <c r="K4" t="s">
        <v>5313</v>
      </c>
      <c r="M4" t="s">
        <v>150</v>
      </c>
      <c r="N4">
        <v>50</v>
      </c>
    </row>
    <row r="5" spans="1:15">
      <c r="A5" t="s">
        <v>4319</v>
      </c>
      <c r="B5" t="s">
        <v>4316</v>
      </c>
      <c r="C5" t="str">
        <f t="shared" si="0"/>
        <v>DBO3.4_8_12_3</v>
      </c>
      <c r="D5">
        <v>4</v>
      </c>
      <c r="E5" t="s">
        <v>5312</v>
      </c>
      <c r="F5">
        <v>2015</v>
      </c>
      <c r="G5">
        <v>8</v>
      </c>
      <c r="H5">
        <v>12</v>
      </c>
      <c r="I5" t="s">
        <v>1036</v>
      </c>
      <c r="J5">
        <f t="shared" si="1"/>
        <v>3</v>
      </c>
      <c r="K5" t="s">
        <v>5313</v>
      </c>
      <c r="M5" t="s">
        <v>1688</v>
      </c>
      <c r="N5">
        <v>2.5</v>
      </c>
    </row>
    <row r="6" spans="1:15">
      <c r="A6" t="s">
        <v>4321</v>
      </c>
      <c r="B6" t="s">
        <v>4320</v>
      </c>
      <c r="C6" t="str">
        <f t="shared" si="0"/>
        <v>DBO3.4_8_12_20</v>
      </c>
      <c r="D6">
        <v>5</v>
      </c>
      <c r="E6" t="s">
        <v>5312</v>
      </c>
      <c r="F6">
        <v>2015</v>
      </c>
      <c r="G6">
        <v>8</v>
      </c>
      <c r="H6">
        <v>12</v>
      </c>
      <c r="I6" t="s">
        <v>1036</v>
      </c>
      <c r="J6">
        <f t="shared" si="1"/>
        <v>20</v>
      </c>
      <c r="K6" t="s">
        <v>5313</v>
      </c>
      <c r="M6" t="s">
        <v>65</v>
      </c>
      <c r="N6">
        <v>20</v>
      </c>
    </row>
    <row r="7" spans="1:15">
      <c r="A7" t="s">
        <v>4323</v>
      </c>
      <c r="B7" t="s">
        <v>4322</v>
      </c>
      <c r="C7" t="str">
        <f t="shared" si="0"/>
        <v>DBO3.4_8_12_43</v>
      </c>
      <c r="D7">
        <v>6</v>
      </c>
      <c r="E7" t="s">
        <v>5312</v>
      </c>
      <c r="F7">
        <v>2015</v>
      </c>
      <c r="G7">
        <v>8</v>
      </c>
      <c r="H7">
        <v>12</v>
      </c>
      <c r="I7" t="s">
        <v>1036</v>
      </c>
      <c r="J7">
        <f t="shared" si="1"/>
        <v>43</v>
      </c>
      <c r="K7" t="s">
        <v>5313</v>
      </c>
      <c r="M7" t="s">
        <v>150</v>
      </c>
      <c r="N7">
        <v>43</v>
      </c>
    </row>
    <row r="8" spans="1:15">
      <c r="A8" t="s">
        <v>4329</v>
      </c>
      <c r="B8" t="s">
        <v>4328</v>
      </c>
      <c r="C8" t="str">
        <f t="shared" si="0"/>
        <v>DBO3.5_8_12_5</v>
      </c>
      <c r="D8">
        <v>7</v>
      </c>
      <c r="E8" t="s">
        <v>5312</v>
      </c>
      <c r="F8">
        <v>2015</v>
      </c>
      <c r="G8">
        <v>8</v>
      </c>
      <c r="H8">
        <v>12</v>
      </c>
      <c r="I8" t="s">
        <v>1059</v>
      </c>
      <c r="J8">
        <f t="shared" si="1"/>
        <v>5</v>
      </c>
      <c r="K8" t="s">
        <v>5313</v>
      </c>
      <c r="M8" t="s">
        <v>1688</v>
      </c>
      <c r="N8">
        <v>4.5</v>
      </c>
    </row>
    <row r="9" spans="1:15">
      <c r="A9" t="s">
        <v>4327</v>
      </c>
      <c r="B9" t="s">
        <v>4324</v>
      </c>
      <c r="C9" t="str">
        <f t="shared" si="0"/>
        <v>DBO3.5_8_12_21</v>
      </c>
      <c r="D9">
        <v>8</v>
      </c>
      <c r="E9" t="s">
        <v>5312</v>
      </c>
      <c r="F9">
        <v>2015</v>
      </c>
      <c r="G9">
        <v>8</v>
      </c>
      <c r="H9">
        <v>12</v>
      </c>
      <c r="I9" t="s">
        <v>1059</v>
      </c>
      <c r="J9">
        <f t="shared" si="1"/>
        <v>21</v>
      </c>
      <c r="K9" t="s">
        <v>5313</v>
      </c>
      <c r="M9" t="s">
        <v>65</v>
      </c>
      <c r="N9">
        <v>21</v>
      </c>
    </row>
    <row r="10" spans="1:15">
      <c r="A10" t="s">
        <v>4331</v>
      </c>
      <c r="B10" t="s">
        <v>4330</v>
      </c>
      <c r="C10" t="str">
        <f t="shared" si="0"/>
        <v>DBO3.5_8_12_47</v>
      </c>
      <c r="D10">
        <v>9</v>
      </c>
      <c r="E10" t="s">
        <v>5312</v>
      </c>
      <c r="F10">
        <v>2015</v>
      </c>
      <c r="G10">
        <v>8</v>
      </c>
      <c r="H10">
        <v>12</v>
      </c>
      <c r="I10" t="s">
        <v>1059</v>
      </c>
      <c r="J10">
        <f t="shared" si="1"/>
        <v>47</v>
      </c>
      <c r="K10" t="s">
        <v>5313</v>
      </c>
      <c r="M10" t="s">
        <v>150</v>
      </c>
      <c r="N10">
        <v>46.5</v>
      </c>
    </row>
    <row r="11" spans="1:15">
      <c r="A11" t="s">
        <v>4337</v>
      </c>
      <c r="B11" t="s">
        <v>4336</v>
      </c>
      <c r="C11" t="str">
        <f t="shared" si="0"/>
        <v>DBO3.6_8_12_5</v>
      </c>
      <c r="D11">
        <v>10</v>
      </c>
      <c r="E11" t="s">
        <v>5312</v>
      </c>
      <c r="F11">
        <v>2015</v>
      </c>
      <c r="G11">
        <v>8</v>
      </c>
      <c r="H11">
        <v>12</v>
      </c>
      <c r="I11" t="s">
        <v>1077</v>
      </c>
      <c r="J11">
        <f t="shared" si="1"/>
        <v>5</v>
      </c>
      <c r="K11" t="s">
        <v>5313</v>
      </c>
      <c r="M11" t="s">
        <v>1688</v>
      </c>
      <c r="N11">
        <v>4.5</v>
      </c>
    </row>
    <row r="12" spans="1:15">
      <c r="A12" t="s">
        <v>4335</v>
      </c>
      <c r="B12" t="s">
        <v>4332</v>
      </c>
      <c r="C12" t="str">
        <f t="shared" si="0"/>
        <v>DBO3.6_8_12_20</v>
      </c>
      <c r="D12">
        <v>11</v>
      </c>
      <c r="E12" t="s">
        <v>5312</v>
      </c>
      <c r="F12">
        <v>2015</v>
      </c>
      <c r="G12">
        <v>8</v>
      </c>
      <c r="H12">
        <v>12</v>
      </c>
      <c r="I12" t="s">
        <v>1077</v>
      </c>
      <c r="J12">
        <f t="shared" si="1"/>
        <v>20</v>
      </c>
      <c r="K12" t="s">
        <v>5313</v>
      </c>
      <c r="M12" t="s">
        <v>65</v>
      </c>
      <c r="N12">
        <v>20</v>
      </c>
    </row>
    <row r="13" spans="1:15">
      <c r="A13" t="s">
        <v>4339</v>
      </c>
      <c r="B13" t="s">
        <v>4338</v>
      </c>
      <c r="C13" t="str">
        <f t="shared" si="0"/>
        <v>DBO3.6_8_12_53</v>
      </c>
      <c r="D13">
        <v>12</v>
      </c>
      <c r="E13" t="s">
        <v>5312</v>
      </c>
      <c r="F13">
        <v>2015</v>
      </c>
      <c r="G13">
        <v>8</v>
      </c>
      <c r="H13">
        <v>12</v>
      </c>
      <c r="I13" t="s">
        <v>1077</v>
      </c>
      <c r="J13">
        <f t="shared" si="1"/>
        <v>53</v>
      </c>
      <c r="K13" t="s">
        <v>5313</v>
      </c>
      <c r="M13" t="s">
        <v>150</v>
      </c>
      <c r="N13">
        <v>53.4</v>
      </c>
    </row>
    <row r="14" spans="1:15">
      <c r="A14" t="s">
        <v>4347</v>
      </c>
      <c r="B14" t="s">
        <v>4346</v>
      </c>
      <c r="C14" t="str">
        <f t="shared" si="0"/>
        <v>DBO3.7_8_12_5</v>
      </c>
      <c r="D14">
        <v>13</v>
      </c>
      <c r="E14" t="s">
        <v>5312</v>
      </c>
      <c r="F14">
        <v>2015</v>
      </c>
      <c r="G14">
        <v>8</v>
      </c>
      <c r="H14">
        <v>12</v>
      </c>
      <c r="I14" t="s">
        <v>1112</v>
      </c>
      <c r="J14">
        <f t="shared" si="1"/>
        <v>5</v>
      </c>
      <c r="K14" t="s">
        <v>5313</v>
      </c>
      <c r="M14" t="s">
        <v>1688</v>
      </c>
      <c r="N14">
        <v>4.5</v>
      </c>
    </row>
    <row r="15" spans="1:15">
      <c r="A15" t="s">
        <v>4343</v>
      </c>
      <c r="B15" t="s">
        <v>4340</v>
      </c>
      <c r="C15" t="str">
        <f t="shared" si="0"/>
        <v>DBO3.7_8_12_20</v>
      </c>
      <c r="D15">
        <v>14</v>
      </c>
      <c r="E15" t="s">
        <v>5312</v>
      </c>
      <c r="F15">
        <v>2015</v>
      </c>
      <c r="G15">
        <v>8</v>
      </c>
      <c r="H15">
        <v>12</v>
      </c>
      <c r="I15" t="s">
        <v>1112</v>
      </c>
      <c r="J15">
        <f t="shared" si="1"/>
        <v>20</v>
      </c>
      <c r="K15" t="s">
        <v>5313</v>
      </c>
      <c r="M15" t="s">
        <v>65</v>
      </c>
      <c r="N15">
        <v>20.399999999999999</v>
      </c>
    </row>
    <row r="16" spans="1:15">
      <c r="A16" t="s">
        <v>4345</v>
      </c>
      <c r="B16" t="s">
        <v>4344</v>
      </c>
      <c r="C16" t="str">
        <f t="shared" si="0"/>
        <v>DBO3.7_8_12_31</v>
      </c>
      <c r="D16">
        <v>15</v>
      </c>
      <c r="E16" t="s">
        <v>5312</v>
      </c>
      <c r="F16">
        <v>2015</v>
      </c>
      <c r="G16">
        <v>8</v>
      </c>
      <c r="H16">
        <v>12</v>
      </c>
      <c r="I16" t="s">
        <v>1112</v>
      </c>
      <c r="J16">
        <f t="shared" si="1"/>
        <v>31</v>
      </c>
      <c r="K16" t="s">
        <v>5313</v>
      </c>
      <c r="M16" t="s">
        <v>150</v>
      </c>
      <c r="N16">
        <v>30.6</v>
      </c>
    </row>
    <row r="17" spans="1:14">
      <c r="A17" t="s">
        <v>4353</v>
      </c>
      <c r="B17" t="s">
        <v>4352</v>
      </c>
      <c r="C17" t="str">
        <f t="shared" si="0"/>
        <v>DBO3.8_8_12_5</v>
      </c>
      <c r="D17">
        <v>16</v>
      </c>
      <c r="E17" t="s">
        <v>5312</v>
      </c>
      <c r="F17">
        <v>2015</v>
      </c>
      <c r="G17">
        <v>8</v>
      </c>
      <c r="H17">
        <v>12</v>
      </c>
      <c r="I17" t="s">
        <v>1133</v>
      </c>
      <c r="J17">
        <f t="shared" si="1"/>
        <v>5</v>
      </c>
      <c r="K17" t="s">
        <v>5313</v>
      </c>
      <c r="M17" t="s">
        <v>1688</v>
      </c>
      <c r="N17">
        <v>4.5</v>
      </c>
    </row>
    <row r="18" spans="1:14">
      <c r="A18" t="s">
        <v>4351</v>
      </c>
      <c r="B18" t="s">
        <v>4348</v>
      </c>
      <c r="C18" t="str">
        <f t="shared" si="0"/>
        <v>DBO3.8_8_12_19</v>
      </c>
      <c r="D18">
        <v>17</v>
      </c>
      <c r="E18" t="s">
        <v>5312</v>
      </c>
      <c r="F18">
        <v>2015</v>
      </c>
      <c r="G18">
        <v>8</v>
      </c>
      <c r="H18">
        <v>12</v>
      </c>
      <c r="I18" t="s">
        <v>1133</v>
      </c>
      <c r="J18">
        <f t="shared" si="1"/>
        <v>19</v>
      </c>
      <c r="K18" t="s">
        <v>5313</v>
      </c>
      <c r="M18" t="s">
        <v>65</v>
      </c>
      <c r="N18">
        <v>18.600000000000001</v>
      </c>
    </row>
    <row r="19" spans="1:14">
      <c r="A19" t="s">
        <v>4355</v>
      </c>
      <c r="B19" t="s">
        <v>4354</v>
      </c>
      <c r="C19" t="str">
        <f t="shared" si="0"/>
        <v>DBO3.8_8_12_43</v>
      </c>
      <c r="D19">
        <v>18</v>
      </c>
      <c r="E19" t="s">
        <v>5312</v>
      </c>
      <c r="F19">
        <v>2015</v>
      </c>
      <c r="G19">
        <v>8</v>
      </c>
      <c r="H19">
        <v>12</v>
      </c>
      <c r="I19" t="s">
        <v>1133</v>
      </c>
      <c r="J19">
        <f t="shared" si="1"/>
        <v>43</v>
      </c>
      <c r="K19" t="s">
        <v>5313</v>
      </c>
      <c r="M19" t="s">
        <v>150</v>
      </c>
      <c r="N19">
        <v>43.3</v>
      </c>
    </row>
    <row r="20" spans="1:14">
      <c r="A20" t="s">
        <v>4362</v>
      </c>
      <c r="B20" t="s">
        <v>4361</v>
      </c>
      <c r="C20" t="str">
        <f t="shared" si="0"/>
        <v>CL0_8_13_5</v>
      </c>
      <c r="D20">
        <v>19</v>
      </c>
      <c r="E20" t="s">
        <v>5312</v>
      </c>
      <c r="F20">
        <v>2015</v>
      </c>
      <c r="G20">
        <v>8</v>
      </c>
      <c r="H20">
        <v>13</v>
      </c>
      <c r="I20" t="s">
        <v>630</v>
      </c>
      <c r="J20">
        <f t="shared" si="1"/>
        <v>5</v>
      </c>
      <c r="K20" t="s">
        <v>5313</v>
      </c>
      <c r="M20" t="s">
        <v>1688</v>
      </c>
      <c r="N20">
        <v>5.0999999999999996</v>
      </c>
    </row>
    <row r="21" spans="1:14">
      <c r="A21" t="s">
        <v>4364</v>
      </c>
      <c r="B21" t="s">
        <v>4363</v>
      </c>
      <c r="C21" t="str">
        <f t="shared" si="0"/>
        <v>CL0_8_13_10</v>
      </c>
      <c r="D21">
        <v>20</v>
      </c>
      <c r="E21" t="s">
        <v>5312</v>
      </c>
      <c r="F21">
        <v>2015</v>
      </c>
      <c r="G21">
        <v>8</v>
      </c>
      <c r="H21">
        <v>13</v>
      </c>
      <c r="I21" t="s">
        <v>630</v>
      </c>
      <c r="J21">
        <f t="shared" si="1"/>
        <v>10</v>
      </c>
      <c r="K21" t="s">
        <v>5313</v>
      </c>
      <c r="M21" t="s">
        <v>65</v>
      </c>
      <c r="N21">
        <v>9.8000000000000007</v>
      </c>
    </row>
    <row r="22" spans="1:14">
      <c r="A22" t="s">
        <v>4359</v>
      </c>
      <c r="B22" t="s">
        <v>4356</v>
      </c>
      <c r="C22" t="str">
        <f t="shared" si="0"/>
        <v>CL0_8_13_23</v>
      </c>
      <c r="D22">
        <v>21</v>
      </c>
      <c r="E22" t="s">
        <v>5312</v>
      </c>
      <c r="F22">
        <v>2015</v>
      </c>
      <c r="G22">
        <v>8</v>
      </c>
      <c r="H22">
        <v>13</v>
      </c>
      <c r="I22" t="s">
        <v>630</v>
      </c>
      <c r="J22">
        <f t="shared" si="1"/>
        <v>23</v>
      </c>
      <c r="K22" t="s">
        <v>5313</v>
      </c>
      <c r="L22" t="s">
        <v>5288</v>
      </c>
      <c r="M22" t="s">
        <v>150</v>
      </c>
      <c r="N22">
        <v>22.9</v>
      </c>
    </row>
    <row r="23" spans="1:14">
      <c r="A23" t="s">
        <v>4359</v>
      </c>
      <c r="B23" t="s">
        <v>4360</v>
      </c>
      <c r="C23" t="str">
        <f t="shared" si="0"/>
        <v>CL0_8_13_23</v>
      </c>
      <c r="D23">
        <v>22</v>
      </c>
      <c r="E23" t="s">
        <v>5312</v>
      </c>
      <c r="F23">
        <v>2015</v>
      </c>
      <c r="G23">
        <v>8</v>
      </c>
      <c r="H23">
        <v>13</v>
      </c>
      <c r="I23" t="s">
        <v>630</v>
      </c>
      <c r="J23">
        <f t="shared" si="1"/>
        <v>23</v>
      </c>
      <c r="K23" t="s">
        <v>5314</v>
      </c>
      <c r="M23" t="s">
        <v>150</v>
      </c>
      <c r="N23">
        <v>22.9</v>
      </c>
    </row>
    <row r="24" spans="1:14">
      <c r="A24" t="s">
        <v>4799</v>
      </c>
      <c r="B24" t="s">
        <v>4365</v>
      </c>
      <c r="C24" t="str">
        <f t="shared" si="0"/>
        <v>CL1_8_13_40</v>
      </c>
      <c r="D24">
        <v>23</v>
      </c>
      <c r="E24" t="s">
        <v>5312</v>
      </c>
      <c r="F24">
        <v>2015</v>
      </c>
      <c r="G24">
        <v>8</v>
      </c>
      <c r="H24">
        <v>13</v>
      </c>
      <c r="I24" t="s">
        <v>162</v>
      </c>
      <c r="J24">
        <f t="shared" si="1"/>
        <v>40</v>
      </c>
      <c r="K24" t="s">
        <v>5313</v>
      </c>
      <c r="M24" t="s">
        <v>150</v>
      </c>
      <c r="N24">
        <v>40</v>
      </c>
    </row>
    <row r="25" spans="1:14">
      <c r="A25" t="s">
        <v>4376</v>
      </c>
      <c r="B25" t="s">
        <v>4375</v>
      </c>
      <c r="C25" t="str">
        <f t="shared" si="0"/>
        <v>DBO3.1_8_13_5</v>
      </c>
      <c r="D25">
        <v>24</v>
      </c>
      <c r="E25" t="s">
        <v>5312</v>
      </c>
      <c r="F25">
        <v>2015</v>
      </c>
      <c r="G25">
        <v>8</v>
      </c>
      <c r="H25">
        <v>13</v>
      </c>
      <c r="I25" t="s">
        <v>999</v>
      </c>
      <c r="J25">
        <f t="shared" si="1"/>
        <v>5</v>
      </c>
      <c r="K25" t="s">
        <v>5313</v>
      </c>
      <c r="M25" t="s">
        <v>1688</v>
      </c>
      <c r="N25">
        <v>5.4</v>
      </c>
    </row>
    <row r="26" spans="1:14">
      <c r="A26" t="s">
        <v>4372</v>
      </c>
      <c r="B26" t="s">
        <v>4369</v>
      </c>
      <c r="C26" t="str">
        <f t="shared" si="0"/>
        <v>DBO3.1_8_13_11</v>
      </c>
      <c r="D26">
        <v>25</v>
      </c>
      <c r="E26" t="s">
        <v>5312</v>
      </c>
      <c r="F26">
        <v>2015</v>
      </c>
      <c r="G26">
        <v>8</v>
      </c>
      <c r="H26">
        <v>13</v>
      </c>
      <c r="I26" t="s">
        <v>999</v>
      </c>
      <c r="J26">
        <f t="shared" si="1"/>
        <v>11</v>
      </c>
      <c r="K26" t="s">
        <v>5313</v>
      </c>
      <c r="M26" t="s">
        <v>65</v>
      </c>
      <c r="N26">
        <v>10.8</v>
      </c>
    </row>
    <row r="27" spans="1:14">
      <c r="A27" t="s">
        <v>4374</v>
      </c>
      <c r="B27" t="s">
        <v>4373</v>
      </c>
      <c r="C27" t="str">
        <f t="shared" si="0"/>
        <v>DBO3.1_8_13_27</v>
      </c>
      <c r="D27">
        <v>26</v>
      </c>
      <c r="E27" t="s">
        <v>5312</v>
      </c>
      <c r="F27">
        <v>2015</v>
      </c>
      <c r="G27">
        <v>8</v>
      </c>
      <c r="H27">
        <v>13</v>
      </c>
      <c r="I27" t="s">
        <v>999</v>
      </c>
      <c r="J27">
        <f t="shared" si="1"/>
        <v>27</v>
      </c>
      <c r="K27" t="s">
        <v>5313</v>
      </c>
      <c r="M27" t="s">
        <v>150</v>
      </c>
      <c r="N27">
        <v>27.1</v>
      </c>
    </row>
    <row r="28" spans="1:14">
      <c r="A28" t="s">
        <v>4382</v>
      </c>
      <c r="B28" t="s">
        <v>4381</v>
      </c>
      <c r="C28" t="str">
        <f t="shared" si="0"/>
        <v>DBO3.2_8_13_4</v>
      </c>
      <c r="D28">
        <v>27</v>
      </c>
      <c r="E28" t="s">
        <v>5312</v>
      </c>
      <c r="F28">
        <v>2015</v>
      </c>
      <c r="G28">
        <v>8</v>
      </c>
      <c r="H28">
        <v>13</v>
      </c>
      <c r="I28" t="s">
        <v>1013</v>
      </c>
      <c r="J28">
        <f t="shared" si="1"/>
        <v>4</v>
      </c>
      <c r="K28" t="s">
        <v>5313</v>
      </c>
      <c r="M28" t="s">
        <v>1688</v>
      </c>
      <c r="N28">
        <v>3.6</v>
      </c>
    </row>
    <row r="29" spans="1:14">
      <c r="A29" t="s">
        <v>4380</v>
      </c>
      <c r="B29" t="s">
        <v>4377</v>
      </c>
      <c r="C29" t="str">
        <f t="shared" si="0"/>
        <v>DBO3.2_8_13_21</v>
      </c>
      <c r="D29">
        <v>28</v>
      </c>
      <c r="E29" t="s">
        <v>5312</v>
      </c>
      <c r="F29">
        <v>2015</v>
      </c>
      <c r="G29">
        <v>8</v>
      </c>
      <c r="H29">
        <v>13</v>
      </c>
      <c r="I29" t="s">
        <v>1013</v>
      </c>
      <c r="J29">
        <f t="shared" si="1"/>
        <v>21</v>
      </c>
      <c r="K29" t="s">
        <v>5313</v>
      </c>
      <c r="M29" t="s">
        <v>65</v>
      </c>
      <c r="N29">
        <v>20.5</v>
      </c>
    </row>
    <row r="30" spans="1:14">
      <c r="A30" t="s">
        <v>4384</v>
      </c>
      <c r="B30" t="s">
        <v>4383</v>
      </c>
      <c r="C30" t="str">
        <f t="shared" si="0"/>
        <v>DBO3.2_8_13_35</v>
      </c>
      <c r="D30">
        <v>29</v>
      </c>
      <c r="E30" t="s">
        <v>5312</v>
      </c>
      <c r="F30">
        <v>2015</v>
      </c>
      <c r="G30">
        <v>8</v>
      </c>
      <c r="H30">
        <v>13</v>
      </c>
      <c r="I30" t="s">
        <v>1013</v>
      </c>
      <c r="J30">
        <f t="shared" si="1"/>
        <v>35</v>
      </c>
      <c r="K30" t="s">
        <v>5313</v>
      </c>
      <c r="M30" t="s">
        <v>150</v>
      </c>
      <c r="N30">
        <v>35.200000000000003</v>
      </c>
    </row>
    <row r="31" spans="1:14">
      <c r="A31" t="s">
        <v>4390</v>
      </c>
      <c r="B31" t="s">
        <v>4389</v>
      </c>
      <c r="C31" t="str">
        <f t="shared" si="0"/>
        <v>DBO3.3_8_13_5</v>
      </c>
      <c r="D31">
        <v>30</v>
      </c>
      <c r="E31" t="s">
        <v>5312</v>
      </c>
      <c r="F31">
        <v>2015</v>
      </c>
      <c r="G31">
        <v>8</v>
      </c>
      <c r="H31">
        <v>13</v>
      </c>
      <c r="I31" t="s">
        <v>304</v>
      </c>
      <c r="J31">
        <f t="shared" si="1"/>
        <v>5</v>
      </c>
      <c r="K31" t="s">
        <v>5313</v>
      </c>
      <c r="M31" t="s">
        <v>1688</v>
      </c>
      <c r="N31">
        <v>5.4</v>
      </c>
    </row>
    <row r="32" spans="1:14">
      <c r="A32" t="s">
        <v>4388</v>
      </c>
      <c r="B32" t="s">
        <v>4385</v>
      </c>
      <c r="C32" t="str">
        <f t="shared" si="0"/>
        <v>DBO3.3_8_13_41</v>
      </c>
      <c r="D32">
        <v>31</v>
      </c>
      <c r="E32" t="s">
        <v>5312</v>
      </c>
      <c r="F32">
        <v>2015</v>
      </c>
      <c r="G32">
        <v>8</v>
      </c>
      <c r="H32">
        <v>13</v>
      </c>
      <c r="I32" t="s">
        <v>304</v>
      </c>
      <c r="J32">
        <f t="shared" si="1"/>
        <v>41</v>
      </c>
      <c r="K32" t="s">
        <v>5313</v>
      </c>
      <c r="M32" t="s">
        <v>150</v>
      </c>
      <c r="N32">
        <v>40.700000000000003</v>
      </c>
    </row>
    <row r="33" spans="1:14">
      <c r="A33" t="s">
        <v>4398</v>
      </c>
      <c r="B33" t="s">
        <v>4397</v>
      </c>
      <c r="C33" t="str">
        <f t="shared" si="0"/>
        <v>CL2_8_14_5</v>
      </c>
      <c r="D33">
        <v>32</v>
      </c>
      <c r="E33" t="s">
        <v>5312</v>
      </c>
      <c r="F33">
        <v>2015</v>
      </c>
      <c r="G33">
        <v>8</v>
      </c>
      <c r="H33">
        <v>14</v>
      </c>
      <c r="I33" t="s">
        <v>676</v>
      </c>
      <c r="J33">
        <f t="shared" si="1"/>
        <v>5</v>
      </c>
      <c r="K33" t="s">
        <v>5313</v>
      </c>
      <c r="M33" t="s">
        <v>1688</v>
      </c>
      <c r="N33">
        <v>5</v>
      </c>
    </row>
    <row r="34" spans="1:14">
      <c r="A34" t="s">
        <v>4394</v>
      </c>
      <c r="B34" t="s">
        <v>4391</v>
      </c>
      <c r="C34" t="str">
        <f t="shared" ref="C34:C65" si="2">I34&amp;"_"&amp;G34&amp;"_"&amp;H34&amp;"_"&amp;J34</f>
        <v>CL2_8_14_11</v>
      </c>
      <c r="D34">
        <v>33</v>
      </c>
      <c r="E34" t="s">
        <v>5312</v>
      </c>
      <c r="F34">
        <v>2015</v>
      </c>
      <c r="G34">
        <v>8</v>
      </c>
      <c r="H34">
        <v>14</v>
      </c>
      <c r="I34" t="s">
        <v>676</v>
      </c>
      <c r="J34">
        <f t="shared" ref="J34:J65" si="3">ROUND(N34,0)</f>
        <v>11</v>
      </c>
      <c r="K34" t="s">
        <v>5313</v>
      </c>
      <c r="M34" t="s">
        <v>65</v>
      </c>
      <c r="N34">
        <v>10.5</v>
      </c>
    </row>
    <row r="35" spans="1:14">
      <c r="A35" t="s">
        <v>4396</v>
      </c>
      <c r="B35" t="s">
        <v>4395</v>
      </c>
      <c r="C35" t="str">
        <f t="shared" si="2"/>
        <v>CL2_8_14_42</v>
      </c>
      <c r="D35">
        <v>34</v>
      </c>
      <c r="E35" t="s">
        <v>5312</v>
      </c>
      <c r="F35">
        <v>2015</v>
      </c>
      <c r="G35">
        <v>8</v>
      </c>
      <c r="H35">
        <v>14</v>
      </c>
      <c r="I35" t="s">
        <v>676</v>
      </c>
      <c r="J35">
        <f t="shared" si="3"/>
        <v>42</v>
      </c>
      <c r="K35" t="s">
        <v>5313</v>
      </c>
      <c r="M35" t="s">
        <v>150</v>
      </c>
      <c r="N35">
        <v>41.7</v>
      </c>
    </row>
    <row r="36" spans="1:14">
      <c r="A36" t="s">
        <v>4406</v>
      </c>
      <c r="B36" t="s">
        <v>4405</v>
      </c>
      <c r="C36" t="str">
        <f t="shared" si="2"/>
        <v>CL2.5_8_14_5</v>
      </c>
      <c r="D36">
        <v>35</v>
      </c>
      <c r="E36" t="s">
        <v>5312</v>
      </c>
      <c r="F36">
        <v>2015</v>
      </c>
      <c r="G36">
        <v>8</v>
      </c>
      <c r="H36">
        <v>14</v>
      </c>
      <c r="I36" t="s">
        <v>690</v>
      </c>
      <c r="J36">
        <f t="shared" si="3"/>
        <v>5</v>
      </c>
      <c r="K36" t="s">
        <v>5313</v>
      </c>
      <c r="M36" t="s">
        <v>1688</v>
      </c>
      <c r="N36">
        <v>5</v>
      </c>
    </row>
    <row r="37" spans="1:14">
      <c r="A37" t="s">
        <v>4402</v>
      </c>
      <c r="B37" t="s">
        <v>4399</v>
      </c>
      <c r="C37" t="str">
        <f t="shared" si="2"/>
        <v>CL2.5_8_14_20</v>
      </c>
      <c r="D37">
        <v>36</v>
      </c>
      <c r="E37" t="s">
        <v>5312</v>
      </c>
      <c r="F37">
        <v>2015</v>
      </c>
      <c r="G37">
        <v>8</v>
      </c>
      <c r="H37">
        <v>14</v>
      </c>
      <c r="I37" t="s">
        <v>690</v>
      </c>
      <c r="J37">
        <f t="shared" si="3"/>
        <v>20</v>
      </c>
      <c r="K37" t="s">
        <v>5313</v>
      </c>
      <c r="M37" t="s">
        <v>65</v>
      </c>
      <c r="N37">
        <v>20.100000000000001</v>
      </c>
    </row>
    <row r="38" spans="1:14">
      <c r="A38" t="s">
        <v>4404</v>
      </c>
      <c r="B38" t="s">
        <v>4403</v>
      </c>
      <c r="C38" t="str">
        <f t="shared" si="2"/>
        <v>CL2.5_8_14_43</v>
      </c>
      <c r="D38">
        <v>37</v>
      </c>
      <c r="E38" t="s">
        <v>5312</v>
      </c>
      <c r="F38">
        <v>2015</v>
      </c>
      <c r="G38">
        <v>8</v>
      </c>
      <c r="H38">
        <v>14</v>
      </c>
      <c r="I38" t="s">
        <v>690</v>
      </c>
      <c r="J38">
        <f t="shared" si="3"/>
        <v>43</v>
      </c>
      <c r="K38" t="s">
        <v>5313</v>
      </c>
      <c r="M38" t="s">
        <v>150</v>
      </c>
      <c r="N38">
        <v>42.5</v>
      </c>
    </row>
    <row r="39" spans="1:14">
      <c r="A39" t="s">
        <v>4414</v>
      </c>
      <c r="B39" t="s">
        <v>4413</v>
      </c>
      <c r="C39" t="str">
        <f t="shared" si="2"/>
        <v>CL3_8_14_5</v>
      </c>
      <c r="D39">
        <v>38</v>
      </c>
      <c r="E39" t="s">
        <v>5312</v>
      </c>
      <c r="F39">
        <v>2015</v>
      </c>
      <c r="G39">
        <v>8</v>
      </c>
      <c r="H39">
        <v>14</v>
      </c>
      <c r="I39" t="s">
        <v>196</v>
      </c>
      <c r="J39">
        <f t="shared" si="3"/>
        <v>5</v>
      </c>
      <c r="K39" t="s">
        <v>5313</v>
      </c>
      <c r="M39" t="s">
        <v>1688</v>
      </c>
      <c r="N39">
        <v>5.4</v>
      </c>
    </row>
    <row r="40" spans="1:14">
      <c r="A40" t="s">
        <v>4410</v>
      </c>
      <c r="B40" t="s">
        <v>4407</v>
      </c>
      <c r="C40" t="str">
        <f t="shared" si="2"/>
        <v>CL3_8_14_21</v>
      </c>
      <c r="D40">
        <v>39</v>
      </c>
      <c r="E40" t="s">
        <v>5312</v>
      </c>
      <c r="F40">
        <v>2015</v>
      </c>
      <c r="G40">
        <v>8</v>
      </c>
      <c r="H40">
        <v>14</v>
      </c>
      <c r="I40" t="s">
        <v>196</v>
      </c>
      <c r="J40">
        <f t="shared" si="3"/>
        <v>21</v>
      </c>
      <c r="K40" t="s">
        <v>5313</v>
      </c>
      <c r="M40" t="s">
        <v>65</v>
      </c>
      <c r="N40">
        <v>20.5</v>
      </c>
    </row>
    <row r="41" spans="1:14">
      <c r="A41" t="s">
        <v>4412</v>
      </c>
      <c r="B41" t="s">
        <v>4411</v>
      </c>
      <c r="C41" t="str">
        <f t="shared" si="2"/>
        <v>CL3_8_14_42</v>
      </c>
      <c r="D41">
        <v>40</v>
      </c>
      <c r="E41" t="s">
        <v>5312</v>
      </c>
      <c r="F41">
        <v>2015</v>
      </c>
      <c r="G41">
        <v>8</v>
      </c>
      <c r="H41">
        <v>14</v>
      </c>
      <c r="I41" t="s">
        <v>196</v>
      </c>
      <c r="J41">
        <f t="shared" si="3"/>
        <v>42</v>
      </c>
      <c r="K41" t="s">
        <v>5313</v>
      </c>
      <c r="M41" t="s">
        <v>150</v>
      </c>
      <c r="N41">
        <v>42.4</v>
      </c>
    </row>
    <row r="42" spans="1:14">
      <c r="B42" t="s">
        <v>5315</v>
      </c>
      <c r="C42" t="str">
        <f t="shared" si="2"/>
        <v>ML6.1_8_15_5</v>
      </c>
      <c r="D42">
        <v>41</v>
      </c>
      <c r="E42" t="s">
        <v>5312</v>
      </c>
      <c r="F42">
        <v>2015</v>
      </c>
      <c r="G42">
        <v>8</v>
      </c>
      <c r="H42">
        <v>15</v>
      </c>
      <c r="I42" t="s">
        <v>2151</v>
      </c>
      <c r="J42">
        <f t="shared" si="3"/>
        <v>5</v>
      </c>
      <c r="K42" t="s">
        <v>5313</v>
      </c>
      <c r="M42" t="s">
        <v>1688</v>
      </c>
      <c r="N42">
        <v>5.3</v>
      </c>
    </row>
    <row r="43" spans="1:14">
      <c r="A43" t="s">
        <v>4418</v>
      </c>
      <c r="B43" t="s">
        <v>4415</v>
      </c>
      <c r="C43" t="str">
        <f t="shared" si="2"/>
        <v>ML6.1_8_15_30</v>
      </c>
      <c r="D43">
        <v>42</v>
      </c>
      <c r="E43" t="s">
        <v>5312</v>
      </c>
      <c r="F43">
        <v>2015</v>
      </c>
      <c r="G43">
        <v>8</v>
      </c>
      <c r="H43">
        <v>15</v>
      </c>
      <c r="I43" t="s">
        <v>2151</v>
      </c>
      <c r="J43">
        <f t="shared" si="3"/>
        <v>30</v>
      </c>
      <c r="K43" t="s">
        <v>5313</v>
      </c>
      <c r="M43" t="s">
        <v>150</v>
      </c>
      <c r="N43">
        <v>29.6</v>
      </c>
    </row>
    <row r="44" spans="1:14">
      <c r="A44" t="s">
        <v>4424</v>
      </c>
      <c r="B44" t="s">
        <v>4423</v>
      </c>
      <c r="C44" t="str">
        <f t="shared" si="2"/>
        <v>ML6.2_8_15_6</v>
      </c>
      <c r="D44">
        <v>43</v>
      </c>
      <c r="E44" t="s">
        <v>5312</v>
      </c>
      <c r="F44">
        <v>2015</v>
      </c>
      <c r="G44">
        <v>8</v>
      </c>
      <c r="H44">
        <v>15</v>
      </c>
      <c r="I44" t="s">
        <v>4004</v>
      </c>
      <c r="J44">
        <f t="shared" si="3"/>
        <v>6</v>
      </c>
      <c r="K44" t="s">
        <v>5313</v>
      </c>
      <c r="M44" t="s">
        <v>1688</v>
      </c>
      <c r="N44">
        <v>5.5</v>
      </c>
    </row>
    <row r="45" spans="1:14">
      <c r="A45" t="s">
        <v>4422</v>
      </c>
      <c r="B45" t="s">
        <v>4419</v>
      </c>
      <c r="C45" t="str">
        <f t="shared" si="2"/>
        <v>ML6.2_8_15_28</v>
      </c>
      <c r="D45">
        <v>44</v>
      </c>
      <c r="E45" t="s">
        <v>5312</v>
      </c>
      <c r="F45">
        <v>2015</v>
      </c>
      <c r="G45">
        <v>8</v>
      </c>
      <c r="H45">
        <v>15</v>
      </c>
      <c r="I45" t="s">
        <v>4004</v>
      </c>
      <c r="J45">
        <f t="shared" si="3"/>
        <v>28</v>
      </c>
      <c r="K45" t="s">
        <v>5313</v>
      </c>
      <c r="M45" t="s">
        <v>150</v>
      </c>
      <c r="N45">
        <v>27.5</v>
      </c>
    </row>
    <row r="46" spans="1:14">
      <c r="A46" t="s">
        <v>4430</v>
      </c>
      <c r="B46" t="s">
        <v>4429</v>
      </c>
      <c r="C46" t="str">
        <f t="shared" si="2"/>
        <v>ML6.3_8_15_5</v>
      </c>
      <c r="D46">
        <v>45</v>
      </c>
      <c r="E46" t="s">
        <v>5312</v>
      </c>
      <c r="F46">
        <v>2015</v>
      </c>
      <c r="G46">
        <v>8</v>
      </c>
      <c r="H46">
        <v>15</v>
      </c>
      <c r="I46" t="s">
        <v>4024</v>
      </c>
      <c r="J46">
        <f t="shared" si="3"/>
        <v>5</v>
      </c>
      <c r="K46" t="s">
        <v>5313</v>
      </c>
      <c r="L46" t="s">
        <v>5288</v>
      </c>
      <c r="M46" t="s">
        <v>1688</v>
      </c>
      <c r="N46">
        <v>5.0999999999999996</v>
      </c>
    </row>
    <row r="47" spans="1:14">
      <c r="A47" t="s">
        <v>4428</v>
      </c>
      <c r="B47" t="s">
        <v>4425</v>
      </c>
      <c r="C47" t="str">
        <f t="shared" si="2"/>
        <v>ML6.3_8_15_32</v>
      </c>
      <c r="D47">
        <v>46</v>
      </c>
      <c r="E47" t="s">
        <v>5312</v>
      </c>
      <c r="F47">
        <v>2015</v>
      </c>
      <c r="G47">
        <v>8</v>
      </c>
      <c r="H47">
        <v>15</v>
      </c>
      <c r="I47" t="s">
        <v>4024</v>
      </c>
      <c r="J47">
        <f t="shared" si="3"/>
        <v>32</v>
      </c>
      <c r="K47" t="s">
        <v>5314</v>
      </c>
      <c r="M47" t="s">
        <v>150</v>
      </c>
      <c r="N47">
        <v>32.1</v>
      </c>
    </row>
    <row r="48" spans="1:14">
      <c r="A48" t="s">
        <v>4436</v>
      </c>
      <c r="B48" t="s">
        <v>4435</v>
      </c>
      <c r="C48" t="str">
        <f t="shared" si="2"/>
        <v>ML6.5_8_16_5</v>
      </c>
      <c r="D48">
        <v>47</v>
      </c>
      <c r="E48" t="s">
        <v>5312</v>
      </c>
      <c r="F48">
        <v>2015</v>
      </c>
      <c r="G48">
        <v>8</v>
      </c>
      <c r="H48">
        <v>16</v>
      </c>
      <c r="I48" t="s">
        <v>4067</v>
      </c>
      <c r="J48">
        <f t="shared" si="3"/>
        <v>5</v>
      </c>
      <c r="K48" t="s">
        <v>5313</v>
      </c>
      <c r="M48" t="s">
        <v>1688</v>
      </c>
      <c r="N48">
        <v>4.8</v>
      </c>
    </row>
    <row r="49" spans="1:14">
      <c r="A49" t="s">
        <v>4434</v>
      </c>
      <c r="B49" t="s">
        <v>4431</v>
      </c>
      <c r="C49" t="str">
        <f t="shared" si="2"/>
        <v>ML6.5_8_16_32</v>
      </c>
      <c r="D49">
        <v>48</v>
      </c>
      <c r="E49" t="s">
        <v>5312</v>
      </c>
      <c r="F49">
        <v>2015</v>
      </c>
      <c r="G49">
        <v>8</v>
      </c>
      <c r="H49">
        <v>16</v>
      </c>
      <c r="I49" t="s">
        <v>4067</v>
      </c>
      <c r="J49">
        <f t="shared" si="3"/>
        <v>32</v>
      </c>
      <c r="K49" t="s">
        <v>5313</v>
      </c>
      <c r="M49" t="s">
        <v>150</v>
      </c>
      <c r="N49">
        <v>31.5</v>
      </c>
    </row>
    <row r="50" spans="1:14">
      <c r="A50" t="s">
        <v>4444</v>
      </c>
      <c r="B50" t="s">
        <v>4443</v>
      </c>
      <c r="C50" t="str">
        <f t="shared" si="2"/>
        <v>ML6.6_8_16_5</v>
      </c>
      <c r="D50">
        <v>49</v>
      </c>
      <c r="E50" t="s">
        <v>5312</v>
      </c>
      <c r="F50">
        <v>2015</v>
      </c>
      <c r="G50">
        <v>8</v>
      </c>
      <c r="H50">
        <v>16</v>
      </c>
      <c r="I50" t="s">
        <v>4086</v>
      </c>
      <c r="J50">
        <f t="shared" si="3"/>
        <v>5</v>
      </c>
      <c r="K50" t="s">
        <v>5313</v>
      </c>
      <c r="M50" t="s">
        <v>1688</v>
      </c>
      <c r="N50">
        <v>5.3</v>
      </c>
    </row>
    <row r="51" spans="1:14">
      <c r="A51" t="s">
        <v>4440</v>
      </c>
      <c r="B51" t="s">
        <v>4437</v>
      </c>
      <c r="C51" t="str">
        <f t="shared" si="2"/>
        <v>ML6.6_8_16_23</v>
      </c>
      <c r="D51">
        <v>50</v>
      </c>
      <c r="E51" t="s">
        <v>5312</v>
      </c>
      <c r="F51">
        <v>2015</v>
      </c>
      <c r="G51">
        <v>8</v>
      </c>
      <c r="H51">
        <v>16</v>
      </c>
      <c r="I51" t="s">
        <v>4086</v>
      </c>
      <c r="J51">
        <f t="shared" si="3"/>
        <v>23</v>
      </c>
      <c r="K51" t="s">
        <v>5313</v>
      </c>
      <c r="M51" t="s">
        <v>65</v>
      </c>
      <c r="N51">
        <v>22.9</v>
      </c>
    </row>
    <row r="52" spans="1:14">
      <c r="A52" t="s">
        <v>4442</v>
      </c>
      <c r="B52" t="s">
        <v>4441</v>
      </c>
      <c r="C52" t="str">
        <f t="shared" si="2"/>
        <v>ML6.6_8_16_34</v>
      </c>
      <c r="D52">
        <v>51</v>
      </c>
      <c r="E52" t="s">
        <v>5312</v>
      </c>
      <c r="F52">
        <v>2015</v>
      </c>
      <c r="G52">
        <v>8</v>
      </c>
      <c r="H52">
        <v>16</v>
      </c>
      <c r="I52" t="s">
        <v>4086</v>
      </c>
      <c r="J52">
        <f t="shared" si="3"/>
        <v>34</v>
      </c>
      <c r="K52" t="s">
        <v>5313</v>
      </c>
      <c r="M52" t="s">
        <v>150</v>
      </c>
      <c r="N52">
        <v>34.4</v>
      </c>
    </row>
    <row r="53" spans="1:14">
      <c r="A53" t="s">
        <v>4448</v>
      </c>
      <c r="B53" t="s">
        <v>4445</v>
      </c>
      <c r="C53" t="str">
        <f t="shared" si="2"/>
        <v>ML6.7_8_16_3</v>
      </c>
      <c r="D53">
        <v>52</v>
      </c>
      <c r="E53" t="s">
        <v>5312</v>
      </c>
      <c r="F53">
        <v>2015</v>
      </c>
      <c r="G53">
        <v>8</v>
      </c>
      <c r="H53">
        <v>16</v>
      </c>
      <c r="I53" t="s">
        <v>2179</v>
      </c>
      <c r="J53">
        <f t="shared" si="3"/>
        <v>3</v>
      </c>
      <c r="K53" t="s">
        <v>5313</v>
      </c>
      <c r="M53" t="s">
        <v>1688</v>
      </c>
      <c r="N53">
        <v>2.8</v>
      </c>
    </row>
    <row r="54" spans="1:14">
      <c r="A54" t="s">
        <v>4450</v>
      </c>
      <c r="B54" t="s">
        <v>4449</v>
      </c>
      <c r="C54" t="str">
        <f t="shared" si="2"/>
        <v>ML6.7_8_16_22</v>
      </c>
      <c r="D54">
        <v>53</v>
      </c>
      <c r="E54" t="s">
        <v>5312</v>
      </c>
      <c r="F54">
        <v>2015</v>
      </c>
      <c r="G54">
        <v>8</v>
      </c>
      <c r="H54">
        <v>16</v>
      </c>
      <c r="I54" t="s">
        <v>2179</v>
      </c>
      <c r="J54">
        <f t="shared" si="3"/>
        <v>22</v>
      </c>
      <c r="K54" t="s">
        <v>5313</v>
      </c>
      <c r="M54" t="s">
        <v>65</v>
      </c>
      <c r="N54">
        <v>21.8</v>
      </c>
    </row>
    <row r="55" spans="1:14">
      <c r="A55" t="s">
        <v>4452</v>
      </c>
      <c r="B55" t="s">
        <v>4451</v>
      </c>
      <c r="C55" t="str">
        <f t="shared" si="2"/>
        <v>ML6.7_8_16_40</v>
      </c>
      <c r="D55">
        <v>54</v>
      </c>
      <c r="E55" t="s">
        <v>5312</v>
      </c>
      <c r="F55">
        <v>2015</v>
      </c>
      <c r="G55">
        <v>8</v>
      </c>
      <c r="H55">
        <v>16</v>
      </c>
      <c r="I55" t="s">
        <v>2179</v>
      </c>
      <c r="J55">
        <f t="shared" si="3"/>
        <v>40</v>
      </c>
      <c r="K55" t="s">
        <v>5313</v>
      </c>
      <c r="M55" t="s">
        <v>150</v>
      </c>
      <c r="N55">
        <v>39.9</v>
      </c>
    </row>
    <row r="56" spans="1:14">
      <c r="A56" t="s">
        <v>4460</v>
      </c>
      <c r="B56" t="s">
        <v>4459</v>
      </c>
      <c r="C56" t="str">
        <f t="shared" si="2"/>
        <v>ML6.8_8_16_4</v>
      </c>
      <c r="D56">
        <v>55</v>
      </c>
      <c r="E56" t="s">
        <v>5312</v>
      </c>
      <c r="F56">
        <v>2015</v>
      </c>
      <c r="G56">
        <v>8</v>
      </c>
      <c r="H56">
        <v>16</v>
      </c>
      <c r="I56" t="s">
        <v>4106</v>
      </c>
      <c r="J56">
        <f t="shared" si="3"/>
        <v>4</v>
      </c>
      <c r="K56" t="s">
        <v>5313</v>
      </c>
      <c r="M56" t="s">
        <v>1688</v>
      </c>
      <c r="N56">
        <v>4.3</v>
      </c>
    </row>
    <row r="57" spans="1:14">
      <c r="A57" t="s">
        <v>4456</v>
      </c>
      <c r="B57" t="s">
        <v>4453</v>
      </c>
      <c r="C57" t="str">
        <f t="shared" si="2"/>
        <v>ML6.8_8_16_21</v>
      </c>
      <c r="D57">
        <v>56</v>
      </c>
      <c r="E57" t="s">
        <v>5312</v>
      </c>
      <c r="F57">
        <v>2015</v>
      </c>
      <c r="G57">
        <v>8</v>
      </c>
      <c r="H57">
        <v>16</v>
      </c>
      <c r="I57" t="s">
        <v>4106</v>
      </c>
      <c r="J57">
        <f t="shared" si="3"/>
        <v>21</v>
      </c>
      <c r="K57" t="s">
        <v>5313</v>
      </c>
      <c r="M57" t="s">
        <v>65</v>
      </c>
      <c r="N57">
        <v>21</v>
      </c>
    </row>
    <row r="58" spans="1:14">
      <c r="A58" t="s">
        <v>4458</v>
      </c>
      <c r="B58" t="s">
        <v>4457</v>
      </c>
      <c r="C58" t="str">
        <f t="shared" si="2"/>
        <v>ML6.8_8_16_36</v>
      </c>
      <c r="D58">
        <v>57</v>
      </c>
      <c r="E58" t="s">
        <v>5312</v>
      </c>
      <c r="F58">
        <v>2015</v>
      </c>
      <c r="G58">
        <v>8</v>
      </c>
      <c r="H58">
        <v>16</v>
      </c>
      <c r="I58" t="s">
        <v>4106</v>
      </c>
      <c r="J58">
        <f t="shared" si="3"/>
        <v>36</v>
      </c>
      <c r="K58" t="s">
        <v>5313</v>
      </c>
      <c r="M58" t="s">
        <v>150</v>
      </c>
      <c r="N58">
        <v>36.200000000000003</v>
      </c>
    </row>
    <row r="59" spans="1:14">
      <c r="A59" t="s">
        <v>4468</v>
      </c>
      <c r="B59" t="s">
        <v>4467</v>
      </c>
      <c r="C59" t="str">
        <f t="shared" si="2"/>
        <v>ML6.9_8_16_7</v>
      </c>
      <c r="D59">
        <v>58</v>
      </c>
      <c r="E59" t="s">
        <v>5312</v>
      </c>
      <c r="F59">
        <v>2015</v>
      </c>
      <c r="G59">
        <v>8</v>
      </c>
      <c r="H59">
        <v>16</v>
      </c>
      <c r="I59" t="s">
        <v>2229</v>
      </c>
      <c r="J59">
        <f t="shared" si="3"/>
        <v>7</v>
      </c>
      <c r="K59" t="s">
        <v>5313</v>
      </c>
      <c r="M59" t="s">
        <v>1688</v>
      </c>
      <c r="N59">
        <v>7.1</v>
      </c>
    </row>
    <row r="60" spans="1:14">
      <c r="A60" t="s">
        <v>4464</v>
      </c>
      <c r="B60" t="s">
        <v>4461</v>
      </c>
      <c r="C60" t="str">
        <f t="shared" si="2"/>
        <v>ML6.9_8_16_22</v>
      </c>
      <c r="D60">
        <v>59</v>
      </c>
      <c r="E60" t="s">
        <v>5312</v>
      </c>
      <c r="F60">
        <v>2015</v>
      </c>
      <c r="G60">
        <v>8</v>
      </c>
      <c r="H60">
        <v>16</v>
      </c>
      <c r="I60" t="s">
        <v>2229</v>
      </c>
      <c r="J60">
        <f t="shared" si="3"/>
        <v>22</v>
      </c>
      <c r="K60" t="s">
        <v>5313</v>
      </c>
      <c r="M60" t="s">
        <v>65</v>
      </c>
      <c r="N60">
        <v>21.8</v>
      </c>
    </row>
    <row r="61" spans="1:14">
      <c r="A61" t="s">
        <v>4466</v>
      </c>
      <c r="B61" t="s">
        <v>4465</v>
      </c>
      <c r="C61" t="str">
        <f t="shared" si="2"/>
        <v>ML6.9_8_16_47</v>
      </c>
      <c r="D61">
        <v>60</v>
      </c>
      <c r="E61" t="s">
        <v>5312</v>
      </c>
      <c r="F61">
        <v>2015</v>
      </c>
      <c r="G61">
        <v>8</v>
      </c>
      <c r="H61">
        <v>16</v>
      </c>
      <c r="I61" t="s">
        <v>2229</v>
      </c>
      <c r="J61">
        <f t="shared" si="3"/>
        <v>47</v>
      </c>
      <c r="K61" t="s">
        <v>5313</v>
      </c>
      <c r="M61" t="s">
        <v>150</v>
      </c>
      <c r="N61">
        <v>47.3</v>
      </c>
    </row>
    <row r="62" spans="1:14">
      <c r="A62" t="s">
        <v>4474</v>
      </c>
      <c r="B62" t="s">
        <v>4473</v>
      </c>
      <c r="C62" t="str">
        <f t="shared" si="2"/>
        <v>ML4.1_8_19_4</v>
      </c>
      <c r="D62">
        <v>61</v>
      </c>
      <c r="E62" t="s">
        <v>5312</v>
      </c>
      <c r="F62">
        <v>2015</v>
      </c>
      <c r="G62">
        <v>8</v>
      </c>
      <c r="H62">
        <v>19</v>
      </c>
      <c r="I62" t="s">
        <v>3609</v>
      </c>
      <c r="J62">
        <f t="shared" si="3"/>
        <v>4</v>
      </c>
      <c r="K62" t="s">
        <v>5313</v>
      </c>
      <c r="M62" t="s">
        <v>1688</v>
      </c>
      <c r="N62">
        <v>3.9</v>
      </c>
    </row>
    <row r="63" spans="1:14">
      <c r="A63" t="s">
        <v>4472</v>
      </c>
      <c r="B63" t="s">
        <v>4469</v>
      </c>
      <c r="C63" t="str">
        <f t="shared" si="2"/>
        <v>ML4.1_8_19_23</v>
      </c>
      <c r="D63">
        <v>62</v>
      </c>
      <c r="E63" t="s">
        <v>5312</v>
      </c>
      <c r="F63">
        <v>2015</v>
      </c>
      <c r="G63">
        <v>8</v>
      </c>
      <c r="H63">
        <v>19</v>
      </c>
      <c r="I63" t="s">
        <v>3609</v>
      </c>
      <c r="J63">
        <f t="shared" si="3"/>
        <v>23</v>
      </c>
      <c r="K63" t="s">
        <v>5313</v>
      </c>
      <c r="M63" t="s">
        <v>150</v>
      </c>
      <c r="N63">
        <v>22.7</v>
      </c>
    </row>
    <row r="64" spans="1:14">
      <c r="A64" t="s">
        <v>4482</v>
      </c>
      <c r="B64" t="s">
        <v>4481</v>
      </c>
      <c r="C64" t="str">
        <f t="shared" si="2"/>
        <v>ML4.2_8_19_6</v>
      </c>
      <c r="D64">
        <v>63</v>
      </c>
      <c r="E64" t="s">
        <v>5312</v>
      </c>
      <c r="F64">
        <v>2015</v>
      </c>
      <c r="G64">
        <v>8</v>
      </c>
      <c r="H64">
        <v>19</v>
      </c>
      <c r="I64" t="s">
        <v>3713</v>
      </c>
      <c r="J64">
        <f t="shared" si="3"/>
        <v>6</v>
      </c>
      <c r="K64" t="s">
        <v>5313</v>
      </c>
      <c r="M64" t="s">
        <v>1688</v>
      </c>
      <c r="N64">
        <v>5.7</v>
      </c>
    </row>
    <row r="65" spans="1:14">
      <c r="A65" t="s">
        <v>4478</v>
      </c>
      <c r="B65" t="s">
        <v>4475</v>
      </c>
      <c r="C65" t="str">
        <f t="shared" si="2"/>
        <v>ML4.2_8_19_30</v>
      </c>
      <c r="D65">
        <v>64</v>
      </c>
      <c r="E65" t="s">
        <v>5312</v>
      </c>
      <c r="F65">
        <v>2015</v>
      </c>
      <c r="G65">
        <v>8</v>
      </c>
      <c r="H65">
        <v>19</v>
      </c>
      <c r="I65" t="s">
        <v>3713</v>
      </c>
      <c r="J65">
        <f t="shared" si="3"/>
        <v>30</v>
      </c>
      <c r="K65" t="s">
        <v>5313</v>
      </c>
      <c r="M65" t="s">
        <v>65</v>
      </c>
      <c r="N65">
        <v>30.4</v>
      </c>
    </row>
    <row r="66" spans="1:14">
      <c r="A66" t="s">
        <v>4480</v>
      </c>
      <c r="B66" t="s">
        <v>4479</v>
      </c>
      <c r="C66" t="str">
        <f t="shared" ref="C66:C97" si="4">I66&amp;"_"&amp;G66&amp;"_"&amp;H66&amp;"_"&amp;J66</f>
        <v>ML4.2_8_19_41</v>
      </c>
      <c r="D66">
        <v>65</v>
      </c>
      <c r="E66" t="s">
        <v>5312</v>
      </c>
      <c r="F66">
        <v>2015</v>
      </c>
      <c r="G66">
        <v>8</v>
      </c>
      <c r="H66">
        <v>19</v>
      </c>
      <c r="I66" t="s">
        <v>3713</v>
      </c>
      <c r="J66">
        <f t="shared" ref="J66:J97" si="5">ROUND(N66,0)</f>
        <v>41</v>
      </c>
      <c r="K66" t="s">
        <v>5313</v>
      </c>
      <c r="M66" t="s">
        <v>150</v>
      </c>
      <c r="N66">
        <v>40.6</v>
      </c>
    </row>
    <row r="67" spans="1:14">
      <c r="A67" t="s">
        <v>4488</v>
      </c>
      <c r="B67" t="s">
        <v>4487</v>
      </c>
      <c r="C67" t="str">
        <f t="shared" si="4"/>
        <v>ML4.3_8_19_5</v>
      </c>
      <c r="D67">
        <v>66</v>
      </c>
      <c r="E67" t="s">
        <v>5312</v>
      </c>
      <c r="F67">
        <v>2015</v>
      </c>
      <c r="G67">
        <v>8</v>
      </c>
      <c r="H67">
        <v>19</v>
      </c>
      <c r="I67" t="s">
        <v>3737</v>
      </c>
      <c r="J67">
        <f t="shared" si="5"/>
        <v>5</v>
      </c>
      <c r="K67" t="s">
        <v>5313</v>
      </c>
      <c r="M67" t="s">
        <v>1688</v>
      </c>
      <c r="N67">
        <v>5.0999999999999996</v>
      </c>
    </row>
    <row r="68" spans="1:14">
      <c r="A68" t="s">
        <v>4486</v>
      </c>
      <c r="B68" t="s">
        <v>4483</v>
      </c>
      <c r="C68" t="str">
        <f t="shared" si="4"/>
        <v>ML4.3_8_19_29</v>
      </c>
      <c r="D68">
        <v>67</v>
      </c>
      <c r="E68" t="s">
        <v>5312</v>
      </c>
      <c r="F68">
        <v>2015</v>
      </c>
      <c r="G68">
        <v>8</v>
      </c>
      <c r="H68">
        <v>19</v>
      </c>
      <c r="I68" t="s">
        <v>3737</v>
      </c>
      <c r="J68">
        <f t="shared" si="5"/>
        <v>29</v>
      </c>
      <c r="K68" t="s">
        <v>5313</v>
      </c>
      <c r="M68" t="s">
        <v>65</v>
      </c>
      <c r="N68">
        <v>29</v>
      </c>
    </row>
    <row r="69" spans="1:14">
      <c r="A69" t="s">
        <v>4490</v>
      </c>
      <c r="B69" t="s">
        <v>4489</v>
      </c>
      <c r="C69" t="str">
        <f t="shared" si="4"/>
        <v>ML4.3_8_19_51</v>
      </c>
      <c r="D69">
        <v>68</v>
      </c>
      <c r="E69" t="s">
        <v>5312</v>
      </c>
      <c r="F69">
        <v>2015</v>
      </c>
      <c r="G69">
        <v>8</v>
      </c>
      <c r="H69">
        <v>19</v>
      </c>
      <c r="I69" t="s">
        <v>3737</v>
      </c>
      <c r="J69">
        <f t="shared" si="5"/>
        <v>51</v>
      </c>
      <c r="K69" t="s">
        <v>5313</v>
      </c>
      <c r="M69" t="s">
        <v>150</v>
      </c>
      <c r="N69">
        <v>50.8</v>
      </c>
    </row>
    <row r="70" spans="1:14">
      <c r="A70" t="s">
        <v>4496</v>
      </c>
      <c r="B70" t="s">
        <v>4495</v>
      </c>
      <c r="C70" t="str">
        <f t="shared" si="4"/>
        <v>ML6.10_8_19_6</v>
      </c>
      <c r="D70">
        <v>69</v>
      </c>
      <c r="E70" t="s">
        <v>5312</v>
      </c>
      <c r="F70">
        <v>2015</v>
      </c>
      <c r="G70">
        <v>8</v>
      </c>
      <c r="H70">
        <v>19</v>
      </c>
      <c r="I70" t="s">
        <v>3964</v>
      </c>
      <c r="J70">
        <f t="shared" si="5"/>
        <v>6</v>
      </c>
      <c r="K70" t="s">
        <v>5313</v>
      </c>
      <c r="M70" t="s">
        <v>1688</v>
      </c>
      <c r="N70">
        <v>5.5</v>
      </c>
    </row>
    <row r="71" spans="1:14">
      <c r="A71" t="s">
        <v>4494</v>
      </c>
      <c r="B71" t="s">
        <v>4491</v>
      </c>
      <c r="C71" t="str">
        <f t="shared" si="4"/>
        <v>ML6.10_8_19_30</v>
      </c>
      <c r="D71">
        <v>70</v>
      </c>
      <c r="E71" t="s">
        <v>5312</v>
      </c>
      <c r="F71">
        <v>2015</v>
      </c>
      <c r="G71">
        <v>8</v>
      </c>
      <c r="H71">
        <v>19</v>
      </c>
      <c r="I71" t="s">
        <v>3964</v>
      </c>
      <c r="J71">
        <f t="shared" si="5"/>
        <v>30</v>
      </c>
      <c r="K71" t="s">
        <v>5313</v>
      </c>
      <c r="M71" t="s">
        <v>65</v>
      </c>
      <c r="N71">
        <v>30.4</v>
      </c>
    </row>
    <row r="72" spans="1:14">
      <c r="A72" t="s">
        <v>4498</v>
      </c>
      <c r="B72" t="s">
        <v>4497</v>
      </c>
      <c r="C72" t="str">
        <f t="shared" si="4"/>
        <v>ML6.10_8_19_50</v>
      </c>
      <c r="D72">
        <v>71</v>
      </c>
      <c r="E72" t="s">
        <v>5312</v>
      </c>
      <c r="F72">
        <v>2015</v>
      </c>
      <c r="G72">
        <v>8</v>
      </c>
      <c r="H72">
        <v>19</v>
      </c>
      <c r="I72" t="s">
        <v>3964</v>
      </c>
      <c r="J72">
        <f t="shared" si="5"/>
        <v>50</v>
      </c>
      <c r="K72" t="s">
        <v>5313</v>
      </c>
      <c r="M72" t="s">
        <v>150</v>
      </c>
      <c r="N72">
        <v>50.1</v>
      </c>
    </row>
    <row r="73" spans="1:14">
      <c r="A73" t="s">
        <v>4513</v>
      </c>
      <c r="B73" t="s">
        <v>4512</v>
      </c>
      <c r="C73" t="str">
        <f t="shared" si="4"/>
        <v>ML6.11_8_19_5</v>
      </c>
      <c r="D73">
        <v>72</v>
      </c>
      <c r="E73" t="s">
        <v>5312</v>
      </c>
      <c r="F73">
        <v>2015</v>
      </c>
      <c r="G73">
        <v>8</v>
      </c>
      <c r="H73">
        <v>19</v>
      </c>
      <c r="I73" t="s">
        <v>3980</v>
      </c>
      <c r="J73">
        <f t="shared" si="5"/>
        <v>5</v>
      </c>
      <c r="K73" t="s">
        <v>5313</v>
      </c>
      <c r="M73" t="s">
        <v>1688</v>
      </c>
      <c r="N73">
        <v>5.3</v>
      </c>
    </row>
    <row r="74" spans="1:14">
      <c r="A74" t="s">
        <v>4503</v>
      </c>
      <c r="B74" t="s">
        <v>4499</v>
      </c>
      <c r="C74" t="str">
        <f t="shared" si="4"/>
        <v>ML6.11_8_19_10</v>
      </c>
      <c r="D74">
        <v>73</v>
      </c>
      <c r="E74" t="s">
        <v>5312</v>
      </c>
      <c r="F74">
        <v>2015</v>
      </c>
      <c r="G74">
        <v>8</v>
      </c>
      <c r="H74">
        <v>19</v>
      </c>
      <c r="I74" t="s">
        <v>3980</v>
      </c>
      <c r="J74">
        <f t="shared" si="5"/>
        <v>10</v>
      </c>
      <c r="K74" t="s">
        <v>5313</v>
      </c>
      <c r="M74" t="s">
        <v>4502</v>
      </c>
      <c r="N74">
        <v>10.1</v>
      </c>
    </row>
    <row r="75" spans="1:14">
      <c r="A75" t="s">
        <v>4506</v>
      </c>
      <c r="B75" t="s">
        <v>4504</v>
      </c>
      <c r="C75" t="str">
        <f t="shared" si="4"/>
        <v>ML6.11_8_19_20</v>
      </c>
      <c r="D75">
        <v>74</v>
      </c>
      <c r="E75" t="s">
        <v>5312</v>
      </c>
      <c r="F75">
        <v>2015</v>
      </c>
      <c r="G75">
        <v>8</v>
      </c>
      <c r="H75">
        <v>19</v>
      </c>
      <c r="I75" t="s">
        <v>3980</v>
      </c>
      <c r="J75">
        <f t="shared" si="5"/>
        <v>20</v>
      </c>
      <c r="K75" t="s">
        <v>5314</v>
      </c>
      <c r="M75" t="s">
        <v>4505</v>
      </c>
      <c r="N75">
        <v>20.100000000000001</v>
      </c>
    </row>
    <row r="76" spans="1:14">
      <c r="A76" t="s">
        <v>4509</v>
      </c>
      <c r="B76" t="s">
        <v>4507</v>
      </c>
      <c r="C76" t="str">
        <f t="shared" si="4"/>
        <v>ML6.11_8_19_31</v>
      </c>
      <c r="D76">
        <v>75</v>
      </c>
      <c r="E76" t="s">
        <v>5312</v>
      </c>
      <c r="F76">
        <v>2015</v>
      </c>
      <c r="G76">
        <v>8</v>
      </c>
      <c r="H76">
        <v>19</v>
      </c>
      <c r="I76" t="s">
        <v>3980</v>
      </c>
      <c r="J76">
        <f t="shared" si="5"/>
        <v>31</v>
      </c>
      <c r="K76" t="s">
        <v>5316</v>
      </c>
      <c r="M76" t="s">
        <v>4508</v>
      </c>
      <c r="N76">
        <v>31.2</v>
      </c>
    </row>
    <row r="77" spans="1:14">
      <c r="A77" t="s">
        <v>4511</v>
      </c>
      <c r="B77" t="s">
        <v>4510</v>
      </c>
      <c r="C77" t="str">
        <f t="shared" si="4"/>
        <v>ML6.11_8_19_46</v>
      </c>
      <c r="D77">
        <v>76</v>
      </c>
      <c r="E77" t="s">
        <v>5312</v>
      </c>
      <c r="F77">
        <v>2015</v>
      </c>
      <c r="G77">
        <v>8</v>
      </c>
      <c r="H77">
        <v>19</v>
      </c>
      <c r="I77" t="s">
        <v>3980</v>
      </c>
      <c r="J77">
        <f t="shared" si="5"/>
        <v>46</v>
      </c>
      <c r="K77" t="s">
        <v>5313</v>
      </c>
      <c r="M77" t="s">
        <v>150</v>
      </c>
      <c r="N77">
        <v>46</v>
      </c>
    </row>
    <row r="78" spans="1:14">
      <c r="A78" t="s">
        <v>4519</v>
      </c>
      <c r="B78" t="s">
        <v>4518</v>
      </c>
      <c r="C78" t="str">
        <f t="shared" si="4"/>
        <v>ML4.5_8_20_5</v>
      </c>
      <c r="D78">
        <v>77</v>
      </c>
      <c r="E78" t="s">
        <v>5312</v>
      </c>
      <c r="F78">
        <v>2015</v>
      </c>
      <c r="G78">
        <v>8</v>
      </c>
      <c r="H78">
        <v>20</v>
      </c>
      <c r="I78" t="s">
        <v>3754</v>
      </c>
      <c r="J78">
        <f t="shared" si="5"/>
        <v>5</v>
      </c>
      <c r="K78" t="s">
        <v>5313</v>
      </c>
      <c r="M78" t="s">
        <v>1688</v>
      </c>
      <c r="N78">
        <v>4.9000000000000004</v>
      </c>
    </row>
    <row r="79" spans="1:14">
      <c r="A79" t="s">
        <v>4517</v>
      </c>
      <c r="B79" t="s">
        <v>4514</v>
      </c>
      <c r="C79" t="str">
        <f t="shared" si="4"/>
        <v>ML4.5_8_20_30</v>
      </c>
      <c r="D79">
        <v>78</v>
      </c>
      <c r="E79" t="s">
        <v>5312</v>
      </c>
      <c r="F79">
        <v>2015</v>
      </c>
      <c r="G79">
        <v>8</v>
      </c>
      <c r="H79">
        <v>20</v>
      </c>
      <c r="I79" t="s">
        <v>3754</v>
      </c>
      <c r="J79">
        <f t="shared" si="5"/>
        <v>30</v>
      </c>
      <c r="K79" t="s">
        <v>5313</v>
      </c>
      <c r="M79" t="s">
        <v>1488</v>
      </c>
      <c r="N79">
        <v>30</v>
      </c>
    </row>
    <row r="80" spans="1:14">
      <c r="A80" t="s">
        <v>4521</v>
      </c>
      <c r="B80" t="s">
        <v>4520</v>
      </c>
      <c r="C80" t="str">
        <f t="shared" si="4"/>
        <v>ML4.5_8_20_45</v>
      </c>
      <c r="D80">
        <v>79</v>
      </c>
      <c r="E80" t="s">
        <v>5312</v>
      </c>
      <c r="F80">
        <v>2015</v>
      </c>
      <c r="G80">
        <v>8</v>
      </c>
      <c r="H80">
        <v>20</v>
      </c>
      <c r="I80" t="s">
        <v>3754</v>
      </c>
      <c r="J80">
        <f t="shared" si="5"/>
        <v>45</v>
      </c>
      <c r="K80" t="s">
        <v>5313</v>
      </c>
      <c r="M80" t="s">
        <v>150</v>
      </c>
      <c r="N80">
        <v>45</v>
      </c>
    </row>
    <row r="81" spans="1:14">
      <c r="A81" t="s">
        <v>4529</v>
      </c>
      <c r="B81" t="s">
        <v>4528</v>
      </c>
      <c r="C81" t="str">
        <f t="shared" si="4"/>
        <v>ML4.6_8_20_5</v>
      </c>
      <c r="D81">
        <v>80</v>
      </c>
      <c r="E81" t="s">
        <v>5312</v>
      </c>
      <c r="F81">
        <v>2015</v>
      </c>
      <c r="G81">
        <v>8</v>
      </c>
      <c r="H81">
        <v>20</v>
      </c>
      <c r="I81" t="s">
        <v>3773</v>
      </c>
      <c r="J81">
        <f t="shared" si="5"/>
        <v>5</v>
      </c>
      <c r="K81" t="s">
        <v>5313</v>
      </c>
      <c r="M81" t="s">
        <v>1688</v>
      </c>
      <c r="N81">
        <v>5.2</v>
      </c>
    </row>
    <row r="82" spans="1:14">
      <c r="A82" t="s">
        <v>4525</v>
      </c>
      <c r="B82" t="s">
        <v>4522</v>
      </c>
      <c r="C82" t="str">
        <f t="shared" si="4"/>
        <v>ML4.6_8_20_28</v>
      </c>
      <c r="D82">
        <v>81</v>
      </c>
      <c r="E82" t="s">
        <v>5312</v>
      </c>
      <c r="F82">
        <v>2015</v>
      </c>
      <c r="G82">
        <v>8</v>
      </c>
      <c r="H82">
        <v>20</v>
      </c>
      <c r="I82" t="s">
        <v>3773</v>
      </c>
      <c r="J82">
        <f t="shared" si="5"/>
        <v>28</v>
      </c>
      <c r="K82" t="s">
        <v>5313</v>
      </c>
      <c r="M82" t="s">
        <v>1488</v>
      </c>
      <c r="N82">
        <v>27.5</v>
      </c>
    </row>
    <row r="83" spans="1:14">
      <c r="A83" t="s">
        <v>4527</v>
      </c>
      <c r="B83" t="s">
        <v>4526</v>
      </c>
      <c r="C83" t="str">
        <f t="shared" si="4"/>
        <v>ML4.6_8_20_43</v>
      </c>
      <c r="D83">
        <v>82</v>
      </c>
      <c r="E83" t="s">
        <v>5312</v>
      </c>
      <c r="F83">
        <v>2015</v>
      </c>
      <c r="G83">
        <v>8</v>
      </c>
      <c r="H83">
        <v>20</v>
      </c>
      <c r="I83" t="s">
        <v>3773</v>
      </c>
      <c r="J83">
        <f t="shared" si="5"/>
        <v>43</v>
      </c>
      <c r="K83" t="s">
        <v>5313</v>
      </c>
      <c r="M83" t="s">
        <v>150</v>
      </c>
      <c r="N83">
        <v>42.7</v>
      </c>
    </row>
    <row r="84" spans="1:14">
      <c r="A84" t="s">
        <v>4537</v>
      </c>
      <c r="B84" t="s">
        <v>4536</v>
      </c>
      <c r="C84" t="str">
        <f t="shared" si="4"/>
        <v>ML4.7_8_20_5</v>
      </c>
      <c r="D84">
        <v>83</v>
      </c>
      <c r="E84" t="s">
        <v>5312</v>
      </c>
      <c r="F84">
        <v>2015</v>
      </c>
      <c r="G84">
        <v>8</v>
      </c>
      <c r="H84">
        <v>20</v>
      </c>
      <c r="I84" t="s">
        <v>3807</v>
      </c>
      <c r="J84">
        <f t="shared" si="5"/>
        <v>5</v>
      </c>
      <c r="K84" t="s">
        <v>5313</v>
      </c>
      <c r="M84" t="s">
        <v>1688</v>
      </c>
      <c r="N84">
        <v>5.4</v>
      </c>
    </row>
    <row r="85" spans="1:14">
      <c r="A85" t="s">
        <v>4533</v>
      </c>
      <c r="B85" t="s">
        <v>4530</v>
      </c>
      <c r="C85" t="str">
        <f t="shared" si="4"/>
        <v>ML4.7_8_20_31</v>
      </c>
      <c r="D85">
        <v>84</v>
      </c>
      <c r="E85" t="s">
        <v>5312</v>
      </c>
      <c r="F85">
        <v>2015</v>
      </c>
      <c r="G85">
        <v>8</v>
      </c>
      <c r="H85">
        <v>20</v>
      </c>
      <c r="I85" t="s">
        <v>3807</v>
      </c>
      <c r="J85">
        <f t="shared" si="5"/>
        <v>31</v>
      </c>
      <c r="K85" t="s">
        <v>5313</v>
      </c>
      <c r="M85" t="s">
        <v>1488</v>
      </c>
      <c r="N85">
        <v>31.1</v>
      </c>
    </row>
    <row r="86" spans="1:14">
      <c r="A86" t="s">
        <v>4535</v>
      </c>
      <c r="B86" t="s">
        <v>4534</v>
      </c>
      <c r="C86" t="str">
        <f t="shared" si="4"/>
        <v>ML4.7_8_20_43</v>
      </c>
      <c r="D86">
        <v>85</v>
      </c>
      <c r="E86" t="s">
        <v>5312</v>
      </c>
      <c r="F86">
        <v>2015</v>
      </c>
      <c r="G86">
        <v>8</v>
      </c>
      <c r="H86">
        <v>20</v>
      </c>
      <c r="I86" t="s">
        <v>3807</v>
      </c>
      <c r="J86">
        <f t="shared" si="5"/>
        <v>43</v>
      </c>
      <c r="K86" t="s">
        <v>5313</v>
      </c>
      <c r="M86" t="s">
        <v>150</v>
      </c>
      <c r="N86">
        <v>42.6</v>
      </c>
    </row>
    <row r="87" spans="1:14">
      <c r="A87" t="s">
        <v>4543</v>
      </c>
      <c r="B87" t="s">
        <v>4542</v>
      </c>
      <c r="C87" t="str">
        <f t="shared" si="4"/>
        <v>ML4.10_8_21_6</v>
      </c>
      <c r="D87">
        <v>86</v>
      </c>
      <c r="E87" t="s">
        <v>5312</v>
      </c>
      <c r="F87">
        <v>2015</v>
      </c>
      <c r="G87">
        <v>8</v>
      </c>
      <c r="H87">
        <v>21</v>
      </c>
      <c r="I87" t="s">
        <v>3624</v>
      </c>
      <c r="J87">
        <f t="shared" si="5"/>
        <v>6</v>
      </c>
      <c r="K87" t="s">
        <v>5313</v>
      </c>
      <c r="M87" t="s">
        <v>1688</v>
      </c>
      <c r="N87">
        <v>5.5</v>
      </c>
    </row>
    <row r="88" spans="1:14">
      <c r="A88" t="s">
        <v>4541</v>
      </c>
      <c r="B88" t="s">
        <v>4538</v>
      </c>
      <c r="C88" t="str">
        <f t="shared" si="4"/>
        <v>ML4.10_8_21_28</v>
      </c>
      <c r="D88">
        <v>87</v>
      </c>
      <c r="E88" t="s">
        <v>5312</v>
      </c>
      <c r="F88">
        <v>2015</v>
      </c>
      <c r="G88">
        <v>8</v>
      </c>
      <c r="H88">
        <v>21</v>
      </c>
      <c r="I88" t="s">
        <v>3624</v>
      </c>
      <c r="J88">
        <f t="shared" si="5"/>
        <v>28</v>
      </c>
      <c r="K88" t="s">
        <v>5313</v>
      </c>
      <c r="M88" t="s">
        <v>150</v>
      </c>
      <c r="N88">
        <v>27.6</v>
      </c>
    </row>
    <row r="89" spans="1:14">
      <c r="A89" t="s">
        <v>4552</v>
      </c>
      <c r="B89" t="s">
        <v>4551</v>
      </c>
      <c r="C89" t="str">
        <f t="shared" si="4"/>
        <v>ML4.11_8_21_4</v>
      </c>
      <c r="D89">
        <v>88</v>
      </c>
      <c r="E89" t="s">
        <v>5312</v>
      </c>
      <c r="F89">
        <v>2015</v>
      </c>
      <c r="G89">
        <v>8</v>
      </c>
      <c r="H89">
        <v>21</v>
      </c>
      <c r="I89" t="s">
        <v>2021</v>
      </c>
      <c r="J89">
        <f t="shared" si="5"/>
        <v>4</v>
      </c>
      <c r="K89" t="s">
        <v>5313</v>
      </c>
      <c r="M89" t="s">
        <v>1688</v>
      </c>
      <c r="N89">
        <v>4.3</v>
      </c>
    </row>
    <row r="90" spans="1:14">
      <c r="A90" t="s">
        <v>4548</v>
      </c>
      <c r="B90" t="s">
        <v>4544</v>
      </c>
      <c r="C90" t="str">
        <f t="shared" si="4"/>
        <v>ML4.11_8_21_15</v>
      </c>
      <c r="D90">
        <v>89</v>
      </c>
      <c r="E90" t="s">
        <v>5312</v>
      </c>
      <c r="F90">
        <v>2015</v>
      </c>
      <c r="G90">
        <v>8</v>
      </c>
      <c r="H90">
        <v>21</v>
      </c>
      <c r="I90" t="s">
        <v>2021</v>
      </c>
      <c r="J90">
        <f t="shared" si="5"/>
        <v>15</v>
      </c>
      <c r="K90" t="s">
        <v>5313</v>
      </c>
      <c r="M90" t="s">
        <v>4547</v>
      </c>
      <c r="N90">
        <v>14.7</v>
      </c>
    </row>
    <row r="91" spans="1:14">
      <c r="A91" t="s">
        <v>4550</v>
      </c>
      <c r="B91" t="s">
        <v>4549</v>
      </c>
      <c r="C91" t="str">
        <f t="shared" si="4"/>
        <v>ML4.11_8_21_35</v>
      </c>
      <c r="D91">
        <v>90</v>
      </c>
      <c r="E91" t="s">
        <v>5312</v>
      </c>
      <c r="F91">
        <v>2015</v>
      </c>
      <c r="G91">
        <v>8</v>
      </c>
      <c r="H91">
        <v>21</v>
      </c>
      <c r="I91" t="s">
        <v>2021</v>
      </c>
      <c r="J91">
        <f t="shared" si="5"/>
        <v>35</v>
      </c>
      <c r="K91" t="s">
        <v>5313</v>
      </c>
      <c r="M91" t="s">
        <v>150</v>
      </c>
      <c r="N91">
        <v>34.799999999999997</v>
      </c>
    </row>
    <row r="92" spans="1:14">
      <c r="A92" t="s">
        <v>4556</v>
      </c>
      <c r="B92" t="s">
        <v>4553</v>
      </c>
      <c r="C92" t="str">
        <f t="shared" si="4"/>
        <v>ML4.11.5_8_21_15</v>
      </c>
      <c r="D92">
        <v>91</v>
      </c>
      <c r="E92" t="s">
        <v>5312</v>
      </c>
      <c r="F92">
        <v>2015</v>
      </c>
      <c r="G92">
        <v>8</v>
      </c>
      <c r="H92">
        <v>21</v>
      </c>
      <c r="I92" t="s">
        <v>5317</v>
      </c>
      <c r="J92">
        <f t="shared" si="5"/>
        <v>15</v>
      </c>
      <c r="K92" t="s">
        <v>5313</v>
      </c>
      <c r="M92" t="s">
        <v>4547</v>
      </c>
      <c r="N92">
        <v>14.9</v>
      </c>
    </row>
    <row r="93" spans="1:14">
      <c r="A93" t="s">
        <v>4564</v>
      </c>
      <c r="B93" t="s">
        <v>4563</v>
      </c>
      <c r="C93" t="str">
        <f t="shared" si="4"/>
        <v>ML4.8_8_21_5</v>
      </c>
      <c r="D93">
        <v>92</v>
      </c>
      <c r="E93" t="s">
        <v>5312</v>
      </c>
      <c r="F93">
        <v>2015</v>
      </c>
      <c r="G93">
        <v>8</v>
      </c>
      <c r="H93">
        <v>21</v>
      </c>
      <c r="I93" t="s">
        <v>3834</v>
      </c>
      <c r="J93">
        <f t="shared" si="5"/>
        <v>5</v>
      </c>
      <c r="K93" t="s">
        <v>5313</v>
      </c>
      <c r="M93" t="s">
        <v>1688</v>
      </c>
      <c r="N93">
        <v>5.3</v>
      </c>
    </row>
    <row r="94" spans="1:14">
      <c r="A94" t="s">
        <v>4560</v>
      </c>
      <c r="B94" t="s">
        <v>4557</v>
      </c>
      <c r="C94" t="str">
        <f t="shared" si="4"/>
        <v>ML4.8_8_21_30</v>
      </c>
      <c r="D94">
        <v>93</v>
      </c>
      <c r="E94" t="s">
        <v>5312</v>
      </c>
      <c r="F94">
        <v>2015</v>
      </c>
      <c r="G94">
        <v>8</v>
      </c>
      <c r="H94">
        <v>21</v>
      </c>
      <c r="I94" t="s">
        <v>3834</v>
      </c>
      <c r="J94">
        <f t="shared" si="5"/>
        <v>30</v>
      </c>
      <c r="K94" t="s">
        <v>5313</v>
      </c>
      <c r="M94" t="s">
        <v>1488</v>
      </c>
      <c r="N94">
        <v>30.4</v>
      </c>
    </row>
    <row r="95" spans="1:14">
      <c r="A95" t="s">
        <v>4562</v>
      </c>
      <c r="B95" t="s">
        <v>4561</v>
      </c>
      <c r="C95" t="str">
        <f t="shared" si="4"/>
        <v>ML4.8_8_21_38</v>
      </c>
      <c r="D95">
        <v>94</v>
      </c>
      <c r="E95" t="s">
        <v>5312</v>
      </c>
      <c r="F95">
        <v>2015</v>
      </c>
      <c r="G95">
        <v>8</v>
      </c>
      <c r="H95">
        <v>21</v>
      </c>
      <c r="I95" t="s">
        <v>3834</v>
      </c>
      <c r="J95">
        <f t="shared" si="5"/>
        <v>38</v>
      </c>
      <c r="K95" t="s">
        <v>5313</v>
      </c>
      <c r="M95" t="s">
        <v>150</v>
      </c>
      <c r="N95">
        <v>38.200000000000003</v>
      </c>
    </row>
    <row r="96" spans="1:14">
      <c r="A96" t="s">
        <v>4572</v>
      </c>
      <c r="B96" t="s">
        <v>4571</v>
      </c>
      <c r="C96" t="str">
        <f t="shared" si="4"/>
        <v>ML4.9_8_21_5</v>
      </c>
      <c r="D96">
        <v>95</v>
      </c>
      <c r="E96" t="s">
        <v>5312</v>
      </c>
      <c r="F96">
        <v>2015</v>
      </c>
      <c r="G96">
        <v>8</v>
      </c>
      <c r="H96">
        <v>21</v>
      </c>
      <c r="I96" t="s">
        <v>3868</v>
      </c>
      <c r="J96">
        <f t="shared" si="5"/>
        <v>5</v>
      </c>
      <c r="K96" t="s">
        <v>5313</v>
      </c>
      <c r="M96" t="s">
        <v>1688</v>
      </c>
      <c r="N96">
        <v>4.5999999999999996</v>
      </c>
    </row>
    <row r="97" spans="1:14">
      <c r="A97" t="s">
        <v>4568</v>
      </c>
      <c r="B97" t="s">
        <v>4565</v>
      </c>
      <c r="C97" t="str">
        <f t="shared" si="4"/>
        <v>ML4.9_8_21_25</v>
      </c>
      <c r="D97">
        <v>96</v>
      </c>
      <c r="E97" t="s">
        <v>5312</v>
      </c>
      <c r="F97">
        <v>2015</v>
      </c>
      <c r="G97">
        <v>8</v>
      </c>
      <c r="H97">
        <v>21</v>
      </c>
      <c r="I97" t="s">
        <v>3868</v>
      </c>
      <c r="J97">
        <f t="shared" si="5"/>
        <v>25</v>
      </c>
      <c r="K97" t="s">
        <v>5313</v>
      </c>
      <c r="M97" t="s">
        <v>1488</v>
      </c>
      <c r="N97">
        <v>24.5</v>
      </c>
    </row>
    <row r="98" spans="1:14">
      <c r="A98" t="s">
        <v>4570</v>
      </c>
      <c r="B98" t="s">
        <v>4569</v>
      </c>
      <c r="C98" t="str">
        <f t="shared" ref="C98:C129" si="6">I98&amp;"_"&amp;G98&amp;"_"&amp;H98&amp;"_"&amp;J98</f>
        <v>ML4.9_8_21_36</v>
      </c>
      <c r="D98">
        <v>97</v>
      </c>
      <c r="E98" t="s">
        <v>5312</v>
      </c>
      <c r="F98">
        <v>2015</v>
      </c>
      <c r="G98">
        <v>8</v>
      </c>
      <c r="H98">
        <v>21</v>
      </c>
      <c r="I98" t="s">
        <v>3868</v>
      </c>
      <c r="J98">
        <f t="shared" ref="J98:J129" si="7">ROUND(N98,0)</f>
        <v>36</v>
      </c>
      <c r="K98" t="s">
        <v>5314</v>
      </c>
      <c r="M98" t="s">
        <v>150</v>
      </c>
      <c r="N98">
        <v>36.299999999999997</v>
      </c>
    </row>
    <row r="99" spans="1:14">
      <c r="A99" t="s">
        <v>4580</v>
      </c>
      <c r="B99" t="s">
        <v>4579</v>
      </c>
      <c r="C99" t="str">
        <f t="shared" si="6"/>
        <v>ML4.12_8_22_5</v>
      </c>
      <c r="D99">
        <v>98</v>
      </c>
      <c r="E99" t="s">
        <v>5312</v>
      </c>
      <c r="F99">
        <v>2015</v>
      </c>
      <c r="G99">
        <v>8</v>
      </c>
      <c r="H99">
        <v>22</v>
      </c>
      <c r="I99" t="s">
        <v>2070</v>
      </c>
      <c r="J99">
        <f t="shared" si="7"/>
        <v>5</v>
      </c>
      <c r="K99" t="s">
        <v>5313</v>
      </c>
      <c r="M99" t="s">
        <v>1688</v>
      </c>
      <c r="N99">
        <v>5.0999999999999996</v>
      </c>
    </row>
    <row r="100" spans="1:14">
      <c r="A100" t="s">
        <v>4576</v>
      </c>
      <c r="B100" t="s">
        <v>4573</v>
      </c>
      <c r="C100" t="str">
        <f t="shared" si="6"/>
        <v>ML4.12_8_22_25</v>
      </c>
      <c r="D100">
        <v>99</v>
      </c>
      <c r="E100" t="s">
        <v>5312</v>
      </c>
      <c r="F100">
        <v>2015</v>
      </c>
      <c r="G100">
        <v>8</v>
      </c>
      <c r="H100">
        <v>22</v>
      </c>
      <c r="I100" t="s">
        <v>2070</v>
      </c>
      <c r="J100">
        <f t="shared" si="7"/>
        <v>25</v>
      </c>
      <c r="K100" t="s">
        <v>5313</v>
      </c>
      <c r="M100" t="s">
        <v>1488</v>
      </c>
      <c r="N100">
        <v>25</v>
      </c>
    </row>
    <row r="101" spans="1:14">
      <c r="A101" t="s">
        <v>4578</v>
      </c>
      <c r="B101" t="s">
        <v>4577</v>
      </c>
      <c r="C101" t="str">
        <f t="shared" si="6"/>
        <v>ML4.12_8_22_35</v>
      </c>
      <c r="D101">
        <v>100</v>
      </c>
      <c r="E101" t="s">
        <v>5312</v>
      </c>
      <c r="F101">
        <v>2015</v>
      </c>
      <c r="G101">
        <v>8</v>
      </c>
      <c r="H101">
        <v>22</v>
      </c>
      <c r="I101" t="s">
        <v>2070</v>
      </c>
      <c r="J101">
        <f t="shared" si="7"/>
        <v>35</v>
      </c>
      <c r="K101" t="s">
        <v>5313</v>
      </c>
      <c r="M101" t="s">
        <v>150</v>
      </c>
      <c r="N101">
        <v>35.4</v>
      </c>
    </row>
    <row r="102" spans="1:14">
      <c r="A102" t="s">
        <v>4586</v>
      </c>
      <c r="B102" t="s">
        <v>4585</v>
      </c>
      <c r="C102" t="str">
        <f t="shared" si="6"/>
        <v>ML4.13_8_22_5</v>
      </c>
      <c r="D102">
        <v>101</v>
      </c>
      <c r="E102" t="s">
        <v>5312</v>
      </c>
      <c r="F102">
        <v>2015</v>
      </c>
      <c r="G102">
        <v>8</v>
      </c>
      <c r="H102">
        <v>22</v>
      </c>
      <c r="I102" t="s">
        <v>3646</v>
      </c>
      <c r="J102">
        <f t="shared" si="7"/>
        <v>5</v>
      </c>
      <c r="K102" t="s">
        <v>5313</v>
      </c>
      <c r="M102" t="s">
        <v>1688</v>
      </c>
      <c r="N102">
        <v>4.9000000000000004</v>
      </c>
    </row>
    <row r="103" spans="1:14">
      <c r="A103" t="s">
        <v>4584</v>
      </c>
      <c r="B103" t="s">
        <v>4581</v>
      </c>
      <c r="C103" t="str">
        <f t="shared" si="6"/>
        <v>ML4.13_8_22_39</v>
      </c>
      <c r="D103">
        <v>102</v>
      </c>
      <c r="E103" t="s">
        <v>5312</v>
      </c>
      <c r="F103">
        <v>2015</v>
      </c>
      <c r="G103">
        <v>8</v>
      </c>
      <c r="H103">
        <v>22</v>
      </c>
      <c r="I103" t="s">
        <v>3646</v>
      </c>
      <c r="J103">
        <f t="shared" si="7"/>
        <v>39</v>
      </c>
      <c r="K103" t="s">
        <v>5313</v>
      </c>
      <c r="M103" t="s">
        <v>150</v>
      </c>
      <c r="N103">
        <v>39.4</v>
      </c>
    </row>
    <row r="104" spans="1:14">
      <c r="A104" t="s">
        <v>4594</v>
      </c>
      <c r="B104" t="s">
        <v>4593</v>
      </c>
      <c r="C104" t="str">
        <f t="shared" si="6"/>
        <v>ML4.14_8_22_10</v>
      </c>
      <c r="D104">
        <v>103</v>
      </c>
      <c r="E104" t="s">
        <v>5312</v>
      </c>
      <c r="F104">
        <v>2015</v>
      </c>
      <c r="G104">
        <v>8</v>
      </c>
      <c r="H104">
        <v>22</v>
      </c>
      <c r="I104" t="s">
        <v>3670</v>
      </c>
      <c r="J104">
        <f t="shared" si="7"/>
        <v>10</v>
      </c>
      <c r="K104" t="s">
        <v>5313</v>
      </c>
      <c r="M104" t="s">
        <v>1688</v>
      </c>
      <c r="N104">
        <v>9.8000000000000007</v>
      </c>
    </row>
    <row r="105" spans="1:14">
      <c r="A105" t="s">
        <v>4590</v>
      </c>
      <c r="B105" t="s">
        <v>4587</v>
      </c>
      <c r="C105" t="str">
        <f t="shared" si="6"/>
        <v>ML4.14_8_22_30</v>
      </c>
      <c r="D105">
        <v>104</v>
      </c>
      <c r="E105" t="s">
        <v>5312</v>
      </c>
      <c r="F105">
        <v>2015</v>
      </c>
      <c r="G105">
        <v>8</v>
      </c>
      <c r="H105">
        <v>22</v>
      </c>
      <c r="I105" t="s">
        <v>3670</v>
      </c>
      <c r="J105">
        <f t="shared" si="7"/>
        <v>30</v>
      </c>
      <c r="K105" t="s">
        <v>5313</v>
      </c>
      <c r="M105" t="s">
        <v>1488</v>
      </c>
      <c r="N105">
        <v>30</v>
      </c>
    </row>
    <row r="106" spans="1:14">
      <c r="A106" t="s">
        <v>4592</v>
      </c>
      <c r="B106" t="s">
        <v>4591</v>
      </c>
      <c r="C106" t="str">
        <f t="shared" si="6"/>
        <v>ML4.14_8_22_44</v>
      </c>
      <c r="D106">
        <v>105</v>
      </c>
      <c r="E106" t="s">
        <v>5312</v>
      </c>
      <c r="F106">
        <v>2015</v>
      </c>
      <c r="G106">
        <v>8</v>
      </c>
      <c r="H106">
        <v>22</v>
      </c>
      <c r="I106" t="s">
        <v>3670</v>
      </c>
      <c r="J106">
        <f t="shared" si="7"/>
        <v>44</v>
      </c>
      <c r="K106" t="s">
        <v>5313</v>
      </c>
      <c r="M106" t="s">
        <v>150</v>
      </c>
      <c r="N106">
        <v>43.7</v>
      </c>
    </row>
    <row r="107" spans="1:14">
      <c r="A107" t="s">
        <v>4602</v>
      </c>
      <c r="B107" t="s">
        <v>4601</v>
      </c>
      <c r="C107" t="str">
        <f t="shared" si="6"/>
        <v>ML3.11_8_23_5</v>
      </c>
      <c r="D107">
        <v>106</v>
      </c>
      <c r="E107" t="s">
        <v>5312</v>
      </c>
      <c r="F107">
        <v>2015</v>
      </c>
      <c r="G107">
        <v>8</v>
      </c>
      <c r="H107">
        <v>23</v>
      </c>
      <c r="I107" t="s">
        <v>3538</v>
      </c>
      <c r="J107">
        <f t="shared" si="7"/>
        <v>5</v>
      </c>
      <c r="K107" t="s">
        <v>5318</v>
      </c>
      <c r="M107" t="s">
        <v>52</v>
      </c>
      <c r="N107">
        <v>4.9000000000000004</v>
      </c>
    </row>
    <row r="108" spans="1:14">
      <c r="A108" t="s">
        <v>4598</v>
      </c>
      <c r="B108" t="s">
        <v>4595</v>
      </c>
      <c r="C108" t="str">
        <f t="shared" si="6"/>
        <v>ML3.11_8_23_21</v>
      </c>
      <c r="D108">
        <v>107</v>
      </c>
      <c r="E108" t="s">
        <v>5312</v>
      </c>
      <c r="F108">
        <v>2015</v>
      </c>
      <c r="G108">
        <v>8</v>
      </c>
      <c r="H108">
        <v>23</v>
      </c>
      <c r="I108" t="s">
        <v>3538</v>
      </c>
      <c r="J108">
        <f t="shared" si="7"/>
        <v>21</v>
      </c>
      <c r="K108" t="s">
        <v>5316</v>
      </c>
      <c r="M108" t="s">
        <v>1488</v>
      </c>
      <c r="N108">
        <v>20.5</v>
      </c>
    </row>
    <row r="109" spans="1:14">
      <c r="A109" t="s">
        <v>4600</v>
      </c>
      <c r="B109" t="s">
        <v>4599</v>
      </c>
      <c r="C109" t="str">
        <f t="shared" si="6"/>
        <v>ML3.11_8_23_33</v>
      </c>
      <c r="D109">
        <v>108</v>
      </c>
      <c r="E109" t="s">
        <v>5312</v>
      </c>
      <c r="F109">
        <v>2015</v>
      </c>
      <c r="G109">
        <v>8</v>
      </c>
      <c r="H109">
        <v>23</v>
      </c>
      <c r="I109" t="s">
        <v>3538</v>
      </c>
      <c r="J109">
        <f t="shared" si="7"/>
        <v>33</v>
      </c>
      <c r="K109" t="s">
        <v>1395</v>
      </c>
      <c r="M109" t="s">
        <v>150</v>
      </c>
      <c r="N109">
        <v>33.299999999999997</v>
      </c>
    </row>
    <row r="110" spans="1:14">
      <c r="A110" t="s">
        <v>4610</v>
      </c>
      <c r="B110" t="s">
        <v>4609</v>
      </c>
      <c r="C110" t="str">
        <f t="shared" si="6"/>
        <v>ML3.12_8_23_5</v>
      </c>
      <c r="D110">
        <v>109</v>
      </c>
      <c r="E110" t="s">
        <v>5312</v>
      </c>
      <c r="F110">
        <v>2015</v>
      </c>
      <c r="G110">
        <v>8</v>
      </c>
      <c r="H110">
        <v>23</v>
      </c>
      <c r="I110" t="s">
        <v>1917</v>
      </c>
      <c r="J110">
        <f t="shared" si="7"/>
        <v>5</v>
      </c>
      <c r="K110" t="s">
        <v>5313</v>
      </c>
      <c r="M110" t="s">
        <v>1688</v>
      </c>
      <c r="N110">
        <v>4.5999999999999996</v>
      </c>
    </row>
    <row r="111" spans="1:14">
      <c r="A111" t="s">
        <v>4606</v>
      </c>
      <c r="B111" t="s">
        <v>4603</v>
      </c>
      <c r="C111" t="str">
        <f t="shared" si="6"/>
        <v>ML3.12_8_23_20</v>
      </c>
      <c r="D111">
        <v>110</v>
      </c>
      <c r="E111" t="s">
        <v>5312</v>
      </c>
      <c r="F111">
        <v>2015</v>
      </c>
      <c r="G111">
        <v>8</v>
      </c>
      <c r="H111">
        <v>23</v>
      </c>
      <c r="I111" t="s">
        <v>1917</v>
      </c>
      <c r="J111">
        <f t="shared" si="7"/>
        <v>20</v>
      </c>
      <c r="K111" t="s">
        <v>5313</v>
      </c>
      <c r="M111" t="s">
        <v>1488</v>
      </c>
      <c r="N111">
        <v>20</v>
      </c>
    </row>
    <row r="112" spans="1:14">
      <c r="A112" t="s">
        <v>4608</v>
      </c>
      <c r="B112" t="s">
        <v>4607</v>
      </c>
      <c r="C112" t="str">
        <f t="shared" si="6"/>
        <v>ML3.12_8_23_34</v>
      </c>
      <c r="D112">
        <v>111</v>
      </c>
      <c r="E112" t="s">
        <v>5312</v>
      </c>
      <c r="F112">
        <v>2015</v>
      </c>
      <c r="G112">
        <v>8</v>
      </c>
      <c r="H112">
        <v>23</v>
      </c>
      <c r="I112" t="s">
        <v>1917</v>
      </c>
      <c r="J112">
        <f t="shared" si="7"/>
        <v>34</v>
      </c>
      <c r="K112" t="s">
        <v>5313</v>
      </c>
      <c r="M112" t="s">
        <v>150</v>
      </c>
      <c r="N112">
        <v>34</v>
      </c>
    </row>
    <row r="113" spans="1:14">
      <c r="A113" t="s">
        <v>4616</v>
      </c>
      <c r="B113" t="s">
        <v>4615</v>
      </c>
      <c r="C113" t="str">
        <f t="shared" si="6"/>
        <v>ML3.13_8_23_5</v>
      </c>
      <c r="D113">
        <v>112</v>
      </c>
      <c r="E113" t="s">
        <v>5312</v>
      </c>
      <c r="F113">
        <v>2015</v>
      </c>
      <c r="G113">
        <v>8</v>
      </c>
      <c r="H113">
        <v>23</v>
      </c>
      <c r="I113" t="s">
        <v>4899</v>
      </c>
      <c r="J113">
        <f t="shared" si="7"/>
        <v>5</v>
      </c>
      <c r="K113" t="s">
        <v>5313</v>
      </c>
      <c r="M113" t="s">
        <v>1688</v>
      </c>
      <c r="N113">
        <v>4.8</v>
      </c>
    </row>
    <row r="114" spans="1:14">
      <c r="A114" t="s">
        <v>4614</v>
      </c>
      <c r="B114" t="s">
        <v>4611</v>
      </c>
      <c r="C114" t="str">
        <f t="shared" si="6"/>
        <v>ML3.13_8_23_36</v>
      </c>
      <c r="D114">
        <v>113</v>
      </c>
      <c r="E114" t="s">
        <v>5312</v>
      </c>
      <c r="F114">
        <v>2015</v>
      </c>
      <c r="G114">
        <v>8</v>
      </c>
      <c r="H114">
        <v>23</v>
      </c>
      <c r="I114" t="s">
        <v>4899</v>
      </c>
      <c r="J114">
        <f t="shared" si="7"/>
        <v>36</v>
      </c>
      <c r="K114" t="s">
        <v>5313</v>
      </c>
      <c r="M114" t="s">
        <v>150</v>
      </c>
      <c r="N114">
        <v>35.700000000000003</v>
      </c>
    </row>
    <row r="115" spans="1:14">
      <c r="A115" t="s">
        <v>4623</v>
      </c>
      <c r="B115" t="s">
        <v>4622</v>
      </c>
      <c r="C115" t="str">
        <f t="shared" si="6"/>
        <v>ML3.9_8_23_5</v>
      </c>
      <c r="D115">
        <v>114</v>
      </c>
      <c r="E115" t="s">
        <v>5312</v>
      </c>
      <c r="F115">
        <v>2015</v>
      </c>
      <c r="G115">
        <v>8</v>
      </c>
      <c r="H115">
        <v>23</v>
      </c>
      <c r="I115" t="s">
        <v>5319</v>
      </c>
      <c r="J115">
        <f t="shared" si="7"/>
        <v>5</v>
      </c>
      <c r="K115" t="s">
        <v>5313</v>
      </c>
      <c r="M115" t="s">
        <v>1688</v>
      </c>
      <c r="N115">
        <v>4.9000000000000004</v>
      </c>
    </row>
    <row r="116" spans="1:14">
      <c r="A116" t="s">
        <v>4619</v>
      </c>
      <c r="B116" t="s">
        <v>4617</v>
      </c>
      <c r="C116" t="str">
        <f t="shared" si="6"/>
        <v>ML3.9_8_23_26</v>
      </c>
      <c r="D116">
        <v>115</v>
      </c>
      <c r="E116" t="s">
        <v>5312</v>
      </c>
      <c r="F116">
        <v>2015</v>
      </c>
      <c r="G116">
        <v>8</v>
      </c>
      <c r="H116">
        <v>23</v>
      </c>
      <c r="I116" t="s">
        <v>5319</v>
      </c>
      <c r="J116">
        <f t="shared" si="7"/>
        <v>26</v>
      </c>
      <c r="K116" t="s">
        <v>5313</v>
      </c>
      <c r="M116" t="s">
        <v>1488</v>
      </c>
      <c r="N116">
        <v>25.7</v>
      </c>
    </row>
    <row r="117" spans="1:14">
      <c r="A117" t="s">
        <v>4621</v>
      </c>
      <c r="B117" t="s">
        <v>4620</v>
      </c>
      <c r="C117" t="str">
        <f t="shared" si="6"/>
        <v>ML3.9_8_23_38</v>
      </c>
      <c r="D117">
        <v>116</v>
      </c>
      <c r="E117" t="s">
        <v>5312</v>
      </c>
      <c r="F117">
        <v>2015</v>
      </c>
      <c r="G117">
        <v>8</v>
      </c>
      <c r="H117">
        <v>23</v>
      </c>
      <c r="I117" t="s">
        <v>5319</v>
      </c>
      <c r="J117">
        <f t="shared" si="7"/>
        <v>38</v>
      </c>
      <c r="K117" t="s">
        <v>5313</v>
      </c>
      <c r="M117" t="s">
        <v>150</v>
      </c>
      <c r="N117">
        <v>38.200000000000003</v>
      </c>
    </row>
    <row r="118" spans="1:14">
      <c r="B118" t="s">
        <v>5320</v>
      </c>
      <c r="C118" t="str">
        <f t="shared" si="6"/>
        <v>ML4.10_8_23_6</v>
      </c>
      <c r="D118">
        <v>117</v>
      </c>
      <c r="E118" t="s">
        <v>5312</v>
      </c>
      <c r="F118">
        <v>2015</v>
      </c>
      <c r="G118">
        <v>8</v>
      </c>
      <c r="H118">
        <v>23</v>
      </c>
      <c r="I118" t="s">
        <v>3624</v>
      </c>
      <c r="J118">
        <f t="shared" si="7"/>
        <v>6</v>
      </c>
      <c r="K118" t="s">
        <v>5313</v>
      </c>
      <c r="M118" t="s">
        <v>1688</v>
      </c>
      <c r="N118">
        <v>5.5</v>
      </c>
    </row>
    <row r="119" spans="1:14">
      <c r="B119" t="s">
        <v>5321</v>
      </c>
      <c r="C119" t="str">
        <f t="shared" si="6"/>
        <v>ML4.10_8_23_28</v>
      </c>
      <c r="D119">
        <v>118</v>
      </c>
      <c r="E119" t="s">
        <v>5312</v>
      </c>
      <c r="F119">
        <v>2015</v>
      </c>
      <c r="G119">
        <v>8</v>
      </c>
      <c r="H119">
        <v>23</v>
      </c>
      <c r="I119" t="s">
        <v>3624</v>
      </c>
      <c r="J119">
        <f t="shared" si="7"/>
        <v>28</v>
      </c>
      <c r="K119" t="s">
        <v>5313</v>
      </c>
      <c r="M119" t="s">
        <v>150</v>
      </c>
      <c r="N119">
        <v>27.6</v>
      </c>
    </row>
    <row r="120" spans="1:14">
      <c r="A120" t="s">
        <v>4628</v>
      </c>
      <c r="B120" t="s">
        <v>4627</v>
      </c>
      <c r="C120" t="str">
        <f t="shared" si="6"/>
        <v>ML3.5_8_24_5</v>
      </c>
      <c r="D120">
        <v>119</v>
      </c>
      <c r="E120" t="s">
        <v>5312</v>
      </c>
      <c r="F120">
        <v>2015</v>
      </c>
      <c r="G120">
        <v>8</v>
      </c>
      <c r="H120">
        <v>24</v>
      </c>
      <c r="I120" t="s">
        <v>5322</v>
      </c>
      <c r="J120">
        <f t="shared" si="7"/>
        <v>5</v>
      </c>
      <c r="K120" t="s">
        <v>5313</v>
      </c>
      <c r="M120" t="s">
        <v>1688</v>
      </c>
      <c r="N120">
        <v>5.3</v>
      </c>
    </row>
    <row r="121" spans="1:14">
      <c r="A121" t="s">
        <v>4626</v>
      </c>
      <c r="B121" t="s">
        <v>4624</v>
      </c>
      <c r="C121" t="str">
        <f t="shared" si="6"/>
        <v>ML3.5_8_24_41</v>
      </c>
      <c r="D121">
        <v>120</v>
      </c>
      <c r="E121" t="s">
        <v>5312</v>
      </c>
      <c r="F121">
        <v>2015</v>
      </c>
      <c r="G121">
        <v>8</v>
      </c>
      <c r="H121">
        <v>24</v>
      </c>
      <c r="I121" t="s">
        <v>5322</v>
      </c>
      <c r="J121">
        <f t="shared" si="7"/>
        <v>41</v>
      </c>
      <c r="K121" t="s">
        <v>5313</v>
      </c>
      <c r="M121" t="s">
        <v>150</v>
      </c>
      <c r="N121">
        <v>40.799999999999997</v>
      </c>
    </row>
    <row r="122" spans="1:14">
      <c r="A122" t="s">
        <v>4631</v>
      </c>
      <c r="B122" t="s">
        <v>4629</v>
      </c>
      <c r="C122" t="str">
        <f t="shared" si="6"/>
        <v>ML3.6_8_24_5</v>
      </c>
      <c r="D122">
        <v>121</v>
      </c>
      <c r="E122" t="s">
        <v>5312</v>
      </c>
      <c r="F122">
        <v>2015</v>
      </c>
      <c r="G122">
        <v>8</v>
      </c>
      <c r="H122">
        <v>24</v>
      </c>
      <c r="I122" t="s">
        <v>5323</v>
      </c>
      <c r="J122">
        <f t="shared" si="7"/>
        <v>5</v>
      </c>
      <c r="K122" t="s">
        <v>5313</v>
      </c>
      <c r="M122" t="s">
        <v>1688</v>
      </c>
      <c r="N122">
        <v>4.5999999999999996</v>
      </c>
    </row>
    <row r="123" spans="1:14">
      <c r="A123" t="s">
        <v>4633</v>
      </c>
      <c r="B123" t="s">
        <v>4632</v>
      </c>
      <c r="C123" t="str">
        <f t="shared" si="6"/>
        <v>ML3.6_8_24_43</v>
      </c>
      <c r="D123">
        <v>122</v>
      </c>
      <c r="E123" t="s">
        <v>5312</v>
      </c>
      <c r="F123">
        <v>2015</v>
      </c>
      <c r="G123">
        <v>8</v>
      </c>
      <c r="H123">
        <v>24</v>
      </c>
      <c r="I123" t="s">
        <v>5323</v>
      </c>
      <c r="J123">
        <f t="shared" si="7"/>
        <v>43</v>
      </c>
      <c r="K123" t="s">
        <v>5313</v>
      </c>
      <c r="M123" t="s">
        <v>150</v>
      </c>
      <c r="N123">
        <v>42.6</v>
      </c>
    </row>
    <row r="124" spans="1:14">
      <c r="A124" t="s">
        <v>4638</v>
      </c>
      <c r="B124" t="s">
        <v>4637</v>
      </c>
      <c r="C124" t="str">
        <f t="shared" si="6"/>
        <v>ML3.7_8_24_5</v>
      </c>
      <c r="D124">
        <v>123</v>
      </c>
      <c r="E124" t="s">
        <v>5312</v>
      </c>
      <c r="F124">
        <v>2015</v>
      </c>
      <c r="G124">
        <v>8</v>
      </c>
      <c r="H124">
        <v>24</v>
      </c>
      <c r="I124" t="s">
        <v>5324</v>
      </c>
      <c r="J124">
        <f t="shared" si="7"/>
        <v>5</v>
      </c>
      <c r="K124" t="s">
        <v>5313</v>
      </c>
      <c r="M124" t="s">
        <v>1688</v>
      </c>
      <c r="N124">
        <v>5.2</v>
      </c>
    </row>
    <row r="125" spans="1:14">
      <c r="A125" t="s">
        <v>4636</v>
      </c>
      <c r="B125" t="s">
        <v>4634</v>
      </c>
      <c r="C125" t="str">
        <f t="shared" si="6"/>
        <v>ML3.7_8_24_41</v>
      </c>
      <c r="D125">
        <v>124</v>
      </c>
      <c r="E125" t="s">
        <v>5312</v>
      </c>
      <c r="F125">
        <v>2015</v>
      </c>
      <c r="G125">
        <v>8</v>
      </c>
      <c r="H125">
        <v>24</v>
      </c>
      <c r="I125" t="s">
        <v>5324</v>
      </c>
      <c r="J125">
        <f t="shared" si="7"/>
        <v>41</v>
      </c>
      <c r="K125" t="s">
        <v>5313</v>
      </c>
      <c r="M125" t="s">
        <v>150</v>
      </c>
      <c r="N125">
        <v>41.3</v>
      </c>
    </row>
    <row r="126" spans="1:14">
      <c r="A126" t="s">
        <v>4643</v>
      </c>
      <c r="B126" t="s">
        <v>4642</v>
      </c>
      <c r="C126" t="str">
        <f t="shared" si="6"/>
        <v>ML3.8_8_24_5</v>
      </c>
      <c r="D126">
        <v>125</v>
      </c>
      <c r="E126" t="s">
        <v>5312</v>
      </c>
      <c r="F126">
        <v>2015</v>
      </c>
      <c r="G126">
        <v>8</v>
      </c>
      <c r="H126">
        <v>24</v>
      </c>
      <c r="I126" t="s">
        <v>5325</v>
      </c>
      <c r="J126">
        <f t="shared" si="7"/>
        <v>5</v>
      </c>
      <c r="K126" t="s">
        <v>5313</v>
      </c>
      <c r="M126" t="s">
        <v>1688</v>
      </c>
      <c r="N126">
        <v>5.2</v>
      </c>
    </row>
    <row r="127" spans="1:14">
      <c r="A127" t="s">
        <v>4641</v>
      </c>
      <c r="B127" t="s">
        <v>4639</v>
      </c>
      <c r="C127" t="str">
        <f t="shared" si="6"/>
        <v>ML3.8_8_24_40</v>
      </c>
      <c r="D127">
        <v>126</v>
      </c>
      <c r="E127" t="s">
        <v>5312</v>
      </c>
      <c r="F127">
        <v>2015</v>
      </c>
      <c r="G127">
        <v>8</v>
      </c>
      <c r="H127">
        <v>24</v>
      </c>
      <c r="I127" t="s">
        <v>5325</v>
      </c>
      <c r="J127">
        <f t="shared" si="7"/>
        <v>40</v>
      </c>
      <c r="K127" t="s">
        <v>5313</v>
      </c>
      <c r="M127" t="s">
        <v>150</v>
      </c>
      <c r="N127">
        <v>40.1</v>
      </c>
    </row>
    <row r="128" spans="1:14">
      <c r="A128" t="s">
        <v>4649</v>
      </c>
      <c r="B128" t="s">
        <v>4648</v>
      </c>
      <c r="C128" t="str">
        <f t="shared" si="6"/>
        <v>ML3.1_8_25_5</v>
      </c>
      <c r="D128">
        <v>127</v>
      </c>
      <c r="E128" t="s">
        <v>5312</v>
      </c>
      <c r="F128">
        <v>2015</v>
      </c>
      <c r="G128">
        <v>8</v>
      </c>
      <c r="H128">
        <v>25</v>
      </c>
      <c r="I128" t="s">
        <v>3519</v>
      </c>
      <c r="J128">
        <f t="shared" si="7"/>
        <v>5</v>
      </c>
      <c r="K128" t="s">
        <v>5313</v>
      </c>
      <c r="M128" t="s">
        <v>1688</v>
      </c>
      <c r="N128">
        <v>5.0999999999999996</v>
      </c>
    </row>
    <row r="129" spans="1:14">
      <c r="A129" t="s">
        <v>4647</v>
      </c>
      <c r="B129" t="s">
        <v>4644</v>
      </c>
      <c r="C129" t="str">
        <f t="shared" si="6"/>
        <v>ML3.1_8_25_13</v>
      </c>
      <c r="D129">
        <v>128</v>
      </c>
      <c r="E129" t="s">
        <v>5312</v>
      </c>
      <c r="F129">
        <v>2015</v>
      </c>
      <c r="G129">
        <v>8</v>
      </c>
      <c r="H129">
        <v>25</v>
      </c>
      <c r="I129" t="s">
        <v>3519</v>
      </c>
      <c r="J129">
        <f t="shared" si="7"/>
        <v>13</v>
      </c>
      <c r="K129" t="s">
        <v>5313</v>
      </c>
      <c r="M129" t="s">
        <v>150</v>
      </c>
      <c r="N129">
        <v>12.5</v>
      </c>
    </row>
    <row r="130" spans="1:14">
      <c r="B130" t="s">
        <v>5326</v>
      </c>
      <c r="C130" t="str">
        <f t="shared" ref="C130:C161" si="8">I130&amp;"_"&amp;G130&amp;"_"&amp;H130&amp;"_"&amp;J130</f>
        <v>ML3.2_8_25_0</v>
      </c>
      <c r="D130">
        <v>129</v>
      </c>
      <c r="E130" t="s">
        <v>5312</v>
      </c>
      <c r="F130">
        <v>2015</v>
      </c>
      <c r="G130">
        <v>8</v>
      </c>
      <c r="H130">
        <v>25</v>
      </c>
      <c r="I130" t="s">
        <v>3587</v>
      </c>
      <c r="J130">
        <f t="shared" ref="J130:J161" si="9">ROUND(N130,0)</f>
        <v>0</v>
      </c>
      <c r="K130" t="s">
        <v>5313</v>
      </c>
      <c r="M130" t="s">
        <v>65</v>
      </c>
      <c r="N130">
        <v>0</v>
      </c>
    </row>
    <row r="131" spans="1:14">
      <c r="A131" t="s">
        <v>4655</v>
      </c>
      <c r="B131" t="s">
        <v>4654</v>
      </c>
      <c r="C131" t="str">
        <f t="shared" si="8"/>
        <v>ML3.2_8_25_5</v>
      </c>
      <c r="D131">
        <v>130</v>
      </c>
      <c r="E131" t="s">
        <v>5312</v>
      </c>
      <c r="F131">
        <v>2015</v>
      </c>
      <c r="G131">
        <v>8</v>
      </c>
      <c r="H131">
        <v>25</v>
      </c>
      <c r="I131" t="s">
        <v>3587</v>
      </c>
      <c r="J131">
        <f t="shared" si="9"/>
        <v>5</v>
      </c>
      <c r="K131" t="s">
        <v>5313</v>
      </c>
      <c r="M131" t="s">
        <v>1688</v>
      </c>
      <c r="N131">
        <v>4.5999999999999996</v>
      </c>
    </row>
    <row r="132" spans="1:14">
      <c r="A132" t="s">
        <v>4653</v>
      </c>
      <c r="B132" t="s">
        <v>4650</v>
      </c>
      <c r="C132" t="str">
        <f t="shared" si="8"/>
        <v>ML3.2_8_25_22</v>
      </c>
      <c r="D132">
        <v>131</v>
      </c>
      <c r="E132" t="s">
        <v>5312</v>
      </c>
      <c r="F132">
        <v>2015</v>
      </c>
      <c r="G132">
        <v>8</v>
      </c>
      <c r="H132">
        <v>25</v>
      </c>
      <c r="I132" t="s">
        <v>3587</v>
      </c>
      <c r="J132">
        <f t="shared" si="9"/>
        <v>22</v>
      </c>
      <c r="K132" t="s">
        <v>5313</v>
      </c>
      <c r="M132" t="s">
        <v>150</v>
      </c>
      <c r="N132">
        <v>22.2</v>
      </c>
    </row>
    <row r="133" spans="1:14">
      <c r="B133" t="s">
        <v>5327</v>
      </c>
      <c r="C133" t="str">
        <f t="shared" si="8"/>
        <v>ML3.3_8_25_0</v>
      </c>
      <c r="D133">
        <v>132</v>
      </c>
      <c r="E133" t="s">
        <v>5312</v>
      </c>
      <c r="F133">
        <v>2015</v>
      </c>
      <c r="G133">
        <v>8</v>
      </c>
      <c r="H133">
        <v>25</v>
      </c>
      <c r="I133" t="s">
        <v>4908</v>
      </c>
      <c r="J133">
        <f t="shared" si="9"/>
        <v>0</v>
      </c>
      <c r="K133" t="s">
        <v>5313</v>
      </c>
      <c r="M133" t="s">
        <v>65</v>
      </c>
      <c r="N133">
        <v>0</v>
      </c>
    </row>
    <row r="134" spans="1:14">
      <c r="A134" t="s">
        <v>4661</v>
      </c>
      <c r="B134" t="s">
        <v>4660</v>
      </c>
      <c r="C134" t="str">
        <f t="shared" si="8"/>
        <v>ML3.3_8_25_5</v>
      </c>
      <c r="D134">
        <v>133</v>
      </c>
      <c r="E134" t="s">
        <v>5312</v>
      </c>
      <c r="F134">
        <v>2015</v>
      </c>
      <c r="G134">
        <v>8</v>
      </c>
      <c r="H134">
        <v>25</v>
      </c>
      <c r="I134" t="s">
        <v>4908</v>
      </c>
      <c r="J134">
        <f t="shared" si="9"/>
        <v>5</v>
      </c>
      <c r="K134" t="s">
        <v>5313</v>
      </c>
      <c r="M134" t="s">
        <v>1688</v>
      </c>
      <c r="N134">
        <v>4.5999999999999996</v>
      </c>
    </row>
    <row r="135" spans="1:14">
      <c r="A135" t="s">
        <v>4659</v>
      </c>
      <c r="B135" t="s">
        <v>4656</v>
      </c>
      <c r="C135" t="str">
        <f t="shared" si="8"/>
        <v>ML3.3_8_25_35</v>
      </c>
      <c r="D135">
        <v>134</v>
      </c>
      <c r="E135" t="s">
        <v>5312</v>
      </c>
      <c r="F135">
        <v>2015</v>
      </c>
      <c r="G135">
        <v>8</v>
      </c>
      <c r="H135">
        <v>25</v>
      </c>
      <c r="I135" t="s">
        <v>4908</v>
      </c>
      <c r="J135">
        <f t="shared" si="9"/>
        <v>35</v>
      </c>
      <c r="K135" t="s">
        <v>5313</v>
      </c>
      <c r="M135" t="s">
        <v>150</v>
      </c>
      <c r="N135">
        <v>34.9</v>
      </c>
    </row>
    <row r="136" spans="1:14">
      <c r="B136" t="s">
        <v>5328</v>
      </c>
      <c r="C136" t="str">
        <f t="shared" si="8"/>
        <v>ML4.8_8_30_5</v>
      </c>
      <c r="D136">
        <v>135</v>
      </c>
      <c r="E136" t="s">
        <v>5312</v>
      </c>
      <c r="F136">
        <v>2015</v>
      </c>
      <c r="G136">
        <v>8</v>
      </c>
      <c r="H136">
        <v>30</v>
      </c>
      <c r="I136" t="s">
        <v>3834</v>
      </c>
      <c r="J136">
        <f t="shared" si="9"/>
        <v>5</v>
      </c>
      <c r="K136" t="s">
        <v>5313</v>
      </c>
      <c r="M136" t="s">
        <v>1688</v>
      </c>
      <c r="N136">
        <v>5.3</v>
      </c>
    </row>
    <row r="137" spans="1:14">
      <c r="B137" t="s">
        <v>5329</v>
      </c>
      <c r="C137" t="str">
        <f t="shared" si="8"/>
        <v>ML4.8_8_30_38</v>
      </c>
      <c r="D137">
        <v>136</v>
      </c>
      <c r="E137" t="s">
        <v>5312</v>
      </c>
      <c r="F137">
        <v>2015</v>
      </c>
      <c r="G137">
        <v>8</v>
      </c>
      <c r="H137">
        <v>30</v>
      </c>
      <c r="I137" t="s">
        <v>3834</v>
      </c>
      <c r="J137">
        <f t="shared" si="9"/>
        <v>38</v>
      </c>
      <c r="K137" t="s">
        <v>5313</v>
      </c>
      <c r="M137" t="s">
        <v>150</v>
      </c>
      <c r="N137">
        <v>38.200000000000003</v>
      </c>
    </row>
    <row r="138" spans="1:14">
      <c r="A138" t="s">
        <v>4667</v>
      </c>
      <c r="B138" t="s">
        <v>4666</v>
      </c>
      <c r="C138" t="str">
        <f t="shared" si="8"/>
        <v>ML5.10_8_30_6</v>
      </c>
      <c r="D138">
        <v>137</v>
      </c>
      <c r="E138" t="s">
        <v>5312</v>
      </c>
      <c r="F138">
        <v>2015</v>
      </c>
      <c r="G138">
        <v>8</v>
      </c>
      <c r="H138">
        <v>30</v>
      </c>
      <c r="I138" t="s">
        <v>4988</v>
      </c>
      <c r="J138">
        <f t="shared" si="9"/>
        <v>6</v>
      </c>
      <c r="K138" t="s">
        <v>5313</v>
      </c>
      <c r="M138" t="s">
        <v>1688</v>
      </c>
      <c r="N138">
        <v>5.7</v>
      </c>
    </row>
    <row r="139" spans="1:14">
      <c r="A139" t="s">
        <v>4665</v>
      </c>
      <c r="B139" t="s">
        <v>4662</v>
      </c>
      <c r="C139" t="str">
        <f t="shared" si="8"/>
        <v>ML5.10_8_30_35</v>
      </c>
      <c r="D139">
        <v>138</v>
      </c>
      <c r="E139" t="s">
        <v>5312</v>
      </c>
      <c r="F139">
        <v>2015</v>
      </c>
      <c r="G139">
        <v>8</v>
      </c>
      <c r="H139">
        <v>30</v>
      </c>
      <c r="I139" t="s">
        <v>4988</v>
      </c>
      <c r="J139">
        <f t="shared" si="9"/>
        <v>35</v>
      </c>
      <c r="K139" t="s">
        <v>5313</v>
      </c>
      <c r="M139" t="s">
        <v>150</v>
      </c>
      <c r="N139">
        <v>34.9</v>
      </c>
    </row>
    <row r="140" spans="1:14">
      <c r="A140" t="s">
        <v>4673</v>
      </c>
      <c r="B140" t="s">
        <v>4672</v>
      </c>
      <c r="C140" t="str">
        <f t="shared" si="8"/>
        <v>ML5.7_8_30_6</v>
      </c>
      <c r="D140">
        <v>139</v>
      </c>
      <c r="E140" t="s">
        <v>5312</v>
      </c>
      <c r="F140">
        <v>2015</v>
      </c>
      <c r="G140">
        <v>8</v>
      </c>
      <c r="H140">
        <v>30</v>
      </c>
      <c r="I140" t="s">
        <v>3937</v>
      </c>
      <c r="J140">
        <f t="shared" si="9"/>
        <v>6</v>
      </c>
      <c r="K140" t="s">
        <v>5313</v>
      </c>
      <c r="M140" t="s">
        <v>1688</v>
      </c>
      <c r="N140">
        <v>5.5</v>
      </c>
    </row>
    <row r="141" spans="1:14">
      <c r="A141" t="s">
        <v>4671</v>
      </c>
      <c r="B141" t="s">
        <v>4668</v>
      </c>
      <c r="C141" t="str">
        <f t="shared" si="8"/>
        <v>ML5.7_8_30_37</v>
      </c>
      <c r="D141">
        <v>140</v>
      </c>
      <c r="E141" t="s">
        <v>5312</v>
      </c>
      <c r="F141">
        <v>2015</v>
      </c>
      <c r="G141">
        <v>8</v>
      </c>
      <c r="H141">
        <v>30</v>
      </c>
      <c r="I141" t="s">
        <v>3937</v>
      </c>
      <c r="J141">
        <f t="shared" si="9"/>
        <v>37</v>
      </c>
      <c r="K141" t="s">
        <v>5313</v>
      </c>
      <c r="M141" t="s">
        <v>150</v>
      </c>
      <c r="N141">
        <v>36.5</v>
      </c>
    </row>
    <row r="142" spans="1:14">
      <c r="A142" t="s">
        <v>4679</v>
      </c>
      <c r="B142" t="s">
        <v>4678</v>
      </c>
      <c r="C142" t="str">
        <f t="shared" si="8"/>
        <v>ML5.9_8_30_6</v>
      </c>
      <c r="D142">
        <v>141</v>
      </c>
      <c r="E142" t="s">
        <v>5312</v>
      </c>
      <c r="F142">
        <v>2015</v>
      </c>
      <c r="G142">
        <v>8</v>
      </c>
      <c r="H142">
        <v>30</v>
      </c>
      <c r="I142" t="s">
        <v>5008</v>
      </c>
      <c r="J142">
        <f t="shared" si="9"/>
        <v>6</v>
      </c>
      <c r="K142" t="s">
        <v>5313</v>
      </c>
      <c r="M142" t="s">
        <v>1688</v>
      </c>
      <c r="N142">
        <v>6</v>
      </c>
    </row>
    <row r="143" spans="1:14">
      <c r="A143" t="s">
        <v>4677</v>
      </c>
      <c r="B143" t="s">
        <v>4674</v>
      </c>
      <c r="C143" t="str">
        <f t="shared" si="8"/>
        <v>ML5.9_8_30_35</v>
      </c>
      <c r="D143">
        <v>142</v>
      </c>
      <c r="E143" t="s">
        <v>5312</v>
      </c>
      <c r="F143">
        <v>2015</v>
      </c>
      <c r="G143">
        <v>8</v>
      </c>
      <c r="H143">
        <v>30</v>
      </c>
      <c r="I143" t="s">
        <v>5008</v>
      </c>
      <c r="J143">
        <f t="shared" si="9"/>
        <v>35</v>
      </c>
      <c r="K143" t="s">
        <v>5313</v>
      </c>
      <c r="M143" t="s">
        <v>150</v>
      </c>
      <c r="N143">
        <v>34.700000000000003</v>
      </c>
    </row>
    <row r="144" spans="1:14">
      <c r="A144" t="s">
        <v>4685</v>
      </c>
      <c r="B144" t="s">
        <v>4684</v>
      </c>
      <c r="C144" t="str">
        <f t="shared" si="8"/>
        <v>ML5.1_8_31_4</v>
      </c>
      <c r="D144">
        <v>143</v>
      </c>
      <c r="E144" t="s">
        <v>5312</v>
      </c>
      <c r="F144">
        <v>2015</v>
      </c>
      <c r="G144">
        <v>8</v>
      </c>
      <c r="H144">
        <v>31</v>
      </c>
      <c r="I144" t="s">
        <v>2106</v>
      </c>
      <c r="J144">
        <f t="shared" si="9"/>
        <v>4</v>
      </c>
      <c r="K144" t="s">
        <v>5313</v>
      </c>
      <c r="M144" t="s">
        <v>1688</v>
      </c>
      <c r="N144">
        <v>4.4000000000000004</v>
      </c>
    </row>
    <row r="145" spans="1:14">
      <c r="A145" t="s">
        <v>4683</v>
      </c>
      <c r="B145" t="s">
        <v>4680</v>
      </c>
      <c r="C145" t="str">
        <f t="shared" si="8"/>
        <v>ML5.1_8_31_37</v>
      </c>
      <c r="D145">
        <v>144</v>
      </c>
      <c r="E145" t="s">
        <v>5312</v>
      </c>
      <c r="F145">
        <v>2015</v>
      </c>
      <c r="G145">
        <v>8</v>
      </c>
      <c r="H145">
        <v>31</v>
      </c>
      <c r="I145" t="s">
        <v>2106</v>
      </c>
      <c r="J145">
        <f t="shared" si="9"/>
        <v>37</v>
      </c>
      <c r="K145" t="s">
        <v>5313</v>
      </c>
      <c r="M145" t="s">
        <v>150</v>
      </c>
      <c r="N145">
        <v>37</v>
      </c>
    </row>
    <row r="146" spans="1:14">
      <c r="A146" t="s">
        <v>4691</v>
      </c>
      <c r="B146" t="s">
        <v>4690</v>
      </c>
      <c r="C146" t="str">
        <f t="shared" si="8"/>
        <v>ML5.2_8_31_5</v>
      </c>
      <c r="D146">
        <v>145</v>
      </c>
      <c r="E146" t="s">
        <v>5312</v>
      </c>
      <c r="F146">
        <v>2015</v>
      </c>
      <c r="G146">
        <v>8</v>
      </c>
      <c r="H146">
        <v>31</v>
      </c>
      <c r="I146" t="s">
        <v>4992</v>
      </c>
      <c r="J146">
        <f t="shared" si="9"/>
        <v>5</v>
      </c>
      <c r="K146" t="s">
        <v>5313</v>
      </c>
      <c r="M146" t="s">
        <v>1688</v>
      </c>
      <c r="N146">
        <v>4.5</v>
      </c>
    </row>
    <row r="147" spans="1:14">
      <c r="A147" t="s">
        <v>4689</v>
      </c>
      <c r="B147" t="s">
        <v>4686</v>
      </c>
      <c r="C147" t="str">
        <f t="shared" si="8"/>
        <v>ML5.2_8_31_35</v>
      </c>
      <c r="D147">
        <v>146</v>
      </c>
      <c r="E147" t="s">
        <v>5312</v>
      </c>
      <c r="F147">
        <v>2015</v>
      </c>
      <c r="G147">
        <v>8</v>
      </c>
      <c r="H147">
        <v>31</v>
      </c>
      <c r="I147" t="s">
        <v>4992</v>
      </c>
      <c r="J147">
        <f t="shared" si="9"/>
        <v>35</v>
      </c>
      <c r="K147" t="s">
        <v>5313</v>
      </c>
      <c r="M147" t="s">
        <v>150</v>
      </c>
      <c r="N147">
        <v>35.1</v>
      </c>
    </row>
    <row r="148" spans="1:14">
      <c r="A148" t="s">
        <v>4695</v>
      </c>
      <c r="B148" t="s">
        <v>4692</v>
      </c>
      <c r="C148" t="str">
        <f t="shared" si="8"/>
        <v>ML5.4_8_31_28</v>
      </c>
      <c r="D148">
        <v>147</v>
      </c>
      <c r="E148" t="s">
        <v>5312</v>
      </c>
      <c r="F148">
        <v>2015</v>
      </c>
      <c r="G148">
        <v>8</v>
      </c>
      <c r="H148">
        <v>31</v>
      </c>
      <c r="I148" t="s">
        <v>3890</v>
      </c>
      <c r="J148">
        <f t="shared" si="9"/>
        <v>28</v>
      </c>
      <c r="K148" t="s">
        <v>5314</v>
      </c>
      <c r="L148" t="s">
        <v>5288</v>
      </c>
      <c r="M148" t="s">
        <v>150</v>
      </c>
      <c r="N148">
        <v>27.7</v>
      </c>
    </row>
    <row r="149" spans="1:14">
      <c r="A149" t="s">
        <v>4695</v>
      </c>
      <c r="B149" t="s">
        <v>4696</v>
      </c>
      <c r="C149" t="str">
        <f t="shared" si="8"/>
        <v>ML5.4_8_31_28</v>
      </c>
      <c r="D149">
        <v>148</v>
      </c>
      <c r="E149" t="s">
        <v>5312</v>
      </c>
      <c r="F149">
        <v>2015</v>
      </c>
      <c r="G149">
        <v>8</v>
      </c>
      <c r="H149">
        <v>31</v>
      </c>
      <c r="I149" t="s">
        <v>3890</v>
      </c>
      <c r="J149">
        <f t="shared" si="9"/>
        <v>28</v>
      </c>
      <c r="K149" t="s">
        <v>1395</v>
      </c>
      <c r="M149" t="s">
        <v>150</v>
      </c>
      <c r="N149">
        <v>27.7</v>
      </c>
    </row>
    <row r="150" spans="1:14">
      <c r="A150" t="s">
        <v>4702</v>
      </c>
      <c r="B150" t="s">
        <v>4701</v>
      </c>
      <c r="C150" t="str">
        <f t="shared" si="8"/>
        <v>ML5.5_8_31_5</v>
      </c>
      <c r="D150">
        <v>149</v>
      </c>
      <c r="E150" t="s">
        <v>5312</v>
      </c>
      <c r="F150">
        <v>2015</v>
      </c>
      <c r="G150">
        <v>8</v>
      </c>
      <c r="H150">
        <v>31</v>
      </c>
      <c r="I150" t="s">
        <v>4998</v>
      </c>
      <c r="J150">
        <f t="shared" si="9"/>
        <v>5</v>
      </c>
      <c r="K150" t="s">
        <v>5313</v>
      </c>
      <c r="M150" t="s">
        <v>1688</v>
      </c>
      <c r="N150">
        <v>5.4</v>
      </c>
    </row>
    <row r="151" spans="1:14">
      <c r="A151" t="s">
        <v>4700</v>
      </c>
      <c r="B151" t="s">
        <v>4697</v>
      </c>
      <c r="C151" t="str">
        <f t="shared" si="8"/>
        <v>ML5.5_8_31_37</v>
      </c>
      <c r="D151">
        <v>150</v>
      </c>
      <c r="E151" t="s">
        <v>5312</v>
      </c>
      <c r="F151">
        <v>2015</v>
      </c>
      <c r="G151">
        <v>8</v>
      </c>
      <c r="H151">
        <v>31</v>
      </c>
      <c r="I151" t="s">
        <v>4998</v>
      </c>
      <c r="J151">
        <f t="shared" si="9"/>
        <v>37</v>
      </c>
      <c r="K151" t="s">
        <v>5313</v>
      </c>
      <c r="M151" t="s">
        <v>150</v>
      </c>
      <c r="N151">
        <v>36.9</v>
      </c>
    </row>
    <row r="152" spans="1:14">
      <c r="A152" t="s">
        <v>4708</v>
      </c>
      <c r="B152" t="s">
        <v>4707</v>
      </c>
      <c r="C152" t="str">
        <f t="shared" si="8"/>
        <v>ML5.6_8_31_5</v>
      </c>
      <c r="D152">
        <v>151</v>
      </c>
      <c r="E152" t="s">
        <v>5312</v>
      </c>
      <c r="F152">
        <v>2015</v>
      </c>
      <c r="G152">
        <v>8</v>
      </c>
      <c r="H152">
        <v>31</v>
      </c>
      <c r="I152" t="s">
        <v>3913</v>
      </c>
      <c r="J152">
        <f t="shared" si="9"/>
        <v>5</v>
      </c>
      <c r="K152" t="s">
        <v>5313</v>
      </c>
      <c r="M152" t="s">
        <v>1688</v>
      </c>
      <c r="N152">
        <v>4.5</v>
      </c>
    </row>
    <row r="153" spans="1:14">
      <c r="A153" t="s">
        <v>4706</v>
      </c>
      <c r="B153" t="s">
        <v>4703</v>
      </c>
      <c r="C153" t="str">
        <f t="shared" si="8"/>
        <v>ML5.6_8_31_36</v>
      </c>
      <c r="D153">
        <v>152</v>
      </c>
      <c r="E153" t="s">
        <v>5312</v>
      </c>
      <c r="F153">
        <v>2015</v>
      </c>
      <c r="G153">
        <v>8</v>
      </c>
      <c r="H153">
        <v>31</v>
      </c>
      <c r="I153" t="s">
        <v>3913</v>
      </c>
      <c r="J153">
        <f t="shared" si="9"/>
        <v>36</v>
      </c>
      <c r="K153" t="s">
        <v>5313</v>
      </c>
      <c r="M153" t="s">
        <v>150</v>
      </c>
      <c r="N153">
        <v>36</v>
      </c>
    </row>
    <row r="154" spans="1:14">
      <c r="A154" t="s">
        <v>4714</v>
      </c>
      <c r="B154" t="s">
        <v>4713</v>
      </c>
      <c r="C154" t="str">
        <f t="shared" si="8"/>
        <v>ML1.11_9_1_5</v>
      </c>
      <c r="D154">
        <v>153</v>
      </c>
      <c r="E154" t="s">
        <v>5312</v>
      </c>
      <c r="F154">
        <v>2015</v>
      </c>
      <c r="G154">
        <v>9</v>
      </c>
      <c r="H154">
        <v>1</v>
      </c>
      <c r="I154" t="s">
        <v>4846</v>
      </c>
      <c r="J154">
        <f t="shared" si="9"/>
        <v>5</v>
      </c>
      <c r="K154" t="s">
        <v>5313</v>
      </c>
      <c r="M154" t="s">
        <v>1688</v>
      </c>
      <c r="N154">
        <v>5.2</v>
      </c>
    </row>
    <row r="155" spans="1:14">
      <c r="A155" t="s">
        <v>4712</v>
      </c>
      <c r="B155" t="s">
        <v>4709</v>
      </c>
      <c r="C155" t="str">
        <f t="shared" si="8"/>
        <v>ML1.11_9_1_38</v>
      </c>
      <c r="D155">
        <v>154</v>
      </c>
      <c r="E155" t="s">
        <v>5312</v>
      </c>
      <c r="F155">
        <v>2015</v>
      </c>
      <c r="G155">
        <v>9</v>
      </c>
      <c r="H155">
        <v>1</v>
      </c>
      <c r="I155" t="s">
        <v>4846</v>
      </c>
      <c r="J155">
        <f t="shared" si="9"/>
        <v>38</v>
      </c>
      <c r="K155" t="s">
        <v>5313</v>
      </c>
      <c r="M155" t="s">
        <v>150</v>
      </c>
      <c r="N155">
        <v>38</v>
      </c>
    </row>
    <row r="156" spans="1:14">
      <c r="A156" t="s">
        <v>4720</v>
      </c>
      <c r="B156" t="s">
        <v>4719</v>
      </c>
      <c r="C156" t="str">
        <f t="shared" si="8"/>
        <v>ML1.12_9_1_5</v>
      </c>
      <c r="D156">
        <v>155</v>
      </c>
      <c r="E156" t="s">
        <v>5312</v>
      </c>
      <c r="F156">
        <v>2015</v>
      </c>
      <c r="G156">
        <v>9</v>
      </c>
      <c r="H156">
        <v>1</v>
      </c>
      <c r="I156" t="s">
        <v>3398</v>
      </c>
      <c r="J156">
        <f t="shared" si="9"/>
        <v>5</v>
      </c>
      <c r="K156" t="s">
        <v>5313</v>
      </c>
      <c r="M156" t="s">
        <v>1688</v>
      </c>
      <c r="N156">
        <v>4.5999999999999996</v>
      </c>
    </row>
    <row r="157" spans="1:14">
      <c r="A157" t="s">
        <v>4718</v>
      </c>
      <c r="B157" t="s">
        <v>4715</v>
      </c>
      <c r="C157" t="str">
        <f t="shared" si="8"/>
        <v>ML1.12_9_1_35</v>
      </c>
      <c r="D157">
        <v>156</v>
      </c>
      <c r="E157" t="s">
        <v>5312</v>
      </c>
      <c r="F157">
        <v>2015</v>
      </c>
      <c r="G157">
        <v>9</v>
      </c>
      <c r="H157">
        <v>1</v>
      </c>
      <c r="I157" t="s">
        <v>3398</v>
      </c>
      <c r="J157">
        <f t="shared" si="9"/>
        <v>35</v>
      </c>
      <c r="K157" t="s">
        <v>5313</v>
      </c>
      <c r="M157" t="s">
        <v>1488</v>
      </c>
      <c r="N157">
        <v>34.9</v>
      </c>
    </row>
    <row r="158" spans="1:14">
      <c r="A158" t="s">
        <v>4723</v>
      </c>
      <c r="B158" t="s">
        <v>4721</v>
      </c>
      <c r="C158" t="str">
        <f t="shared" si="8"/>
        <v>ML1.12_9_1_40</v>
      </c>
      <c r="D158">
        <v>157</v>
      </c>
      <c r="E158" t="s">
        <v>5312</v>
      </c>
      <c r="F158">
        <v>2015</v>
      </c>
      <c r="G158">
        <v>9</v>
      </c>
      <c r="H158">
        <v>1</v>
      </c>
      <c r="I158" t="s">
        <v>3398</v>
      </c>
      <c r="J158">
        <f t="shared" si="9"/>
        <v>40</v>
      </c>
      <c r="K158" t="s">
        <v>5313</v>
      </c>
      <c r="M158" t="s">
        <v>150</v>
      </c>
      <c r="N158">
        <v>40.4</v>
      </c>
    </row>
    <row r="159" spans="1:14">
      <c r="A159" t="s">
        <v>4731</v>
      </c>
      <c r="B159" t="s">
        <v>4730</v>
      </c>
      <c r="C159" t="str">
        <f t="shared" si="8"/>
        <v>ML1.13_9_1_5</v>
      </c>
      <c r="D159">
        <v>158</v>
      </c>
      <c r="E159" t="s">
        <v>5312</v>
      </c>
      <c r="F159">
        <v>2015</v>
      </c>
      <c r="G159">
        <v>9</v>
      </c>
      <c r="H159">
        <v>1</v>
      </c>
      <c r="I159" t="s">
        <v>1821</v>
      </c>
      <c r="J159">
        <f t="shared" si="9"/>
        <v>5</v>
      </c>
      <c r="K159" t="s">
        <v>5313</v>
      </c>
      <c r="M159" t="s">
        <v>1688</v>
      </c>
      <c r="N159">
        <v>5.0999999999999996</v>
      </c>
    </row>
    <row r="160" spans="1:14">
      <c r="A160" t="s">
        <v>4727</v>
      </c>
      <c r="B160" t="s">
        <v>4724</v>
      </c>
      <c r="C160" t="str">
        <f t="shared" si="8"/>
        <v>ML1.13_9_1_35</v>
      </c>
      <c r="D160">
        <v>159</v>
      </c>
      <c r="E160" t="s">
        <v>5312</v>
      </c>
      <c r="F160">
        <v>2015</v>
      </c>
      <c r="G160">
        <v>9</v>
      </c>
      <c r="H160">
        <v>1</v>
      </c>
      <c r="I160" t="s">
        <v>1821</v>
      </c>
      <c r="J160">
        <f t="shared" si="9"/>
        <v>35</v>
      </c>
      <c r="K160" t="s">
        <v>5313</v>
      </c>
      <c r="M160" t="s">
        <v>1488</v>
      </c>
      <c r="N160">
        <v>35.299999999999997</v>
      </c>
    </row>
    <row r="161" spans="1:14">
      <c r="A161" t="s">
        <v>4729</v>
      </c>
      <c r="B161" t="s">
        <v>4728</v>
      </c>
      <c r="C161" t="str">
        <f t="shared" si="8"/>
        <v>ML1.13_9_1_43</v>
      </c>
      <c r="D161">
        <v>160</v>
      </c>
      <c r="E161" t="s">
        <v>5312</v>
      </c>
      <c r="F161">
        <v>2015</v>
      </c>
      <c r="G161">
        <v>9</v>
      </c>
      <c r="H161">
        <v>1</v>
      </c>
      <c r="I161" t="s">
        <v>1821</v>
      </c>
      <c r="J161">
        <f t="shared" si="9"/>
        <v>43</v>
      </c>
      <c r="K161" t="s">
        <v>5313</v>
      </c>
      <c r="M161" t="s">
        <v>150</v>
      </c>
      <c r="N161">
        <v>42.9</v>
      </c>
    </row>
    <row r="162" spans="1:14">
      <c r="A162" t="s">
        <v>4737</v>
      </c>
      <c r="B162" t="s">
        <v>4736</v>
      </c>
      <c r="C162" t="str">
        <f t="shared" ref="C162:C180" si="10">I162&amp;"_"&amp;G162&amp;"_"&amp;H162&amp;"_"&amp;J162</f>
        <v>ML1.5_9_2_5</v>
      </c>
      <c r="D162">
        <v>161</v>
      </c>
      <c r="E162" t="s">
        <v>5312</v>
      </c>
      <c r="F162">
        <v>2015</v>
      </c>
      <c r="G162">
        <v>9</v>
      </c>
      <c r="H162">
        <v>2</v>
      </c>
      <c r="I162" t="s">
        <v>3470</v>
      </c>
      <c r="J162">
        <f t="shared" ref="J162:J180" si="11">ROUND(N162,0)</f>
        <v>5</v>
      </c>
      <c r="K162" t="s">
        <v>5313</v>
      </c>
      <c r="M162" t="s">
        <v>1688</v>
      </c>
      <c r="N162">
        <v>5</v>
      </c>
    </row>
    <row r="163" spans="1:14">
      <c r="A163" t="s">
        <v>4735</v>
      </c>
      <c r="B163" t="s">
        <v>4732</v>
      </c>
      <c r="C163" t="str">
        <f t="shared" si="10"/>
        <v>ML1.5_9_2_37</v>
      </c>
      <c r="D163">
        <v>162</v>
      </c>
      <c r="E163" t="s">
        <v>5312</v>
      </c>
      <c r="F163">
        <v>2015</v>
      </c>
      <c r="G163">
        <v>9</v>
      </c>
      <c r="H163">
        <v>2</v>
      </c>
      <c r="I163" t="s">
        <v>3470</v>
      </c>
      <c r="J163">
        <f t="shared" si="11"/>
        <v>37</v>
      </c>
      <c r="K163" t="s">
        <v>5313</v>
      </c>
      <c r="M163" t="s">
        <v>150</v>
      </c>
      <c r="N163">
        <v>37.1</v>
      </c>
    </row>
    <row r="164" spans="1:14">
      <c r="A164" t="s">
        <v>4741</v>
      </c>
      <c r="B164" t="s">
        <v>4738</v>
      </c>
      <c r="C164" t="str">
        <f t="shared" si="10"/>
        <v>ML1.6_9_2_5</v>
      </c>
      <c r="D164">
        <v>163</v>
      </c>
      <c r="E164" t="s">
        <v>5312</v>
      </c>
      <c r="F164">
        <v>2015</v>
      </c>
      <c r="G164">
        <v>9</v>
      </c>
      <c r="H164">
        <v>2</v>
      </c>
      <c r="I164" t="s">
        <v>4873</v>
      </c>
      <c r="J164">
        <f t="shared" si="11"/>
        <v>5</v>
      </c>
      <c r="K164" t="s">
        <v>5313</v>
      </c>
      <c r="M164" t="s">
        <v>1688</v>
      </c>
      <c r="N164">
        <v>4.5</v>
      </c>
    </row>
    <row r="165" spans="1:14">
      <c r="A165" t="s">
        <v>4876</v>
      </c>
      <c r="B165" t="s">
        <v>4742</v>
      </c>
      <c r="C165" t="str">
        <f t="shared" si="10"/>
        <v>ML1.6_9_2_41</v>
      </c>
      <c r="D165">
        <v>164</v>
      </c>
      <c r="E165" t="s">
        <v>5312</v>
      </c>
      <c r="F165">
        <v>2015</v>
      </c>
      <c r="G165">
        <v>9</v>
      </c>
      <c r="H165">
        <v>2</v>
      </c>
      <c r="I165" t="s">
        <v>4873</v>
      </c>
      <c r="J165">
        <f t="shared" si="11"/>
        <v>41</v>
      </c>
      <c r="K165" t="s">
        <v>5313</v>
      </c>
      <c r="M165" t="s">
        <v>150</v>
      </c>
      <c r="N165">
        <v>40.6</v>
      </c>
    </row>
    <row r="166" spans="1:14">
      <c r="A166" t="s">
        <v>4749</v>
      </c>
      <c r="B166" t="s">
        <v>4748</v>
      </c>
      <c r="C166" t="str">
        <f t="shared" si="10"/>
        <v>ML1.7_9_2_5</v>
      </c>
      <c r="D166">
        <v>165</v>
      </c>
      <c r="E166" t="s">
        <v>5312</v>
      </c>
      <c r="F166">
        <v>2015</v>
      </c>
      <c r="G166">
        <v>9</v>
      </c>
      <c r="H166">
        <v>2</v>
      </c>
      <c r="I166" t="s">
        <v>3494</v>
      </c>
      <c r="J166">
        <f t="shared" si="11"/>
        <v>5</v>
      </c>
      <c r="K166" t="s">
        <v>5313</v>
      </c>
      <c r="M166" t="s">
        <v>1688</v>
      </c>
      <c r="N166">
        <v>4.7</v>
      </c>
    </row>
    <row r="167" spans="1:14">
      <c r="A167" t="s">
        <v>4747</v>
      </c>
      <c r="B167" t="s">
        <v>4744</v>
      </c>
      <c r="C167" t="str">
        <f t="shared" si="10"/>
        <v>ML1.7_9_2_34</v>
      </c>
      <c r="D167">
        <v>166</v>
      </c>
      <c r="E167" t="s">
        <v>5312</v>
      </c>
      <c r="F167">
        <v>2015</v>
      </c>
      <c r="G167">
        <v>9</v>
      </c>
      <c r="H167">
        <v>2</v>
      </c>
      <c r="I167" t="s">
        <v>3494</v>
      </c>
      <c r="J167">
        <f t="shared" si="11"/>
        <v>34</v>
      </c>
      <c r="K167" t="s">
        <v>5313</v>
      </c>
      <c r="M167" t="s">
        <v>150</v>
      </c>
      <c r="N167">
        <v>33.6</v>
      </c>
    </row>
    <row r="168" spans="1:14">
      <c r="A168" t="s">
        <v>4755</v>
      </c>
      <c r="B168" t="s">
        <v>4754</v>
      </c>
      <c r="C168" t="str">
        <f t="shared" si="10"/>
        <v>ML1.8_9_2_5</v>
      </c>
      <c r="D168">
        <v>167</v>
      </c>
      <c r="E168" t="s">
        <v>5312</v>
      </c>
      <c r="F168">
        <v>2015</v>
      </c>
      <c r="G168">
        <v>9</v>
      </c>
      <c r="H168">
        <v>2</v>
      </c>
      <c r="I168" t="s">
        <v>1883</v>
      </c>
      <c r="J168">
        <f t="shared" si="11"/>
        <v>5</v>
      </c>
      <c r="K168" t="s">
        <v>5313</v>
      </c>
      <c r="M168" t="s">
        <v>1688</v>
      </c>
      <c r="N168">
        <v>4.8</v>
      </c>
    </row>
    <row r="169" spans="1:14">
      <c r="A169" t="s">
        <v>4753</v>
      </c>
      <c r="B169" t="s">
        <v>4750</v>
      </c>
      <c r="C169" t="str">
        <f t="shared" si="10"/>
        <v>ML1.8_9_2_38</v>
      </c>
      <c r="D169">
        <v>168</v>
      </c>
      <c r="E169" t="s">
        <v>5312</v>
      </c>
      <c r="F169">
        <v>2015</v>
      </c>
      <c r="G169">
        <v>9</v>
      </c>
      <c r="H169">
        <v>2</v>
      </c>
      <c r="I169" t="s">
        <v>1883</v>
      </c>
      <c r="J169">
        <f t="shared" si="11"/>
        <v>38</v>
      </c>
      <c r="K169" t="s">
        <v>5313</v>
      </c>
      <c r="M169" t="s">
        <v>150</v>
      </c>
      <c r="N169">
        <v>37.6</v>
      </c>
    </row>
    <row r="170" spans="1:14">
      <c r="A170" t="s">
        <v>4761</v>
      </c>
      <c r="B170" t="s">
        <v>4760</v>
      </c>
      <c r="C170" t="str">
        <f t="shared" si="10"/>
        <v>ML1.9_9_2_5</v>
      </c>
      <c r="D170">
        <v>169</v>
      </c>
      <c r="E170" t="s">
        <v>5312</v>
      </c>
      <c r="F170">
        <v>2015</v>
      </c>
      <c r="G170">
        <v>9</v>
      </c>
      <c r="H170">
        <v>2</v>
      </c>
      <c r="I170" t="s">
        <v>4884</v>
      </c>
      <c r="J170">
        <f t="shared" si="11"/>
        <v>5</v>
      </c>
      <c r="K170" t="s">
        <v>5313</v>
      </c>
      <c r="M170" t="s">
        <v>1688</v>
      </c>
      <c r="N170">
        <v>4.8</v>
      </c>
    </row>
    <row r="171" spans="1:14">
      <c r="A171" t="s">
        <v>4759</v>
      </c>
      <c r="B171" t="s">
        <v>4756</v>
      </c>
      <c r="C171" t="str">
        <f t="shared" si="10"/>
        <v>ML1.9_9_2_37</v>
      </c>
      <c r="D171">
        <v>170</v>
      </c>
      <c r="E171" t="s">
        <v>5312</v>
      </c>
      <c r="F171">
        <v>2015</v>
      </c>
      <c r="G171">
        <v>9</v>
      </c>
      <c r="H171">
        <v>2</v>
      </c>
      <c r="I171" t="s">
        <v>4884</v>
      </c>
      <c r="J171">
        <f t="shared" si="11"/>
        <v>37</v>
      </c>
      <c r="K171" t="s">
        <v>5313</v>
      </c>
      <c r="M171" t="s">
        <v>150</v>
      </c>
      <c r="N171">
        <v>36.799999999999997</v>
      </c>
    </row>
    <row r="172" spans="1:14">
      <c r="A172" t="s">
        <v>4767</v>
      </c>
      <c r="B172" t="s">
        <v>4766</v>
      </c>
      <c r="C172" t="str">
        <f t="shared" si="10"/>
        <v>ML1.1_9_3_4</v>
      </c>
      <c r="D172">
        <v>171</v>
      </c>
      <c r="E172" t="s">
        <v>5312</v>
      </c>
      <c r="F172">
        <v>2015</v>
      </c>
      <c r="G172">
        <v>9</v>
      </c>
      <c r="H172">
        <v>3</v>
      </c>
      <c r="I172" t="s">
        <v>3368</v>
      </c>
      <c r="J172">
        <f t="shared" si="11"/>
        <v>4</v>
      </c>
      <c r="K172" t="s">
        <v>5313</v>
      </c>
      <c r="M172" t="s">
        <v>1688</v>
      </c>
      <c r="N172">
        <v>4.0999999999999996</v>
      </c>
    </row>
    <row r="173" spans="1:14">
      <c r="A173" t="s">
        <v>4765</v>
      </c>
      <c r="B173" t="s">
        <v>4762</v>
      </c>
      <c r="C173" t="str">
        <f t="shared" si="10"/>
        <v>ML1.1_9_3_11</v>
      </c>
      <c r="D173">
        <v>172</v>
      </c>
      <c r="E173" t="s">
        <v>5312</v>
      </c>
      <c r="F173">
        <v>2015</v>
      </c>
      <c r="G173">
        <v>9</v>
      </c>
      <c r="H173">
        <v>3</v>
      </c>
      <c r="I173" t="s">
        <v>3368</v>
      </c>
      <c r="J173">
        <f t="shared" si="11"/>
        <v>11</v>
      </c>
      <c r="K173" t="s">
        <v>5313</v>
      </c>
      <c r="M173" t="s">
        <v>150</v>
      </c>
      <c r="N173">
        <v>11.1</v>
      </c>
    </row>
    <row r="174" spans="1:14">
      <c r="A174" t="s">
        <v>4773</v>
      </c>
      <c r="B174" t="s">
        <v>4772</v>
      </c>
      <c r="C174" t="str">
        <f t="shared" si="10"/>
        <v>ML1.2_9_3_5</v>
      </c>
      <c r="D174">
        <v>173</v>
      </c>
      <c r="E174" t="s">
        <v>5312</v>
      </c>
      <c r="F174">
        <v>2015</v>
      </c>
      <c r="G174">
        <v>9</v>
      </c>
      <c r="H174">
        <v>3</v>
      </c>
      <c r="I174" t="s">
        <v>4859</v>
      </c>
      <c r="J174">
        <f t="shared" si="11"/>
        <v>5</v>
      </c>
      <c r="K174" t="s">
        <v>5313</v>
      </c>
      <c r="M174" t="s">
        <v>1688</v>
      </c>
      <c r="N174">
        <v>4.7</v>
      </c>
    </row>
    <row r="175" spans="1:14">
      <c r="A175" t="s">
        <v>4771</v>
      </c>
      <c r="B175" t="s">
        <v>4768</v>
      </c>
      <c r="C175" t="str">
        <f t="shared" si="10"/>
        <v>ML1.2_9_3_18</v>
      </c>
      <c r="D175">
        <v>174</v>
      </c>
      <c r="E175" t="s">
        <v>5312</v>
      </c>
      <c r="F175">
        <v>2015</v>
      </c>
      <c r="G175">
        <v>9</v>
      </c>
      <c r="H175">
        <v>3</v>
      </c>
      <c r="I175" t="s">
        <v>4859</v>
      </c>
      <c r="J175">
        <f t="shared" si="11"/>
        <v>18</v>
      </c>
      <c r="K175" t="s">
        <v>5313</v>
      </c>
      <c r="M175" t="s">
        <v>150</v>
      </c>
      <c r="N175">
        <v>17.8</v>
      </c>
    </row>
    <row r="176" spans="1:14">
      <c r="A176" t="s">
        <v>4779</v>
      </c>
      <c r="B176" t="s">
        <v>4778</v>
      </c>
      <c r="C176" t="str">
        <f t="shared" si="10"/>
        <v>ML1.3_9_3_5</v>
      </c>
      <c r="D176">
        <v>175</v>
      </c>
      <c r="E176" t="s">
        <v>5312</v>
      </c>
      <c r="F176">
        <v>2015</v>
      </c>
      <c r="G176">
        <v>9</v>
      </c>
      <c r="H176">
        <v>3</v>
      </c>
      <c r="I176" t="s">
        <v>3429</v>
      </c>
      <c r="J176">
        <f t="shared" si="11"/>
        <v>5</v>
      </c>
      <c r="K176" t="s">
        <v>5313</v>
      </c>
      <c r="M176" t="s">
        <v>1688</v>
      </c>
      <c r="N176">
        <v>4.5999999999999996</v>
      </c>
    </row>
    <row r="177" spans="1:14">
      <c r="A177" t="s">
        <v>4777</v>
      </c>
      <c r="B177" t="s">
        <v>4774</v>
      </c>
      <c r="C177" t="str">
        <f t="shared" si="10"/>
        <v>ML1.3_9_3_26</v>
      </c>
      <c r="D177">
        <v>176</v>
      </c>
      <c r="E177" t="s">
        <v>5312</v>
      </c>
      <c r="F177">
        <v>2015</v>
      </c>
      <c r="G177">
        <v>9</v>
      </c>
      <c r="H177">
        <v>3</v>
      </c>
      <c r="I177" t="s">
        <v>3429</v>
      </c>
      <c r="J177">
        <f t="shared" si="11"/>
        <v>26</v>
      </c>
      <c r="K177" t="s">
        <v>5313</v>
      </c>
      <c r="M177" t="s">
        <v>150</v>
      </c>
      <c r="N177">
        <v>26.3</v>
      </c>
    </row>
    <row r="178" spans="1:14">
      <c r="A178" t="s">
        <v>4787</v>
      </c>
      <c r="B178" t="s">
        <v>4786</v>
      </c>
      <c r="C178" t="str">
        <f t="shared" si="10"/>
        <v>ML1.4_9_3_5</v>
      </c>
      <c r="D178">
        <v>177</v>
      </c>
      <c r="E178" t="s">
        <v>5312</v>
      </c>
      <c r="F178">
        <v>2015</v>
      </c>
      <c r="G178">
        <v>9</v>
      </c>
      <c r="H178">
        <v>3</v>
      </c>
      <c r="I178" t="s">
        <v>3454</v>
      </c>
      <c r="J178">
        <f t="shared" si="11"/>
        <v>5</v>
      </c>
      <c r="K178" t="s">
        <v>5313</v>
      </c>
      <c r="M178" t="s">
        <v>1688</v>
      </c>
      <c r="N178">
        <v>5.0999999999999996</v>
      </c>
    </row>
    <row r="179" spans="1:14">
      <c r="A179" t="s">
        <v>4783</v>
      </c>
      <c r="B179" t="s">
        <v>4780</v>
      </c>
      <c r="C179" t="str">
        <f t="shared" si="10"/>
        <v>ML1.4_9_3_16</v>
      </c>
      <c r="D179">
        <v>178</v>
      </c>
      <c r="E179" t="s">
        <v>5312</v>
      </c>
      <c r="F179">
        <v>2015</v>
      </c>
      <c r="G179">
        <v>9</v>
      </c>
      <c r="H179">
        <v>3</v>
      </c>
      <c r="I179" t="s">
        <v>3454</v>
      </c>
      <c r="J179">
        <f t="shared" si="11"/>
        <v>16</v>
      </c>
      <c r="K179" t="s">
        <v>5313</v>
      </c>
      <c r="M179" t="s">
        <v>1488</v>
      </c>
      <c r="N179">
        <v>15.5</v>
      </c>
    </row>
    <row r="180" spans="1:14">
      <c r="A180" t="s">
        <v>4785</v>
      </c>
      <c r="B180" t="s">
        <v>4784</v>
      </c>
      <c r="C180" t="str">
        <f t="shared" si="10"/>
        <v>ML1.4_9_3_29</v>
      </c>
      <c r="D180">
        <v>179</v>
      </c>
      <c r="E180" t="s">
        <v>5312</v>
      </c>
      <c r="F180">
        <v>2015</v>
      </c>
      <c r="G180">
        <v>9</v>
      </c>
      <c r="H180">
        <v>3</v>
      </c>
      <c r="I180" t="s">
        <v>3454</v>
      </c>
      <c r="J180">
        <f t="shared" si="11"/>
        <v>29</v>
      </c>
      <c r="K180" t="s">
        <v>5313</v>
      </c>
      <c r="M180" t="s">
        <v>150</v>
      </c>
      <c r="N180">
        <v>29</v>
      </c>
    </row>
  </sheetData>
  <phoneticPr fontId="7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metaRDS.csv</vt:lpstr>
      <vt:lpstr>Sheet1</vt:lpstr>
      <vt:lpstr>Sheet3</vt:lpstr>
      <vt:lpstr>Sheet4</vt:lpstr>
      <vt:lpstr>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</dc:creator>
  <cp:lastModifiedBy>Rei SHIBUE</cp:lastModifiedBy>
  <cp:revision>23</cp:revision>
  <dcterms:created xsi:type="dcterms:W3CDTF">2019-10-06T02:07:07Z</dcterms:created>
  <dcterms:modified xsi:type="dcterms:W3CDTF">2026-03-13T16:55:32Z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